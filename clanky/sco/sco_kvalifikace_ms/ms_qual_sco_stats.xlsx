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data\brejk\clanky\sco_kvalifikace_ms\"/>
    </mc:Choice>
  </mc:AlternateContent>
  <bookViews>
    <workbookView xWindow="0" yWindow="0" windowWidth="28800" windowHeight="12435"/>
  </bookViews>
  <sheets>
    <sheet name="hraci" sheetId="1" r:id="rId1"/>
    <sheet name="ty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" i="2" l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R158" i="1"/>
  <c r="Q158" i="1"/>
  <c r="P158" i="1"/>
  <c r="O158" i="1"/>
  <c r="R132" i="1"/>
  <c r="Q132" i="1"/>
  <c r="P132" i="1"/>
  <c r="O132" i="1"/>
  <c r="R106" i="1"/>
  <c r="P106" i="1"/>
  <c r="Q106" i="1"/>
  <c r="O106" i="1"/>
  <c r="R79" i="1"/>
  <c r="Q79" i="1"/>
  <c r="P79" i="1"/>
  <c r="O79" i="1"/>
  <c r="R52" i="1"/>
  <c r="Q52" i="1"/>
  <c r="P52" i="1"/>
  <c r="O52" i="1"/>
  <c r="R26" i="1"/>
  <c r="Q26" i="1"/>
  <c r="P26" i="1"/>
  <c r="O26" i="1"/>
  <c r="Q201" i="1" l="1"/>
  <c r="P201" i="1"/>
  <c r="O201" i="1"/>
  <c r="N201" i="1"/>
  <c r="M201" i="1"/>
  <c r="L201" i="1"/>
  <c r="K201" i="1"/>
  <c r="J201" i="1"/>
  <c r="I201" i="1"/>
  <c r="H201" i="1"/>
  <c r="G201" i="1"/>
  <c r="F201" i="1"/>
  <c r="E201" i="1"/>
  <c r="R201" i="1" s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R200" i="1" s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R199" i="1" s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R198" i="1" s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R197" i="1" s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R196" i="1" s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R195" i="1" s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R194" i="1" s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R190" i="1" s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R189" i="1" s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R188" i="1" s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R187" i="1" s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R186" i="1" s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R185" i="1" s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R184" i="1" s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R183" i="1" s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R182" i="1" s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R178" i="1" s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R177" i="1" s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R176" i="1" s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R175" i="1" s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R174" i="1" s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R173" i="1" s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R172" i="1" s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R171" i="1" s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R170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R167" i="1" s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R166" i="1" s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R165" i="1" s="1"/>
</calcChain>
</file>

<file path=xl/sharedStrings.xml><?xml version="1.0" encoding="utf-8"?>
<sst xmlns="http://schemas.openxmlformats.org/spreadsheetml/2006/main" count="806" uniqueCount="105">
  <si>
    <t>Naseby Highland Cattle FC</t>
  </si>
  <si>
    <t>V</t>
  </si>
  <si>
    <t>Jméno</t>
  </si>
  <si>
    <t>Tým</t>
  </si>
  <si>
    <t>G</t>
  </si>
  <si>
    <t>O</t>
  </si>
  <si>
    <t>U</t>
  </si>
  <si>
    <t>Z</t>
  </si>
  <si>
    <t>Awrick City</t>
  </si>
  <si>
    <t>FC Nazobaní hoši</t>
  </si>
  <si>
    <t>FC Protein</t>
  </si>
  <si>
    <t>KoutyFC</t>
  </si>
  <si>
    <t>Targaryen Dragons</t>
  </si>
  <si>
    <t>New England Patriots</t>
  </si>
  <si>
    <t>Post</t>
  </si>
  <si>
    <t>utk</t>
  </si>
  <si>
    <t>min</t>
  </si>
  <si>
    <t>goly</t>
  </si>
  <si>
    <t>asist</t>
  </si>
  <si>
    <t>střely +</t>
  </si>
  <si>
    <t>střely -</t>
  </si>
  <si>
    <t>žk</t>
  </si>
  <si>
    <t>čk</t>
  </si>
  <si>
    <t>fl</t>
  </si>
  <si>
    <t>fn</t>
  </si>
  <si>
    <t>souboj +</t>
  </si>
  <si>
    <t>souboj -</t>
  </si>
  <si>
    <t>znamka</t>
  </si>
  <si>
    <t>přihrávky</t>
  </si>
  <si>
    <t>Gary Trott</t>
  </si>
  <si>
    <t>Kieran Astley</t>
  </si>
  <si>
    <t>Alex Carrigan</t>
  </si>
  <si>
    <t>Roger Hammell</t>
  </si>
  <si>
    <t>Tom McGlinchey</t>
  </si>
  <si>
    <t>Bruce Kerr</t>
  </si>
  <si>
    <t>Leslie McCaig</t>
  </si>
  <si>
    <t>Nigel Walker</t>
  </si>
  <si>
    <t>Mathew Lithgow</t>
  </si>
  <si>
    <t>Tom Garden</t>
  </si>
  <si>
    <t>Willie Sim</t>
  </si>
  <si>
    <t>Samuel Jellema</t>
  </si>
  <si>
    <t>Brian Gordon</t>
  </si>
  <si>
    <t>Thomas Hinchcliffe</t>
  </si>
  <si>
    <t>Marc Lawrie</t>
  </si>
  <si>
    <t>Vincent Calder</t>
  </si>
  <si>
    <t>Stan McStay</t>
  </si>
  <si>
    <t>Paddy Raeburn</t>
  </si>
  <si>
    <t>CESKO</t>
  </si>
  <si>
    <t>Sean Jenkins</t>
  </si>
  <si>
    <t>Donald Virgo</t>
  </si>
  <si>
    <t>ITALIE</t>
  </si>
  <si>
    <t>Howard Weir</t>
  </si>
  <si>
    <t>Sam Conroy</t>
  </si>
  <si>
    <t>TOTAL</t>
  </si>
  <si>
    <t>TURECKO</t>
  </si>
  <si>
    <t>Leigh Webster</t>
  </si>
  <si>
    <t>ANGLIE</t>
  </si>
  <si>
    <t>DANSKO</t>
  </si>
  <si>
    <t>Lee Nixon</t>
  </si>
  <si>
    <t>Arnold Elliot</t>
  </si>
  <si>
    <t>Brian Meldrum</t>
  </si>
  <si>
    <t>Ivor Finlay</t>
  </si>
  <si>
    <t>Joyce Hannah</t>
  </si>
  <si>
    <t>NEMECKO</t>
  </si>
  <si>
    <t>Anthony Anderson</t>
  </si>
  <si>
    <t>Joyce McBride</t>
  </si>
  <si>
    <t>Colin McPhee</t>
  </si>
  <si>
    <t>Colin Garden</t>
  </si>
  <si>
    <t>Ivor Snodgrass</t>
  </si>
  <si>
    <t>FC Hurá na Párek</t>
  </si>
  <si>
    <t>Saturn Berounská oblast</t>
  </si>
  <si>
    <t>AC Sparta Vysoká</t>
  </si>
  <si>
    <t>datum</t>
  </si>
  <si>
    <t>souper</t>
  </si>
  <si>
    <t>gv</t>
  </si>
  <si>
    <t>go</t>
  </si>
  <si>
    <t>gvp</t>
  </si>
  <si>
    <t>gop</t>
  </si>
  <si>
    <t>7.6.2015</t>
  </si>
  <si>
    <t>Česká republika</t>
  </si>
  <si>
    <t>snbv</t>
  </si>
  <si>
    <t>snbi</t>
  </si>
  <si>
    <t>smv</t>
  </si>
  <si>
    <t>smi</t>
  </si>
  <si>
    <t>rkv</t>
  </si>
  <si>
    <t>rki</t>
  </si>
  <si>
    <t>zk</t>
  </si>
  <si>
    <t>ck</t>
  </si>
  <si>
    <t>dm</t>
  </si>
  <si>
    <t>navsteva</t>
  </si>
  <si>
    <t>prihravka</t>
  </si>
  <si>
    <t>sok</t>
  </si>
  <si>
    <t>sko</t>
  </si>
  <si>
    <t>pru znamka</t>
  </si>
  <si>
    <t>21.6.2015</t>
  </si>
  <si>
    <t>Itálie</t>
  </si>
  <si>
    <t>5.7.2015</t>
  </si>
  <si>
    <t>Turecko</t>
  </si>
  <si>
    <t>19.7.2015</t>
  </si>
  <si>
    <t>Anglie</t>
  </si>
  <si>
    <t>23.8.2015</t>
  </si>
  <si>
    <t>Dánsko</t>
  </si>
  <si>
    <t>6.9.2015</t>
  </si>
  <si>
    <t>Německo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</si>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</sst>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9" fontId="3" fillId="0" borderId="0" xfId="0" applyNumberFormat="1" applyFon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01"/>
  <sheetViews>
    <sheetView tabSelected="1" topLeftCell="A163" workbookViewId="0">
      <selection activeCell="A163" sqref="A163"/>
    </sheetView>
  </sheetViews>
  <sheetFormatPr defaultRowHeight="15" x14ac:dyDescent="0.25"/>
  <cols>
    <col min="1" max="1" width="4.85546875" bestFit="1" customWidth="1"/>
    <col min="2" max="2" width="3" bestFit="1" customWidth="1"/>
    <col min="3" max="3" width="18.140625" style="9" bestFit="1" customWidth="1"/>
    <col min="4" max="4" width="24.5703125" bestFit="1" customWidth="1"/>
    <col min="5" max="16" width="9.140625" style="4"/>
    <col min="17" max="17" width="12.42578125" style="4" customWidth="1"/>
    <col min="18" max="18" width="9.140625" style="6"/>
  </cols>
  <sheetData>
    <row r="2" spans="1:18" ht="23.25" x14ac:dyDescent="0.35">
      <c r="C2" s="7" t="s">
        <v>47</v>
      </c>
    </row>
    <row r="3" spans="1:18" x14ac:dyDescent="0.25">
      <c r="A3" s="3" t="s">
        <v>14</v>
      </c>
      <c r="B3" s="2" t="s">
        <v>1</v>
      </c>
      <c r="C3" s="8" t="s">
        <v>2</v>
      </c>
      <c r="D3" s="2" t="s">
        <v>3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28</v>
      </c>
      <c r="R3" s="5" t="s">
        <v>27</v>
      </c>
    </row>
    <row r="4" spans="1:18" x14ac:dyDescent="0.25">
      <c r="A4" t="s">
        <v>4</v>
      </c>
      <c r="B4" s="1"/>
      <c r="C4" t="s">
        <v>45</v>
      </c>
      <c r="D4" s="1"/>
      <c r="E4" s="4">
        <v>1</v>
      </c>
      <c r="F4" s="4">
        <v>90</v>
      </c>
      <c r="G4" s="4">
        <v>1</v>
      </c>
      <c r="H4" s="4">
        <v>0</v>
      </c>
      <c r="I4" s="4">
        <v>6</v>
      </c>
      <c r="J4" s="4">
        <v>5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6">
        <v>6.2750000000000004</v>
      </c>
    </row>
    <row r="5" spans="1:18" ht="15" customHeight="1" x14ac:dyDescent="0.25">
      <c r="B5" s="1"/>
      <c r="C5" s="1"/>
      <c r="D5" s="1"/>
    </row>
    <row r="6" spans="1:18" x14ac:dyDescent="0.25">
      <c r="A6" s="3" t="s">
        <v>14</v>
      </c>
      <c r="B6" s="2" t="s">
        <v>1</v>
      </c>
      <c r="C6" s="8" t="s">
        <v>2</v>
      </c>
      <c r="D6" s="2" t="s">
        <v>3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26</v>
      </c>
      <c r="Q6" s="2" t="s">
        <v>28</v>
      </c>
      <c r="R6" s="5" t="s">
        <v>27</v>
      </c>
    </row>
    <row r="7" spans="1:18" x14ac:dyDescent="0.25">
      <c r="A7" t="s">
        <v>5</v>
      </c>
      <c r="B7" s="1"/>
      <c r="C7" t="s">
        <v>40</v>
      </c>
      <c r="D7" s="1"/>
      <c r="E7" s="4">
        <v>1</v>
      </c>
      <c r="F7" s="4">
        <v>45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2</v>
      </c>
      <c r="P7" s="4">
        <v>5</v>
      </c>
      <c r="Q7" s="4">
        <v>3</v>
      </c>
      <c r="R7" s="6">
        <v>-3.169</v>
      </c>
    </row>
    <row r="8" spans="1:18" x14ac:dyDescent="0.25">
      <c r="A8" t="s">
        <v>5</v>
      </c>
      <c r="B8" s="1"/>
      <c r="C8" t="s">
        <v>41</v>
      </c>
      <c r="D8" s="1"/>
      <c r="E8" s="4">
        <v>1</v>
      </c>
      <c r="F8" s="4">
        <v>90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4</v>
      </c>
      <c r="P8" s="4">
        <v>5</v>
      </c>
      <c r="Q8" s="4">
        <v>4</v>
      </c>
      <c r="R8" s="6">
        <v>-1.325</v>
      </c>
    </row>
    <row r="9" spans="1:18" x14ac:dyDescent="0.25">
      <c r="A9" t="s">
        <v>5</v>
      </c>
      <c r="B9" s="1"/>
      <c r="C9" t="s">
        <v>42</v>
      </c>
      <c r="D9" s="1"/>
      <c r="E9" s="4">
        <v>1</v>
      </c>
      <c r="F9" s="4">
        <v>90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0</v>
      </c>
      <c r="O9" s="4">
        <v>4</v>
      </c>
      <c r="P9" s="4">
        <v>4</v>
      </c>
      <c r="Q9" s="4">
        <v>3</v>
      </c>
      <c r="R9" s="6">
        <v>-1.825</v>
      </c>
    </row>
    <row r="10" spans="1:18" x14ac:dyDescent="0.25">
      <c r="A10" t="s">
        <v>5</v>
      </c>
      <c r="B10" s="1"/>
      <c r="C10" t="s">
        <v>43</v>
      </c>
      <c r="D10" s="1"/>
      <c r="E10" s="4">
        <v>1</v>
      </c>
      <c r="F10" s="4">
        <v>45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3</v>
      </c>
      <c r="P10" s="4">
        <v>1</v>
      </c>
      <c r="Q10" s="4">
        <v>3</v>
      </c>
      <c r="R10" s="6">
        <v>1.6879999999999999</v>
      </c>
    </row>
    <row r="11" spans="1:18" x14ac:dyDescent="0.25">
      <c r="B11" s="1"/>
      <c r="C11"/>
      <c r="D11" s="1"/>
    </row>
    <row r="12" spans="1:18" x14ac:dyDescent="0.25">
      <c r="B12" s="1"/>
      <c r="C12"/>
      <c r="D12" s="1"/>
    </row>
    <row r="13" spans="1:18" x14ac:dyDescent="0.25">
      <c r="A13" s="3" t="s">
        <v>14</v>
      </c>
      <c r="B13" s="2" t="s">
        <v>1</v>
      </c>
      <c r="C13" s="8" t="s">
        <v>2</v>
      </c>
      <c r="D13" s="2" t="s">
        <v>3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  <c r="O13" s="2" t="s">
        <v>25</v>
      </c>
      <c r="P13" s="2" t="s">
        <v>26</v>
      </c>
      <c r="Q13" s="2" t="s">
        <v>28</v>
      </c>
      <c r="R13" s="5" t="s">
        <v>27</v>
      </c>
    </row>
    <row r="14" spans="1:18" x14ac:dyDescent="0.25">
      <c r="A14" t="s">
        <v>7</v>
      </c>
      <c r="B14" s="1"/>
      <c r="C14" t="s">
        <v>48</v>
      </c>
      <c r="D14" s="1"/>
      <c r="E14" s="4">
        <v>1</v>
      </c>
      <c r="F14" s="4">
        <v>90</v>
      </c>
      <c r="G14" s="4">
        <v>0</v>
      </c>
      <c r="H14" s="4">
        <v>0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1</v>
      </c>
      <c r="O14" s="4">
        <v>6</v>
      </c>
      <c r="P14" s="4">
        <v>8</v>
      </c>
      <c r="Q14" s="4">
        <v>7</v>
      </c>
      <c r="R14" s="6">
        <v>6.2750000000000004</v>
      </c>
    </row>
    <row r="15" spans="1:18" x14ac:dyDescent="0.25">
      <c r="A15" t="s">
        <v>7</v>
      </c>
      <c r="B15" s="1"/>
      <c r="C15" t="s">
        <v>36</v>
      </c>
      <c r="D15" s="1"/>
      <c r="E15" s="4">
        <v>1</v>
      </c>
      <c r="F15" s="4">
        <v>90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</v>
      </c>
      <c r="N15" s="4">
        <v>1</v>
      </c>
      <c r="O15" s="4">
        <v>4</v>
      </c>
      <c r="P15" s="4">
        <v>3</v>
      </c>
      <c r="Q15" s="4">
        <v>8</v>
      </c>
      <c r="R15" s="6">
        <v>0.77500000000000002</v>
      </c>
    </row>
    <row r="16" spans="1:18" x14ac:dyDescent="0.25">
      <c r="A16" t="s">
        <v>7</v>
      </c>
      <c r="B16" s="1"/>
      <c r="C16" t="s">
        <v>34</v>
      </c>
      <c r="D16" s="1"/>
      <c r="E16" s="4">
        <v>1</v>
      </c>
      <c r="F16" s="4">
        <v>90</v>
      </c>
      <c r="G16" s="4">
        <v>0</v>
      </c>
      <c r="H16" s="4">
        <v>0</v>
      </c>
      <c r="I16" s="4">
        <v>0</v>
      </c>
      <c r="J16" s="4">
        <v>3</v>
      </c>
      <c r="K16" s="4">
        <v>0</v>
      </c>
      <c r="L16" s="4">
        <v>0</v>
      </c>
      <c r="M16" s="4">
        <v>0</v>
      </c>
      <c r="N16" s="4">
        <v>3</v>
      </c>
      <c r="O16" s="4">
        <v>6</v>
      </c>
      <c r="P16" s="4">
        <v>6</v>
      </c>
      <c r="Q16" s="4">
        <v>9</v>
      </c>
      <c r="R16" s="6">
        <v>12.775</v>
      </c>
    </row>
    <row r="17" spans="1:18" x14ac:dyDescent="0.25">
      <c r="A17" t="s">
        <v>7</v>
      </c>
      <c r="B17" s="1"/>
      <c r="C17" t="s">
        <v>35</v>
      </c>
      <c r="D17" s="1"/>
      <c r="E17" s="4">
        <v>1</v>
      </c>
      <c r="F17" s="4">
        <v>90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5</v>
      </c>
      <c r="N17" s="4">
        <v>0</v>
      </c>
      <c r="O17" s="4">
        <v>11</v>
      </c>
      <c r="P17" s="4">
        <v>12</v>
      </c>
      <c r="Q17" s="4">
        <v>10</v>
      </c>
      <c r="R17" s="6">
        <v>-1.4750000000000001</v>
      </c>
    </row>
    <row r="18" spans="1:18" x14ac:dyDescent="0.25">
      <c r="A18" t="s">
        <v>7</v>
      </c>
      <c r="B18" s="1"/>
      <c r="C18" t="s">
        <v>33</v>
      </c>
      <c r="D18" s="1"/>
      <c r="E18" s="4">
        <v>1</v>
      </c>
      <c r="F18" s="4">
        <v>90</v>
      </c>
      <c r="G18" s="4">
        <v>0</v>
      </c>
      <c r="H18" s="4">
        <v>0</v>
      </c>
      <c r="I18" s="4">
        <v>2</v>
      </c>
      <c r="J18" s="4">
        <v>2</v>
      </c>
      <c r="K18" s="4">
        <v>0</v>
      </c>
      <c r="L18" s="4">
        <v>0</v>
      </c>
      <c r="M18" s="4">
        <v>0</v>
      </c>
      <c r="N18" s="4">
        <v>3</v>
      </c>
      <c r="O18" s="4">
        <v>13</v>
      </c>
      <c r="P18" s="4">
        <v>6</v>
      </c>
      <c r="Q18" s="4">
        <v>13</v>
      </c>
      <c r="R18" s="6">
        <v>20.274999999999999</v>
      </c>
    </row>
    <row r="19" spans="1:18" x14ac:dyDescent="0.25">
      <c r="B19" s="1"/>
      <c r="C19"/>
      <c r="D19" s="1"/>
    </row>
    <row r="20" spans="1:18" x14ac:dyDescent="0.25">
      <c r="B20" s="1"/>
      <c r="C20"/>
      <c r="D20" s="1"/>
    </row>
    <row r="21" spans="1:18" x14ac:dyDescent="0.25">
      <c r="A21" s="3" t="s">
        <v>14</v>
      </c>
      <c r="B21" s="2" t="s">
        <v>1</v>
      </c>
      <c r="C21" s="8" t="s">
        <v>2</v>
      </c>
      <c r="D21" s="2" t="s">
        <v>3</v>
      </c>
      <c r="E21" s="2" t="s">
        <v>15</v>
      </c>
      <c r="F21" s="2" t="s">
        <v>16</v>
      </c>
      <c r="G21" s="2" t="s">
        <v>17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  <c r="M21" s="2" t="s">
        <v>23</v>
      </c>
      <c r="N21" s="2" t="s">
        <v>24</v>
      </c>
      <c r="O21" s="2" t="s">
        <v>25</v>
      </c>
      <c r="P21" s="2" t="s">
        <v>26</v>
      </c>
      <c r="Q21" s="2" t="s">
        <v>28</v>
      </c>
      <c r="R21" s="5" t="s">
        <v>27</v>
      </c>
    </row>
    <row r="22" spans="1:18" x14ac:dyDescent="0.25">
      <c r="A22" t="s">
        <v>6</v>
      </c>
      <c r="B22" s="1"/>
      <c r="C22" t="s">
        <v>49</v>
      </c>
      <c r="D22" s="1"/>
      <c r="E22" s="4">
        <v>1</v>
      </c>
      <c r="F22" s="4">
        <v>45</v>
      </c>
      <c r="G22" s="4">
        <v>1</v>
      </c>
      <c r="H22" s="4">
        <v>0</v>
      </c>
      <c r="I22" s="4">
        <v>1</v>
      </c>
      <c r="J22" s="4">
        <v>2</v>
      </c>
      <c r="K22" s="4">
        <v>0</v>
      </c>
      <c r="L22" s="4">
        <v>0</v>
      </c>
      <c r="M22" s="4">
        <v>1</v>
      </c>
      <c r="N22" s="4">
        <v>2</v>
      </c>
      <c r="O22" s="4">
        <v>4</v>
      </c>
      <c r="P22" s="4">
        <v>2</v>
      </c>
      <c r="Q22" s="4">
        <v>2</v>
      </c>
      <c r="R22" s="6">
        <v>10.369</v>
      </c>
    </row>
    <row r="23" spans="1:18" x14ac:dyDescent="0.25">
      <c r="A23" t="s">
        <v>6</v>
      </c>
      <c r="B23" s="1"/>
      <c r="C23" t="s">
        <v>32</v>
      </c>
      <c r="D23" s="1"/>
      <c r="E23" s="4">
        <v>1</v>
      </c>
      <c r="F23" s="4">
        <v>45</v>
      </c>
      <c r="G23" s="4">
        <v>1</v>
      </c>
      <c r="H23" s="4">
        <v>0</v>
      </c>
      <c r="I23" s="4">
        <v>2</v>
      </c>
      <c r="J23" s="4">
        <v>2</v>
      </c>
      <c r="K23" s="4">
        <v>0</v>
      </c>
      <c r="L23" s="4">
        <v>0</v>
      </c>
      <c r="M23" s="4">
        <v>0</v>
      </c>
      <c r="N23" s="4">
        <v>3</v>
      </c>
      <c r="O23" s="4">
        <v>5</v>
      </c>
      <c r="P23" s="4">
        <v>7</v>
      </c>
      <c r="Q23" s="4">
        <v>1</v>
      </c>
      <c r="R23" s="6">
        <v>12.9</v>
      </c>
    </row>
    <row r="24" spans="1:18" x14ac:dyDescent="0.25">
      <c r="A24" t="s">
        <v>6</v>
      </c>
      <c r="B24" s="1"/>
      <c r="C24" t="s">
        <v>31</v>
      </c>
      <c r="D24" s="1"/>
      <c r="E24" s="4">
        <v>1</v>
      </c>
      <c r="F24" s="4">
        <v>45</v>
      </c>
      <c r="G24" s="4">
        <v>0</v>
      </c>
      <c r="H24" s="4">
        <v>1</v>
      </c>
      <c r="I24" s="4">
        <v>0</v>
      </c>
      <c r="J24" s="4">
        <v>1</v>
      </c>
      <c r="K24" s="4">
        <v>0</v>
      </c>
      <c r="L24" s="4">
        <v>0</v>
      </c>
      <c r="M24" s="4">
        <v>1</v>
      </c>
      <c r="N24" s="4">
        <v>3</v>
      </c>
      <c r="O24" s="4">
        <v>5</v>
      </c>
      <c r="P24" s="4">
        <v>5</v>
      </c>
      <c r="Q24" s="4">
        <v>4</v>
      </c>
      <c r="R24" s="6">
        <v>4.0250000000000004</v>
      </c>
    </row>
    <row r="25" spans="1:18" x14ac:dyDescent="0.25">
      <c r="A25" t="s">
        <v>6</v>
      </c>
      <c r="B25" s="1"/>
      <c r="C25" t="s">
        <v>30</v>
      </c>
      <c r="D25" s="1"/>
      <c r="E25" s="4">
        <v>1</v>
      </c>
      <c r="F25" s="4">
        <v>45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0</v>
      </c>
      <c r="M25" s="4">
        <v>1</v>
      </c>
      <c r="N25" s="4">
        <v>0</v>
      </c>
      <c r="O25" s="4">
        <v>3</v>
      </c>
      <c r="P25" s="4">
        <v>2</v>
      </c>
      <c r="Q25" s="4">
        <v>0</v>
      </c>
      <c r="R25" s="6">
        <v>1.244</v>
      </c>
    </row>
    <row r="26" spans="1:18" x14ac:dyDescent="0.25">
      <c r="A26" t="s">
        <v>53</v>
      </c>
      <c r="O26" s="11">
        <f>SUM(O4:O25)</f>
        <v>70</v>
      </c>
      <c r="P26" s="11">
        <f>SUM(P4:P25)</f>
        <v>67</v>
      </c>
      <c r="Q26" s="11">
        <f>SUM(Q4:Q25)</f>
        <v>67</v>
      </c>
      <c r="R26" s="12">
        <f>AVERAGE(R4:R25)</f>
        <v>4.9147857142857143</v>
      </c>
    </row>
    <row r="28" spans="1:18" ht="23.25" x14ac:dyDescent="0.35">
      <c r="C28" s="7" t="s">
        <v>50</v>
      </c>
    </row>
    <row r="29" spans="1:18" x14ac:dyDescent="0.25">
      <c r="A29" s="3" t="s">
        <v>14</v>
      </c>
      <c r="B29" s="2" t="s">
        <v>1</v>
      </c>
      <c r="C29" s="8" t="s">
        <v>2</v>
      </c>
      <c r="D29" s="2" t="s">
        <v>3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19</v>
      </c>
      <c r="J29" s="2" t="s">
        <v>20</v>
      </c>
      <c r="K29" s="2" t="s">
        <v>21</v>
      </c>
      <c r="L29" s="2" t="s">
        <v>22</v>
      </c>
      <c r="M29" s="2" t="s">
        <v>23</v>
      </c>
      <c r="N29" s="2" t="s">
        <v>24</v>
      </c>
      <c r="O29" s="2" t="s">
        <v>25</v>
      </c>
      <c r="P29" s="2" t="s">
        <v>26</v>
      </c>
      <c r="Q29" s="2" t="s">
        <v>28</v>
      </c>
      <c r="R29" s="5" t="s">
        <v>27</v>
      </c>
    </row>
    <row r="30" spans="1:18" x14ac:dyDescent="0.25">
      <c r="A30" t="s">
        <v>4</v>
      </c>
      <c r="B30" s="1"/>
      <c r="C30" t="s">
        <v>46</v>
      </c>
      <c r="D30" s="1"/>
      <c r="E30" s="4">
        <v>1</v>
      </c>
      <c r="F30" s="4">
        <v>90</v>
      </c>
      <c r="G30" s="4">
        <v>0</v>
      </c>
      <c r="H30" s="4">
        <v>0</v>
      </c>
      <c r="I30" s="4">
        <v>2</v>
      </c>
      <c r="J30" s="4">
        <v>5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1</v>
      </c>
      <c r="R30" s="6">
        <v>12.156000000000001</v>
      </c>
    </row>
    <row r="31" spans="1:18" x14ac:dyDescent="0.25">
      <c r="B31" s="1"/>
      <c r="C31"/>
      <c r="D31" s="1"/>
    </row>
    <row r="32" spans="1:18" x14ac:dyDescent="0.25">
      <c r="A32" s="3" t="s">
        <v>14</v>
      </c>
      <c r="B32" s="2" t="s">
        <v>1</v>
      </c>
      <c r="C32" s="8" t="s">
        <v>2</v>
      </c>
      <c r="D32" s="2" t="s">
        <v>3</v>
      </c>
      <c r="E32" s="2" t="s">
        <v>15</v>
      </c>
      <c r="F32" s="2" t="s">
        <v>16</v>
      </c>
      <c r="G32" s="2" t="s">
        <v>17</v>
      </c>
      <c r="H32" s="2" t="s">
        <v>18</v>
      </c>
      <c r="I32" s="2" t="s">
        <v>19</v>
      </c>
      <c r="J32" s="2" t="s">
        <v>20</v>
      </c>
      <c r="K32" s="2" t="s">
        <v>21</v>
      </c>
      <c r="L32" s="2" t="s">
        <v>22</v>
      </c>
      <c r="M32" s="2" t="s">
        <v>23</v>
      </c>
      <c r="N32" s="2" t="s">
        <v>24</v>
      </c>
      <c r="O32" s="2" t="s">
        <v>25</v>
      </c>
      <c r="P32" s="2" t="s">
        <v>26</v>
      </c>
      <c r="Q32" s="2" t="s">
        <v>28</v>
      </c>
      <c r="R32" s="5" t="s">
        <v>27</v>
      </c>
    </row>
    <row r="33" spans="1:18" x14ac:dyDescent="0.25">
      <c r="A33" t="s">
        <v>5</v>
      </c>
      <c r="B33" s="1"/>
      <c r="C33" t="s">
        <v>40</v>
      </c>
      <c r="D33" s="1"/>
      <c r="E33" s="4">
        <v>1</v>
      </c>
      <c r="F33" s="4">
        <v>90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1</v>
      </c>
      <c r="O33" s="4">
        <v>9</v>
      </c>
      <c r="P33" s="4">
        <v>3</v>
      </c>
      <c r="Q33" s="4">
        <v>10</v>
      </c>
      <c r="R33" s="6">
        <v>10.606</v>
      </c>
    </row>
    <row r="34" spans="1:18" x14ac:dyDescent="0.25">
      <c r="A34" t="s">
        <v>5</v>
      </c>
      <c r="B34" s="1"/>
      <c r="C34" t="s">
        <v>51</v>
      </c>
      <c r="D34" s="1"/>
      <c r="E34" s="4">
        <v>1</v>
      </c>
      <c r="F34" s="4">
        <v>90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1</v>
      </c>
      <c r="N34" s="4">
        <v>1</v>
      </c>
      <c r="O34" s="4">
        <v>7</v>
      </c>
      <c r="P34" s="4">
        <v>6</v>
      </c>
      <c r="Q34" s="4">
        <v>5</v>
      </c>
      <c r="R34" s="6">
        <v>9.5559999999999992</v>
      </c>
    </row>
    <row r="35" spans="1:18" x14ac:dyDescent="0.25">
      <c r="A35" t="s">
        <v>5</v>
      </c>
      <c r="B35" s="1"/>
      <c r="C35" t="s">
        <v>42</v>
      </c>
      <c r="D35" s="1"/>
      <c r="E35" s="4">
        <v>1</v>
      </c>
      <c r="F35" s="4">
        <v>45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0</v>
      </c>
      <c r="R35" s="6">
        <v>5.7939999999999996</v>
      </c>
    </row>
    <row r="36" spans="1:18" x14ac:dyDescent="0.25">
      <c r="A36" t="s">
        <v>5</v>
      </c>
      <c r="B36" s="1"/>
      <c r="C36" t="s">
        <v>43</v>
      </c>
      <c r="D36" s="1"/>
      <c r="E36" s="4">
        <v>1</v>
      </c>
      <c r="F36" s="4">
        <v>45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2</v>
      </c>
      <c r="N36" s="4">
        <v>0</v>
      </c>
      <c r="O36" s="4">
        <v>6</v>
      </c>
      <c r="P36" s="4">
        <v>2</v>
      </c>
      <c r="Q36" s="4">
        <v>4</v>
      </c>
      <c r="R36" s="6">
        <v>5.556</v>
      </c>
    </row>
    <row r="37" spans="1:18" x14ac:dyDescent="0.25">
      <c r="B37" s="1"/>
      <c r="C37"/>
      <c r="D37" s="1"/>
    </row>
    <row r="38" spans="1:18" x14ac:dyDescent="0.25">
      <c r="B38" s="1"/>
      <c r="C38" s="1"/>
      <c r="D38" s="1"/>
    </row>
    <row r="39" spans="1:18" x14ac:dyDescent="0.25">
      <c r="A39" s="3" t="s">
        <v>14</v>
      </c>
      <c r="B39" s="2" t="s">
        <v>1</v>
      </c>
      <c r="C39" s="8" t="s">
        <v>2</v>
      </c>
      <c r="D39" s="2" t="s">
        <v>3</v>
      </c>
      <c r="E39" s="2" t="s">
        <v>15</v>
      </c>
      <c r="F39" s="2" t="s">
        <v>16</v>
      </c>
      <c r="G39" s="2" t="s">
        <v>17</v>
      </c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  <c r="M39" s="2" t="s">
        <v>23</v>
      </c>
      <c r="N39" s="2" t="s">
        <v>24</v>
      </c>
      <c r="O39" s="2" t="s">
        <v>25</v>
      </c>
      <c r="P39" s="2" t="s">
        <v>26</v>
      </c>
      <c r="Q39" s="2" t="s">
        <v>28</v>
      </c>
      <c r="R39" s="5" t="s">
        <v>27</v>
      </c>
    </row>
    <row r="40" spans="1:18" x14ac:dyDescent="0.25">
      <c r="A40" t="s">
        <v>7</v>
      </c>
      <c r="B40" s="1"/>
      <c r="C40" t="s">
        <v>48</v>
      </c>
      <c r="D40" s="1"/>
      <c r="E40" s="4">
        <v>1</v>
      </c>
      <c r="F40" s="4">
        <v>90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</v>
      </c>
      <c r="O40" s="4">
        <v>10</v>
      </c>
      <c r="P40" s="4">
        <v>10</v>
      </c>
      <c r="Q40" s="4">
        <v>8</v>
      </c>
      <c r="R40" s="6">
        <v>7.056</v>
      </c>
    </row>
    <row r="41" spans="1:18" x14ac:dyDescent="0.25">
      <c r="A41" t="s">
        <v>7</v>
      </c>
      <c r="B41" s="1"/>
      <c r="C41" t="s">
        <v>36</v>
      </c>
      <c r="D41" s="1"/>
      <c r="E41" s="4">
        <v>1</v>
      </c>
      <c r="F41" s="4">
        <v>90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2</v>
      </c>
      <c r="N41" s="4">
        <v>2</v>
      </c>
      <c r="O41" s="4">
        <v>5</v>
      </c>
      <c r="P41" s="4">
        <v>5</v>
      </c>
      <c r="Q41" s="4">
        <v>6</v>
      </c>
      <c r="R41" s="6">
        <v>6.056</v>
      </c>
    </row>
    <row r="42" spans="1:18" x14ac:dyDescent="0.25">
      <c r="A42" t="s">
        <v>7</v>
      </c>
      <c r="B42" s="1"/>
      <c r="C42" t="s">
        <v>52</v>
      </c>
      <c r="D42" s="1"/>
      <c r="E42" s="4">
        <v>1</v>
      </c>
      <c r="F42" s="4">
        <v>90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1</v>
      </c>
      <c r="N42" s="4">
        <v>0</v>
      </c>
      <c r="O42" s="4">
        <v>9</v>
      </c>
      <c r="P42" s="4">
        <v>4</v>
      </c>
      <c r="Q42" s="4">
        <v>6</v>
      </c>
      <c r="R42" s="6">
        <v>7.6559999999999997</v>
      </c>
    </row>
    <row r="43" spans="1:18" x14ac:dyDescent="0.25">
      <c r="A43" t="s">
        <v>7</v>
      </c>
      <c r="B43" s="1"/>
      <c r="C43" t="s">
        <v>35</v>
      </c>
      <c r="D43" s="1"/>
      <c r="E43" s="4">
        <v>1</v>
      </c>
      <c r="F43" s="4">
        <v>90</v>
      </c>
      <c r="G43" s="4">
        <v>0</v>
      </c>
      <c r="H43" s="4">
        <v>1</v>
      </c>
      <c r="I43" s="4">
        <v>0</v>
      </c>
      <c r="J43" s="4">
        <v>0</v>
      </c>
      <c r="K43" s="4">
        <v>0</v>
      </c>
      <c r="L43" s="4">
        <v>0</v>
      </c>
      <c r="M43" s="4">
        <v>1</v>
      </c>
      <c r="N43" s="4">
        <v>2</v>
      </c>
      <c r="O43" s="4">
        <v>6</v>
      </c>
      <c r="P43" s="4">
        <v>5</v>
      </c>
      <c r="Q43" s="4">
        <v>8</v>
      </c>
      <c r="R43" s="6">
        <v>10.456</v>
      </c>
    </row>
    <row r="44" spans="1:18" x14ac:dyDescent="0.25">
      <c r="A44" t="s">
        <v>7</v>
      </c>
      <c r="B44" s="1"/>
      <c r="C44" t="s">
        <v>33</v>
      </c>
      <c r="D44" s="1"/>
      <c r="E44" s="4">
        <v>1</v>
      </c>
      <c r="F44" s="4">
        <v>90</v>
      </c>
      <c r="G44" s="4">
        <v>0</v>
      </c>
      <c r="H44" s="4">
        <v>0</v>
      </c>
      <c r="I44" s="4">
        <v>0</v>
      </c>
      <c r="J44" s="4">
        <v>2</v>
      </c>
      <c r="K44" s="4">
        <v>0</v>
      </c>
      <c r="L44" s="4">
        <v>0</v>
      </c>
      <c r="M44" s="4">
        <v>3</v>
      </c>
      <c r="N44" s="4">
        <v>2</v>
      </c>
      <c r="O44" s="4">
        <v>17</v>
      </c>
      <c r="P44" s="4">
        <v>9</v>
      </c>
      <c r="Q44" s="4">
        <v>22</v>
      </c>
      <c r="R44" s="6">
        <v>12.965</v>
      </c>
    </row>
    <row r="45" spans="1:18" x14ac:dyDescent="0.25">
      <c r="B45" s="1"/>
      <c r="C45"/>
      <c r="D45" s="1"/>
    </row>
    <row r="46" spans="1:18" x14ac:dyDescent="0.25">
      <c r="B46" s="1"/>
      <c r="C46"/>
      <c r="D46" s="1"/>
    </row>
    <row r="47" spans="1:18" x14ac:dyDescent="0.25">
      <c r="A47" s="3" t="s">
        <v>14</v>
      </c>
      <c r="B47" s="2" t="s">
        <v>1</v>
      </c>
      <c r="C47" s="8" t="s">
        <v>2</v>
      </c>
      <c r="D47" s="2" t="s">
        <v>3</v>
      </c>
      <c r="E47" s="2" t="s">
        <v>15</v>
      </c>
      <c r="F47" s="2" t="s">
        <v>16</v>
      </c>
      <c r="G47" s="2" t="s">
        <v>17</v>
      </c>
      <c r="H47" s="2" t="s">
        <v>18</v>
      </c>
      <c r="I47" s="2" t="s">
        <v>19</v>
      </c>
      <c r="J47" s="2" t="s">
        <v>20</v>
      </c>
      <c r="K47" s="2" t="s">
        <v>21</v>
      </c>
      <c r="L47" s="2" t="s">
        <v>22</v>
      </c>
      <c r="M47" s="2" t="s">
        <v>23</v>
      </c>
      <c r="N47" s="2" t="s">
        <v>24</v>
      </c>
      <c r="O47" s="2" t="s">
        <v>25</v>
      </c>
      <c r="P47" s="2" t="s">
        <v>26</v>
      </c>
      <c r="Q47" s="2" t="s">
        <v>28</v>
      </c>
      <c r="R47" s="5" t="s">
        <v>27</v>
      </c>
    </row>
    <row r="48" spans="1:18" x14ac:dyDescent="0.25">
      <c r="A48" t="s">
        <v>6</v>
      </c>
      <c r="B48" s="1"/>
      <c r="C48" t="s">
        <v>49</v>
      </c>
      <c r="D48" s="1"/>
      <c r="E48" s="4">
        <v>1</v>
      </c>
      <c r="F48" s="4">
        <v>45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2</v>
      </c>
      <c r="N48" s="4">
        <v>0</v>
      </c>
      <c r="O48" s="4">
        <v>2</v>
      </c>
      <c r="P48" s="4">
        <v>6</v>
      </c>
      <c r="Q48" s="4">
        <v>3</v>
      </c>
      <c r="R48" s="6">
        <v>0.98099999999999998</v>
      </c>
    </row>
    <row r="49" spans="1:18" x14ac:dyDescent="0.25">
      <c r="A49" t="s">
        <v>6</v>
      </c>
      <c r="B49" s="1"/>
      <c r="C49" t="s">
        <v>32</v>
      </c>
      <c r="D49" s="1"/>
      <c r="E49" s="4">
        <v>1</v>
      </c>
      <c r="F49" s="4">
        <v>45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0</v>
      </c>
      <c r="N49" s="4">
        <v>1</v>
      </c>
      <c r="O49" s="4">
        <v>3</v>
      </c>
      <c r="P49" s="4">
        <v>4</v>
      </c>
      <c r="Q49" s="4">
        <v>1</v>
      </c>
      <c r="R49" s="6">
        <v>1.2310000000000001</v>
      </c>
    </row>
    <row r="50" spans="1:18" x14ac:dyDescent="0.25">
      <c r="A50" t="s">
        <v>6</v>
      </c>
      <c r="B50" s="1"/>
      <c r="C50" t="s">
        <v>31</v>
      </c>
      <c r="D50" s="1"/>
      <c r="E50" s="4">
        <v>1</v>
      </c>
      <c r="F50" s="4">
        <v>45</v>
      </c>
      <c r="G50" s="4">
        <v>1</v>
      </c>
      <c r="H50" s="4">
        <v>0</v>
      </c>
      <c r="I50" s="4">
        <v>1</v>
      </c>
      <c r="J50" s="4">
        <v>0</v>
      </c>
      <c r="K50" s="4">
        <v>0</v>
      </c>
      <c r="L50" s="4">
        <v>0</v>
      </c>
      <c r="M50" s="4">
        <v>3</v>
      </c>
      <c r="N50" s="4">
        <v>0</v>
      </c>
      <c r="O50" s="4">
        <v>3</v>
      </c>
      <c r="P50" s="4">
        <v>9</v>
      </c>
      <c r="Q50" s="4">
        <v>3</v>
      </c>
      <c r="R50" s="6">
        <v>4.2190000000000003</v>
      </c>
    </row>
    <row r="51" spans="1:18" x14ac:dyDescent="0.25">
      <c r="A51" t="s">
        <v>6</v>
      </c>
      <c r="B51" s="1"/>
      <c r="C51" t="s">
        <v>30</v>
      </c>
      <c r="D51" s="1"/>
      <c r="E51" s="4">
        <v>1</v>
      </c>
      <c r="F51" s="4">
        <v>45</v>
      </c>
      <c r="G51" s="4">
        <v>0</v>
      </c>
      <c r="H51" s="4">
        <v>0</v>
      </c>
      <c r="I51" s="4">
        <v>1</v>
      </c>
      <c r="J51" s="4">
        <v>1</v>
      </c>
      <c r="K51" s="4">
        <v>0</v>
      </c>
      <c r="L51" s="4">
        <v>0</v>
      </c>
      <c r="M51" s="4">
        <v>0</v>
      </c>
      <c r="N51" s="4">
        <v>0</v>
      </c>
      <c r="O51" s="4">
        <v>4</v>
      </c>
      <c r="P51" s="4">
        <v>6</v>
      </c>
      <c r="Q51" s="4">
        <v>1</v>
      </c>
      <c r="R51" s="6">
        <v>1.468</v>
      </c>
    </row>
    <row r="52" spans="1:18" x14ac:dyDescent="0.25">
      <c r="A52" t="s">
        <v>53</v>
      </c>
      <c r="B52" s="1"/>
      <c r="C52"/>
      <c r="D52" s="1"/>
      <c r="O52" s="11">
        <f>SUM(O30:O51)</f>
        <v>82</v>
      </c>
      <c r="P52" s="11">
        <f>SUM(P30:P51)</f>
        <v>71</v>
      </c>
      <c r="Q52" s="11">
        <f>SUM(Q30:Q51)</f>
        <v>78</v>
      </c>
      <c r="R52" s="12">
        <f>AVERAGE(R30:R51)</f>
        <v>6.839714285714285</v>
      </c>
    </row>
    <row r="53" spans="1:18" x14ac:dyDescent="0.25">
      <c r="D53" s="1"/>
    </row>
    <row r="55" spans="1:18" ht="23.25" x14ac:dyDescent="0.35">
      <c r="C55" s="7" t="s">
        <v>54</v>
      </c>
    </row>
    <row r="56" spans="1:18" x14ac:dyDescent="0.25">
      <c r="A56" s="3" t="s">
        <v>14</v>
      </c>
      <c r="B56" s="2" t="s">
        <v>1</v>
      </c>
      <c r="C56" s="8" t="s">
        <v>2</v>
      </c>
      <c r="D56" s="2" t="s">
        <v>3</v>
      </c>
      <c r="E56" s="2" t="s">
        <v>15</v>
      </c>
      <c r="F56" s="2" t="s">
        <v>16</v>
      </c>
      <c r="G56" s="2" t="s">
        <v>17</v>
      </c>
      <c r="H56" s="2" t="s">
        <v>18</v>
      </c>
      <c r="I56" s="2" t="s">
        <v>19</v>
      </c>
      <c r="J56" s="2" t="s">
        <v>20</v>
      </c>
      <c r="K56" s="2" t="s">
        <v>21</v>
      </c>
      <c r="L56" s="2" t="s">
        <v>22</v>
      </c>
      <c r="M56" s="2" t="s">
        <v>23</v>
      </c>
      <c r="N56" s="2" t="s">
        <v>24</v>
      </c>
      <c r="O56" s="2" t="s">
        <v>25</v>
      </c>
      <c r="P56" s="2" t="s">
        <v>26</v>
      </c>
      <c r="Q56" s="2" t="s">
        <v>28</v>
      </c>
      <c r="R56" s="5" t="s">
        <v>27</v>
      </c>
    </row>
    <row r="57" spans="1:18" x14ac:dyDescent="0.25">
      <c r="A57" t="s">
        <v>4</v>
      </c>
      <c r="B57" s="1"/>
      <c r="C57" t="s">
        <v>46</v>
      </c>
      <c r="D57" s="1"/>
      <c r="E57" s="4">
        <v>1</v>
      </c>
      <c r="F57" s="4">
        <v>90</v>
      </c>
      <c r="G57" s="4">
        <v>0</v>
      </c>
      <c r="H57" s="4">
        <v>0</v>
      </c>
      <c r="I57" s="4">
        <v>1</v>
      </c>
      <c r="J57" s="4">
        <v>6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6">
        <v>9.8059999999999992</v>
      </c>
    </row>
    <row r="58" spans="1:18" x14ac:dyDescent="0.25">
      <c r="B58" s="1"/>
      <c r="C58" s="1"/>
      <c r="D58" s="1"/>
    </row>
    <row r="59" spans="1:18" x14ac:dyDescent="0.25">
      <c r="A59" s="3" t="s">
        <v>14</v>
      </c>
      <c r="B59" s="2" t="s">
        <v>1</v>
      </c>
      <c r="C59" s="8" t="s">
        <v>2</v>
      </c>
      <c r="D59" s="2" t="s">
        <v>3</v>
      </c>
      <c r="E59" s="2" t="s">
        <v>15</v>
      </c>
      <c r="F59" s="2" t="s">
        <v>16</v>
      </c>
      <c r="G59" s="2" t="s">
        <v>17</v>
      </c>
      <c r="H59" s="2" t="s">
        <v>18</v>
      </c>
      <c r="I59" s="2" t="s">
        <v>19</v>
      </c>
      <c r="J59" s="2" t="s">
        <v>20</v>
      </c>
      <c r="K59" s="2" t="s">
        <v>21</v>
      </c>
      <c r="L59" s="2" t="s">
        <v>22</v>
      </c>
      <c r="M59" s="2" t="s">
        <v>23</v>
      </c>
      <c r="N59" s="2" t="s">
        <v>24</v>
      </c>
      <c r="O59" s="2" t="s">
        <v>25</v>
      </c>
      <c r="P59" s="2" t="s">
        <v>26</v>
      </c>
      <c r="Q59" s="2" t="s">
        <v>28</v>
      </c>
      <c r="R59" s="5" t="s">
        <v>27</v>
      </c>
    </row>
    <row r="60" spans="1:18" x14ac:dyDescent="0.25">
      <c r="A60" t="s">
        <v>5</v>
      </c>
      <c r="B60" s="1"/>
      <c r="C60" t="s">
        <v>40</v>
      </c>
      <c r="D60" s="1"/>
      <c r="E60" s="4">
        <v>1</v>
      </c>
      <c r="F60" s="4">
        <v>90</v>
      </c>
      <c r="G60" s="4">
        <v>0</v>
      </c>
      <c r="H60" s="4">
        <v>0</v>
      </c>
      <c r="I60" s="4">
        <v>0</v>
      </c>
      <c r="J60" s="4">
        <v>0</v>
      </c>
      <c r="K60" s="4">
        <v>1</v>
      </c>
      <c r="L60" s="4">
        <v>0</v>
      </c>
      <c r="M60" s="4">
        <v>2</v>
      </c>
      <c r="N60" s="4">
        <v>0</v>
      </c>
      <c r="O60" s="4">
        <v>3</v>
      </c>
      <c r="P60" s="4">
        <v>1</v>
      </c>
      <c r="Q60" s="4">
        <v>2</v>
      </c>
      <c r="R60" s="6">
        <v>6.3559999999999999</v>
      </c>
    </row>
    <row r="61" spans="1:18" x14ac:dyDescent="0.25">
      <c r="A61" t="s">
        <v>5</v>
      </c>
      <c r="B61" s="1"/>
      <c r="C61" t="s">
        <v>44</v>
      </c>
      <c r="D61" s="1"/>
      <c r="E61" s="4">
        <v>1</v>
      </c>
      <c r="F61" s="4">
        <v>90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2</v>
      </c>
      <c r="N61" s="4">
        <v>1</v>
      </c>
      <c r="O61" s="4">
        <v>11</v>
      </c>
      <c r="P61" s="4">
        <v>2</v>
      </c>
      <c r="Q61" s="4">
        <v>7</v>
      </c>
      <c r="R61" s="6">
        <v>10.305999999999999</v>
      </c>
    </row>
    <row r="62" spans="1:18" x14ac:dyDescent="0.25">
      <c r="A62" t="s">
        <v>5</v>
      </c>
      <c r="B62" s="1"/>
      <c r="C62" t="s">
        <v>55</v>
      </c>
      <c r="D62" s="1"/>
      <c r="E62" s="4">
        <v>1</v>
      </c>
      <c r="F62" s="4">
        <v>90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1</v>
      </c>
      <c r="N62" s="4">
        <v>1</v>
      </c>
      <c r="O62" s="4">
        <v>4</v>
      </c>
      <c r="P62" s="4">
        <v>2</v>
      </c>
      <c r="Q62" s="4">
        <v>2</v>
      </c>
      <c r="R62" s="6">
        <v>8.5060000000000002</v>
      </c>
    </row>
    <row r="63" spans="1:18" x14ac:dyDescent="0.25">
      <c r="B63" s="1"/>
      <c r="C63"/>
      <c r="D63" s="1"/>
    </row>
    <row r="64" spans="1:18" x14ac:dyDescent="0.25">
      <c r="B64" s="1"/>
      <c r="C64" s="1"/>
      <c r="D64" s="1"/>
    </row>
    <row r="65" spans="1:18" x14ac:dyDescent="0.25">
      <c r="A65" s="3" t="s">
        <v>14</v>
      </c>
      <c r="B65" s="2" t="s">
        <v>1</v>
      </c>
      <c r="C65" s="8" t="s">
        <v>2</v>
      </c>
      <c r="D65" s="2" t="s">
        <v>3</v>
      </c>
      <c r="E65" s="2" t="s">
        <v>15</v>
      </c>
      <c r="F65" s="2" t="s">
        <v>16</v>
      </c>
      <c r="G65" s="2" t="s">
        <v>17</v>
      </c>
      <c r="H65" s="2" t="s">
        <v>18</v>
      </c>
      <c r="I65" s="2" t="s">
        <v>19</v>
      </c>
      <c r="J65" s="2" t="s">
        <v>20</v>
      </c>
      <c r="K65" s="2" t="s">
        <v>21</v>
      </c>
      <c r="L65" s="2" t="s">
        <v>22</v>
      </c>
      <c r="M65" s="2" t="s">
        <v>23</v>
      </c>
      <c r="N65" s="2" t="s">
        <v>24</v>
      </c>
      <c r="O65" s="2" t="s">
        <v>25</v>
      </c>
      <c r="P65" s="2" t="s">
        <v>26</v>
      </c>
      <c r="Q65" s="2" t="s">
        <v>28</v>
      </c>
      <c r="R65" s="5" t="s">
        <v>27</v>
      </c>
    </row>
    <row r="66" spans="1:18" x14ac:dyDescent="0.25">
      <c r="A66" t="s">
        <v>7</v>
      </c>
      <c r="B66" s="1"/>
      <c r="C66" t="s">
        <v>48</v>
      </c>
      <c r="D66" s="1"/>
      <c r="E66" s="4">
        <v>1</v>
      </c>
      <c r="F66" s="4">
        <v>90</v>
      </c>
      <c r="G66" s="4">
        <v>0</v>
      </c>
      <c r="H66" s="4">
        <v>0</v>
      </c>
      <c r="I66" s="4">
        <v>0</v>
      </c>
      <c r="J66" s="4">
        <v>1</v>
      </c>
      <c r="K66" s="4">
        <v>0</v>
      </c>
      <c r="L66" s="4">
        <v>0</v>
      </c>
      <c r="M66" s="4">
        <v>2</v>
      </c>
      <c r="N66" s="4">
        <v>0</v>
      </c>
      <c r="O66" s="4">
        <v>11</v>
      </c>
      <c r="P66" s="4">
        <v>8</v>
      </c>
      <c r="Q66" s="4">
        <v>4</v>
      </c>
      <c r="R66" s="6">
        <v>6.2060000000000004</v>
      </c>
    </row>
    <row r="67" spans="1:18" x14ac:dyDescent="0.25">
      <c r="A67" t="s">
        <v>7</v>
      </c>
      <c r="B67" s="1"/>
      <c r="C67" t="s">
        <v>37</v>
      </c>
      <c r="D67" s="1"/>
      <c r="E67" s="4">
        <v>1</v>
      </c>
      <c r="F67" s="4">
        <v>90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1</v>
      </c>
      <c r="N67" s="4">
        <v>3</v>
      </c>
      <c r="O67" s="4">
        <v>12</v>
      </c>
      <c r="P67" s="4">
        <v>3</v>
      </c>
      <c r="Q67" s="4">
        <v>9</v>
      </c>
      <c r="R67" s="6">
        <v>9.6059999999999999</v>
      </c>
    </row>
    <row r="68" spans="1:18" x14ac:dyDescent="0.25">
      <c r="A68" t="s">
        <v>7</v>
      </c>
      <c r="B68" s="1"/>
      <c r="C68" t="s">
        <v>34</v>
      </c>
      <c r="D68" s="1"/>
      <c r="E68" s="4">
        <v>1</v>
      </c>
      <c r="F68" s="4">
        <v>90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2</v>
      </c>
      <c r="N68" s="4">
        <v>2</v>
      </c>
      <c r="O68" s="4">
        <v>7</v>
      </c>
      <c r="P68" s="4">
        <v>7</v>
      </c>
      <c r="Q68" s="4">
        <v>8</v>
      </c>
      <c r="R68" s="6">
        <v>6.5060000000000002</v>
      </c>
    </row>
    <row r="69" spans="1:18" x14ac:dyDescent="0.25">
      <c r="A69" t="s">
        <v>7</v>
      </c>
      <c r="B69" s="1"/>
      <c r="C69" t="s">
        <v>35</v>
      </c>
      <c r="D69" s="1"/>
      <c r="E69" s="4">
        <v>1</v>
      </c>
      <c r="F69" s="4">
        <v>90</v>
      </c>
      <c r="G69" s="4">
        <v>0</v>
      </c>
      <c r="H69" s="4">
        <v>0</v>
      </c>
      <c r="I69" s="4">
        <v>0</v>
      </c>
      <c r="J69" s="4">
        <v>1</v>
      </c>
      <c r="K69" s="4">
        <v>0</v>
      </c>
      <c r="L69" s="4">
        <v>0</v>
      </c>
      <c r="M69" s="4">
        <v>2</v>
      </c>
      <c r="N69" s="4">
        <v>2</v>
      </c>
      <c r="O69" s="4">
        <v>3</v>
      </c>
      <c r="P69" s="4">
        <v>8</v>
      </c>
      <c r="Q69" s="4">
        <v>7</v>
      </c>
      <c r="R69" s="6">
        <v>6.306</v>
      </c>
    </row>
    <row r="70" spans="1:18" x14ac:dyDescent="0.25">
      <c r="A70" t="s">
        <v>7</v>
      </c>
      <c r="B70" s="1"/>
      <c r="C70" t="s">
        <v>33</v>
      </c>
      <c r="D70" s="1"/>
      <c r="E70" s="4">
        <v>1</v>
      </c>
      <c r="F70" s="4">
        <v>60</v>
      </c>
      <c r="G70" s="4">
        <v>0</v>
      </c>
      <c r="H70" s="4">
        <v>0</v>
      </c>
      <c r="I70" s="4">
        <v>1</v>
      </c>
      <c r="J70" s="4">
        <v>1</v>
      </c>
      <c r="K70" s="4">
        <v>0</v>
      </c>
      <c r="L70" s="4">
        <v>0</v>
      </c>
      <c r="M70" s="4">
        <v>0</v>
      </c>
      <c r="N70" s="4">
        <v>3</v>
      </c>
      <c r="O70" s="4">
        <v>5</v>
      </c>
      <c r="P70" s="4">
        <v>1</v>
      </c>
      <c r="Q70" s="4">
        <v>9</v>
      </c>
      <c r="R70" s="6">
        <v>11.581</v>
      </c>
    </row>
    <row r="71" spans="1:18" x14ac:dyDescent="0.25">
      <c r="A71" t="s">
        <v>7</v>
      </c>
      <c r="B71" s="1"/>
      <c r="C71" t="s">
        <v>36</v>
      </c>
      <c r="D71" s="1"/>
      <c r="E71" s="4">
        <v>1</v>
      </c>
      <c r="F71" s="4">
        <v>30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1</v>
      </c>
      <c r="N71" s="4">
        <v>1</v>
      </c>
      <c r="O71" s="4">
        <v>6</v>
      </c>
      <c r="P71" s="4">
        <v>4</v>
      </c>
      <c r="Q71" s="4">
        <v>11</v>
      </c>
      <c r="R71" s="6">
        <v>6.319</v>
      </c>
    </row>
    <row r="72" spans="1:18" x14ac:dyDescent="0.25">
      <c r="B72" s="1"/>
      <c r="C72"/>
      <c r="D72" s="1"/>
    </row>
    <row r="73" spans="1:18" x14ac:dyDescent="0.25">
      <c r="B73" s="1"/>
      <c r="C73" s="1"/>
      <c r="D73" s="1"/>
    </row>
    <row r="74" spans="1:18" x14ac:dyDescent="0.25">
      <c r="A74" s="3" t="s">
        <v>14</v>
      </c>
      <c r="B74" s="2" t="s">
        <v>1</v>
      </c>
      <c r="C74" s="8" t="s">
        <v>2</v>
      </c>
      <c r="D74" s="2" t="s">
        <v>3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19</v>
      </c>
      <c r="J74" s="2" t="s">
        <v>20</v>
      </c>
      <c r="K74" s="2" t="s">
        <v>21</v>
      </c>
      <c r="L74" s="2" t="s">
        <v>22</v>
      </c>
      <c r="M74" s="2" t="s">
        <v>23</v>
      </c>
      <c r="N74" s="2" t="s">
        <v>24</v>
      </c>
      <c r="O74" s="2" t="s">
        <v>25</v>
      </c>
      <c r="P74" s="2" t="s">
        <v>26</v>
      </c>
      <c r="Q74" s="2" t="s">
        <v>28</v>
      </c>
      <c r="R74" s="5" t="s">
        <v>27</v>
      </c>
    </row>
    <row r="75" spans="1:18" x14ac:dyDescent="0.25">
      <c r="A75" t="s">
        <v>6</v>
      </c>
      <c r="B75" s="1"/>
      <c r="C75" t="s">
        <v>49</v>
      </c>
      <c r="D75" s="1"/>
      <c r="E75" s="4">
        <v>1</v>
      </c>
      <c r="F75" s="4">
        <v>45</v>
      </c>
      <c r="G75" s="4">
        <v>0</v>
      </c>
      <c r="H75" s="4">
        <v>2</v>
      </c>
      <c r="I75" s="4">
        <v>2</v>
      </c>
      <c r="J75" s="4">
        <v>0</v>
      </c>
      <c r="K75" s="4">
        <v>0</v>
      </c>
      <c r="L75" s="4">
        <v>0</v>
      </c>
      <c r="M75" s="4">
        <v>1</v>
      </c>
      <c r="N75" s="4">
        <v>0</v>
      </c>
      <c r="O75" s="4">
        <v>4</v>
      </c>
      <c r="P75" s="4">
        <v>5</v>
      </c>
      <c r="Q75" s="4">
        <v>3</v>
      </c>
      <c r="R75" s="6">
        <v>3.7250000000000001</v>
      </c>
    </row>
    <row r="76" spans="1:18" x14ac:dyDescent="0.25">
      <c r="A76" t="s">
        <v>6</v>
      </c>
      <c r="B76" s="1"/>
      <c r="C76" t="s">
        <v>32</v>
      </c>
      <c r="D76" s="1"/>
      <c r="E76" s="4">
        <v>1</v>
      </c>
      <c r="F76" s="4">
        <v>45</v>
      </c>
      <c r="G76" s="4">
        <v>3</v>
      </c>
      <c r="H76" s="4">
        <v>0</v>
      </c>
      <c r="I76" s="4">
        <v>3</v>
      </c>
      <c r="J76" s="4">
        <v>2</v>
      </c>
      <c r="K76" s="4">
        <v>0</v>
      </c>
      <c r="L76" s="4">
        <v>0</v>
      </c>
      <c r="M76" s="4">
        <v>0</v>
      </c>
      <c r="N76" s="4">
        <v>0</v>
      </c>
      <c r="O76" s="4">
        <v>10</v>
      </c>
      <c r="P76" s="4">
        <v>6</v>
      </c>
      <c r="Q76" s="4">
        <v>2</v>
      </c>
      <c r="R76" s="6">
        <v>11.288</v>
      </c>
    </row>
    <row r="77" spans="1:18" x14ac:dyDescent="0.25">
      <c r="A77" t="s">
        <v>6</v>
      </c>
      <c r="B77" s="1"/>
      <c r="C77" t="s">
        <v>31</v>
      </c>
      <c r="D77" s="1"/>
      <c r="E77" s="4">
        <v>1</v>
      </c>
      <c r="F77" s="4">
        <v>45</v>
      </c>
      <c r="G77" s="4">
        <v>0</v>
      </c>
      <c r="H77" s="4">
        <v>0</v>
      </c>
      <c r="I77" s="4">
        <v>1</v>
      </c>
      <c r="J77" s="4">
        <v>1</v>
      </c>
      <c r="K77" s="4">
        <v>0</v>
      </c>
      <c r="L77" s="4">
        <v>0</v>
      </c>
      <c r="M77" s="4">
        <v>0</v>
      </c>
      <c r="N77" s="4">
        <v>0</v>
      </c>
      <c r="O77" s="4">
        <v>2</v>
      </c>
      <c r="P77" s="4">
        <v>2</v>
      </c>
      <c r="Q77" s="4">
        <v>0</v>
      </c>
      <c r="R77" s="6">
        <v>1.5125</v>
      </c>
    </row>
    <row r="78" spans="1:18" x14ac:dyDescent="0.25">
      <c r="A78" t="s">
        <v>6</v>
      </c>
      <c r="B78" s="1"/>
      <c r="C78" t="s">
        <v>30</v>
      </c>
      <c r="D78" s="1"/>
      <c r="E78" s="4">
        <v>1</v>
      </c>
      <c r="F78" s="4">
        <v>45</v>
      </c>
      <c r="G78" s="4">
        <v>1</v>
      </c>
      <c r="H78" s="4">
        <v>0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4">
        <v>2</v>
      </c>
      <c r="O78" s="4">
        <v>1</v>
      </c>
      <c r="P78" s="4">
        <v>6</v>
      </c>
      <c r="Q78" s="4">
        <v>2</v>
      </c>
      <c r="R78" s="6">
        <v>4.5250000000000004</v>
      </c>
    </row>
    <row r="79" spans="1:18" x14ac:dyDescent="0.25">
      <c r="A79" t="s">
        <v>53</v>
      </c>
      <c r="B79" s="1"/>
      <c r="C79"/>
      <c r="D79" s="1"/>
      <c r="O79" s="11">
        <f>SUM(O57:O78)</f>
        <v>79</v>
      </c>
      <c r="P79" s="11">
        <f>SUM(P57:P78)</f>
        <v>55</v>
      </c>
      <c r="Q79" s="11">
        <f>SUM(Q57:Q78)</f>
        <v>66</v>
      </c>
      <c r="R79" s="12">
        <f>AVERAGE(R57:R78)</f>
        <v>7.3248928571428573</v>
      </c>
    </row>
    <row r="82" spans="1:18" ht="23.25" x14ac:dyDescent="0.35">
      <c r="C82" s="7" t="s">
        <v>56</v>
      </c>
    </row>
    <row r="83" spans="1:18" x14ac:dyDescent="0.25">
      <c r="A83" s="3" t="s">
        <v>14</v>
      </c>
      <c r="B83" s="2" t="s">
        <v>1</v>
      </c>
      <c r="C83" s="8" t="s">
        <v>2</v>
      </c>
      <c r="D83" s="2" t="s">
        <v>3</v>
      </c>
      <c r="E83" s="2" t="s">
        <v>15</v>
      </c>
      <c r="F83" s="2" t="s">
        <v>16</v>
      </c>
      <c r="G83" s="2" t="s">
        <v>17</v>
      </c>
      <c r="H83" s="2" t="s">
        <v>18</v>
      </c>
      <c r="I83" s="2" t="s">
        <v>19</v>
      </c>
      <c r="J83" s="2" t="s">
        <v>20</v>
      </c>
      <c r="K83" s="2" t="s">
        <v>21</v>
      </c>
      <c r="L83" s="2" t="s">
        <v>22</v>
      </c>
      <c r="M83" s="2" t="s">
        <v>23</v>
      </c>
      <c r="N83" s="2" t="s">
        <v>24</v>
      </c>
      <c r="O83" s="2" t="s">
        <v>25</v>
      </c>
      <c r="P83" s="2" t="s">
        <v>26</v>
      </c>
      <c r="Q83" s="2" t="s">
        <v>28</v>
      </c>
      <c r="R83" s="5" t="s">
        <v>27</v>
      </c>
    </row>
    <row r="84" spans="1:18" x14ac:dyDescent="0.25">
      <c r="A84" t="s">
        <v>4</v>
      </c>
      <c r="B84" s="1"/>
      <c r="C84" t="s">
        <v>46</v>
      </c>
      <c r="D84" s="1"/>
      <c r="E84" s="4">
        <v>1</v>
      </c>
      <c r="F84" s="4">
        <v>90</v>
      </c>
      <c r="G84" s="4">
        <v>1</v>
      </c>
      <c r="H84" s="4">
        <v>0</v>
      </c>
      <c r="I84" s="4">
        <v>5</v>
      </c>
      <c r="J84" s="4">
        <v>5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6">
        <v>8.7874999999999996</v>
      </c>
    </row>
    <row r="85" spans="1:18" x14ac:dyDescent="0.25">
      <c r="B85" s="1"/>
      <c r="C85" s="1"/>
      <c r="D85" s="1"/>
    </row>
    <row r="86" spans="1:18" x14ac:dyDescent="0.25">
      <c r="A86" s="3" t="s">
        <v>14</v>
      </c>
      <c r="B86" s="2" t="s">
        <v>1</v>
      </c>
      <c r="C86" s="8" t="s">
        <v>2</v>
      </c>
      <c r="D86" s="2" t="s">
        <v>3</v>
      </c>
      <c r="E86" s="2" t="s">
        <v>15</v>
      </c>
      <c r="F86" s="2" t="s">
        <v>16</v>
      </c>
      <c r="G86" s="2" t="s">
        <v>17</v>
      </c>
      <c r="H86" s="2" t="s">
        <v>18</v>
      </c>
      <c r="I86" s="2" t="s">
        <v>19</v>
      </c>
      <c r="J86" s="2" t="s">
        <v>20</v>
      </c>
      <c r="K86" s="2" t="s">
        <v>21</v>
      </c>
      <c r="L86" s="2" t="s">
        <v>22</v>
      </c>
      <c r="M86" s="2" t="s">
        <v>23</v>
      </c>
      <c r="N86" s="2" t="s">
        <v>24</v>
      </c>
      <c r="O86" s="2" t="s">
        <v>25</v>
      </c>
      <c r="P86" s="2" t="s">
        <v>26</v>
      </c>
      <c r="Q86" s="2" t="s">
        <v>28</v>
      </c>
      <c r="R86" s="5" t="s">
        <v>27</v>
      </c>
    </row>
    <row r="87" spans="1:18" x14ac:dyDescent="0.25">
      <c r="A87" t="s">
        <v>5</v>
      </c>
      <c r="B87" s="1"/>
      <c r="C87" t="s">
        <v>40</v>
      </c>
      <c r="D87" s="1"/>
      <c r="E87" s="4">
        <v>1</v>
      </c>
      <c r="F87" s="4">
        <v>90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1</v>
      </c>
      <c r="N87" s="4">
        <v>0</v>
      </c>
      <c r="O87" s="4">
        <v>5</v>
      </c>
      <c r="P87" s="4">
        <v>0</v>
      </c>
      <c r="Q87" s="4">
        <v>3</v>
      </c>
      <c r="R87" s="6">
        <v>2.5874999999999999</v>
      </c>
    </row>
    <row r="88" spans="1:18" x14ac:dyDescent="0.25">
      <c r="A88" t="s">
        <v>5</v>
      </c>
      <c r="B88" s="1"/>
      <c r="C88" t="s">
        <v>44</v>
      </c>
      <c r="D88" s="1"/>
      <c r="E88" s="4">
        <v>1</v>
      </c>
      <c r="F88" s="4">
        <v>90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1</v>
      </c>
      <c r="N88" s="4">
        <v>0</v>
      </c>
      <c r="O88" s="4">
        <v>0</v>
      </c>
      <c r="P88" s="4">
        <v>1</v>
      </c>
      <c r="Q88" s="4">
        <v>2</v>
      </c>
      <c r="R88" s="6">
        <v>0.93757999999999997</v>
      </c>
    </row>
    <row r="89" spans="1:18" x14ac:dyDescent="0.25">
      <c r="A89" t="s">
        <v>5</v>
      </c>
      <c r="B89" s="1"/>
      <c r="C89" t="s">
        <v>55</v>
      </c>
      <c r="D89" s="1"/>
      <c r="E89" s="4">
        <v>1</v>
      </c>
      <c r="F89" s="4">
        <v>90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2</v>
      </c>
      <c r="O89" s="4">
        <v>4</v>
      </c>
      <c r="P89" s="4">
        <v>9</v>
      </c>
      <c r="Q89" s="4">
        <v>5</v>
      </c>
      <c r="R89" s="6">
        <v>3.3374999999999999</v>
      </c>
    </row>
    <row r="90" spans="1:18" x14ac:dyDescent="0.25">
      <c r="B90" s="1"/>
      <c r="C90"/>
      <c r="D90" s="1"/>
    </row>
    <row r="91" spans="1:18" x14ac:dyDescent="0.25">
      <c r="B91" s="1"/>
      <c r="C91" s="1"/>
      <c r="D91" s="1"/>
    </row>
    <row r="92" spans="1:18" x14ac:dyDescent="0.25">
      <c r="A92" s="3" t="s">
        <v>14</v>
      </c>
      <c r="B92" s="2" t="s">
        <v>1</v>
      </c>
      <c r="C92" s="8" t="s">
        <v>2</v>
      </c>
      <c r="D92" s="2" t="s">
        <v>3</v>
      </c>
      <c r="E92" s="2" t="s">
        <v>15</v>
      </c>
      <c r="F92" s="2" t="s">
        <v>16</v>
      </c>
      <c r="G92" s="2" t="s">
        <v>17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  <c r="M92" s="2" t="s">
        <v>23</v>
      </c>
      <c r="N92" s="2" t="s">
        <v>24</v>
      </c>
      <c r="O92" s="2" t="s">
        <v>25</v>
      </c>
      <c r="P92" s="2" t="s">
        <v>26</v>
      </c>
      <c r="Q92" s="2" t="s">
        <v>28</v>
      </c>
      <c r="R92" s="5" t="s">
        <v>27</v>
      </c>
    </row>
    <row r="93" spans="1:18" x14ac:dyDescent="0.25">
      <c r="A93" t="s">
        <v>7</v>
      </c>
      <c r="B93" s="1"/>
      <c r="C93" t="s">
        <v>48</v>
      </c>
      <c r="D93" s="1"/>
      <c r="E93" s="4">
        <v>1</v>
      </c>
      <c r="F93" s="4">
        <v>90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1</v>
      </c>
      <c r="O93" s="4">
        <v>7</v>
      </c>
      <c r="P93" s="4">
        <v>3</v>
      </c>
      <c r="Q93" s="4">
        <v>6</v>
      </c>
      <c r="R93" s="6">
        <v>2.1875</v>
      </c>
    </row>
    <row r="94" spans="1:18" x14ac:dyDescent="0.25">
      <c r="A94" t="s">
        <v>7</v>
      </c>
      <c r="B94" s="1"/>
      <c r="C94" t="s">
        <v>37</v>
      </c>
      <c r="D94" s="1"/>
      <c r="E94" s="4">
        <v>1</v>
      </c>
      <c r="F94" s="4">
        <v>90</v>
      </c>
      <c r="G94" s="4">
        <v>0</v>
      </c>
      <c r="H94" s="4">
        <v>0</v>
      </c>
      <c r="I94" s="4">
        <v>0</v>
      </c>
      <c r="J94" s="4">
        <v>1</v>
      </c>
      <c r="K94" s="4">
        <v>0</v>
      </c>
      <c r="L94" s="4">
        <v>0</v>
      </c>
      <c r="M94" s="4">
        <v>4</v>
      </c>
      <c r="N94" s="4">
        <v>3</v>
      </c>
      <c r="O94" s="4">
        <v>13</v>
      </c>
      <c r="P94" s="4">
        <v>8</v>
      </c>
      <c r="Q94" s="4">
        <v>14</v>
      </c>
      <c r="R94" s="6">
        <v>3.3875000000000002</v>
      </c>
    </row>
    <row r="95" spans="1:18" x14ac:dyDescent="0.25">
      <c r="A95" t="s">
        <v>7</v>
      </c>
      <c r="B95" s="1"/>
      <c r="C95" t="s">
        <v>34</v>
      </c>
      <c r="D95" s="1"/>
      <c r="E95" s="4">
        <v>1</v>
      </c>
      <c r="F95" s="4">
        <v>21</v>
      </c>
      <c r="G95" s="4">
        <v>0</v>
      </c>
      <c r="H95" s="4">
        <v>0</v>
      </c>
      <c r="I95" s="4">
        <v>0</v>
      </c>
      <c r="J95" s="4">
        <v>0</v>
      </c>
      <c r="K95" s="4">
        <v>1</v>
      </c>
      <c r="L95" s="4">
        <v>1</v>
      </c>
      <c r="M95" s="4">
        <v>2</v>
      </c>
      <c r="N95" s="4">
        <v>2</v>
      </c>
      <c r="O95" s="4">
        <v>1</v>
      </c>
      <c r="P95" s="4">
        <v>2</v>
      </c>
      <c r="Q95" s="4">
        <v>1</v>
      </c>
      <c r="R95" s="6">
        <v>-6.7430000000000003</v>
      </c>
    </row>
    <row r="96" spans="1:18" x14ac:dyDescent="0.25">
      <c r="A96" t="s">
        <v>7</v>
      </c>
      <c r="B96" s="1"/>
      <c r="C96" t="s">
        <v>35</v>
      </c>
      <c r="D96" s="1"/>
      <c r="E96" s="4">
        <v>1</v>
      </c>
      <c r="F96" s="4">
        <v>90</v>
      </c>
      <c r="G96" s="4">
        <v>0</v>
      </c>
      <c r="H96" s="4">
        <v>0</v>
      </c>
      <c r="I96" s="4">
        <v>0</v>
      </c>
      <c r="J96" s="4">
        <v>1</v>
      </c>
      <c r="K96" s="4">
        <v>0</v>
      </c>
      <c r="L96" s="4">
        <v>0</v>
      </c>
      <c r="M96" s="4">
        <v>0</v>
      </c>
      <c r="N96" s="4">
        <v>1</v>
      </c>
      <c r="O96" s="4">
        <v>3</v>
      </c>
      <c r="P96" s="4">
        <v>2</v>
      </c>
      <c r="Q96" s="4">
        <v>7</v>
      </c>
      <c r="R96" s="6">
        <v>1.9875</v>
      </c>
    </row>
    <row r="97" spans="1:18" x14ac:dyDescent="0.25">
      <c r="A97" t="s">
        <v>7</v>
      </c>
      <c r="B97" s="1"/>
      <c r="C97" t="s">
        <v>33</v>
      </c>
      <c r="D97" s="1"/>
      <c r="E97" s="4">
        <v>1</v>
      </c>
      <c r="F97" s="4">
        <v>60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0</v>
      </c>
      <c r="M97" s="4">
        <v>1</v>
      </c>
      <c r="N97" s="4">
        <v>3</v>
      </c>
      <c r="O97" s="4">
        <v>1</v>
      </c>
      <c r="P97" s="4">
        <v>6</v>
      </c>
      <c r="Q97" s="4">
        <v>4</v>
      </c>
      <c r="R97" s="6">
        <v>-1.1499999999999999</v>
      </c>
    </row>
    <row r="98" spans="1:18" x14ac:dyDescent="0.25">
      <c r="A98" t="s">
        <v>7</v>
      </c>
      <c r="B98" s="1"/>
      <c r="C98" t="s">
        <v>36</v>
      </c>
      <c r="D98" s="1"/>
      <c r="E98" s="4">
        <v>1</v>
      </c>
      <c r="F98" s="4">
        <v>30</v>
      </c>
      <c r="G98" s="4">
        <v>0</v>
      </c>
      <c r="H98" s="4">
        <v>1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4</v>
      </c>
      <c r="O98" s="4">
        <v>6</v>
      </c>
      <c r="P98" s="4">
        <v>10</v>
      </c>
      <c r="Q98" s="4">
        <v>15</v>
      </c>
      <c r="R98" s="6">
        <v>5.0309999999999997</v>
      </c>
    </row>
    <row r="99" spans="1:18" x14ac:dyDescent="0.25">
      <c r="B99" s="1"/>
      <c r="C99"/>
      <c r="D99" s="1"/>
    </row>
    <row r="100" spans="1:18" x14ac:dyDescent="0.25">
      <c r="B100" s="1"/>
      <c r="C100" s="1"/>
      <c r="D100" s="1"/>
    </row>
    <row r="101" spans="1:18" x14ac:dyDescent="0.25">
      <c r="A101" s="3" t="s">
        <v>14</v>
      </c>
      <c r="B101" s="2" t="s">
        <v>1</v>
      </c>
      <c r="C101" s="8" t="s">
        <v>2</v>
      </c>
      <c r="D101" s="2" t="s">
        <v>3</v>
      </c>
      <c r="E101" s="2" t="s">
        <v>15</v>
      </c>
      <c r="F101" s="2" t="s">
        <v>16</v>
      </c>
      <c r="G101" s="2" t="s">
        <v>17</v>
      </c>
      <c r="H101" s="2" t="s">
        <v>18</v>
      </c>
      <c r="I101" s="2" t="s">
        <v>19</v>
      </c>
      <c r="J101" s="2" t="s">
        <v>20</v>
      </c>
      <c r="K101" s="2" t="s">
        <v>21</v>
      </c>
      <c r="L101" s="2" t="s">
        <v>22</v>
      </c>
      <c r="M101" s="2" t="s">
        <v>23</v>
      </c>
      <c r="N101" s="2" t="s">
        <v>24</v>
      </c>
      <c r="O101" s="2" t="s">
        <v>25</v>
      </c>
      <c r="P101" s="2" t="s">
        <v>26</v>
      </c>
      <c r="Q101" s="2" t="s">
        <v>28</v>
      </c>
      <c r="R101" s="5" t="s">
        <v>27</v>
      </c>
    </row>
    <row r="102" spans="1:18" x14ac:dyDescent="0.25">
      <c r="A102" t="s">
        <v>6</v>
      </c>
      <c r="B102" s="1"/>
      <c r="C102" t="s">
        <v>49</v>
      </c>
      <c r="D102" s="1"/>
      <c r="E102" s="4">
        <v>1</v>
      </c>
      <c r="F102" s="4">
        <v>45</v>
      </c>
      <c r="G102" s="4">
        <v>1</v>
      </c>
      <c r="H102" s="4">
        <v>0</v>
      </c>
      <c r="I102" s="4">
        <v>3</v>
      </c>
      <c r="J102" s="4">
        <v>1</v>
      </c>
      <c r="K102" s="4">
        <v>0</v>
      </c>
      <c r="L102" s="4">
        <v>0</v>
      </c>
      <c r="M102" s="4">
        <v>3</v>
      </c>
      <c r="N102" s="4">
        <v>0</v>
      </c>
      <c r="O102" s="4">
        <v>6</v>
      </c>
      <c r="P102" s="4">
        <v>3</v>
      </c>
      <c r="Q102" s="4">
        <v>2</v>
      </c>
      <c r="R102" s="6">
        <v>5.05</v>
      </c>
    </row>
    <row r="103" spans="1:18" x14ac:dyDescent="0.25">
      <c r="A103" t="s">
        <v>6</v>
      </c>
      <c r="B103" s="1"/>
      <c r="C103" t="s">
        <v>32</v>
      </c>
      <c r="D103" s="1"/>
      <c r="E103" s="4">
        <v>1</v>
      </c>
      <c r="F103" s="4">
        <v>45</v>
      </c>
      <c r="G103" s="4">
        <v>0</v>
      </c>
      <c r="H103" s="4">
        <v>1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3</v>
      </c>
      <c r="P103" s="4">
        <v>5</v>
      </c>
      <c r="Q103" s="4">
        <v>2</v>
      </c>
      <c r="R103" s="6">
        <v>2.1686999999999999</v>
      </c>
    </row>
    <row r="104" spans="1:18" x14ac:dyDescent="0.25">
      <c r="A104" t="s">
        <v>6</v>
      </c>
      <c r="B104" s="1"/>
      <c r="C104" t="s">
        <v>31</v>
      </c>
      <c r="D104" s="1"/>
      <c r="E104" s="4">
        <v>1</v>
      </c>
      <c r="F104" s="4">
        <v>45</v>
      </c>
      <c r="G104" s="4">
        <v>1</v>
      </c>
      <c r="H104" s="4">
        <v>0</v>
      </c>
      <c r="I104" s="4">
        <v>1</v>
      </c>
      <c r="J104" s="4">
        <v>0</v>
      </c>
      <c r="K104" s="4">
        <v>1</v>
      </c>
      <c r="L104" s="4">
        <v>0</v>
      </c>
      <c r="M104" s="4">
        <v>2</v>
      </c>
      <c r="N104" s="4">
        <v>1</v>
      </c>
      <c r="O104" s="4">
        <v>3</v>
      </c>
      <c r="P104" s="4">
        <v>2</v>
      </c>
      <c r="Q104" s="4">
        <v>2</v>
      </c>
      <c r="R104" s="6">
        <v>3.331</v>
      </c>
    </row>
    <row r="105" spans="1:18" x14ac:dyDescent="0.25">
      <c r="A105" t="s">
        <v>6</v>
      </c>
      <c r="B105" s="1"/>
      <c r="C105" t="s">
        <v>30</v>
      </c>
      <c r="D105" s="1"/>
      <c r="E105" s="4">
        <v>1</v>
      </c>
      <c r="F105" s="4">
        <v>45</v>
      </c>
      <c r="G105" s="4">
        <v>0</v>
      </c>
      <c r="H105" s="4">
        <v>0</v>
      </c>
      <c r="I105" s="4">
        <v>2</v>
      </c>
      <c r="J105" s="4">
        <v>3</v>
      </c>
      <c r="K105" s="4">
        <v>0</v>
      </c>
      <c r="L105" s="4">
        <v>0</v>
      </c>
      <c r="M105" s="4">
        <v>1</v>
      </c>
      <c r="N105" s="4">
        <v>1</v>
      </c>
      <c r="O105" s="4">
        <v>8</v>
      </c>
      <c r="P105" s="4">
        <v>7</v>
      </c>
      <c r="Q105" s="4">
        <v>3</v>
      </c>
      <c r="R105" s="6">
        <v>2.1124999999999998</v>
      </c>
    </row>
    <row r="106" spans="1:18" x14ac:dyDescent="0.25">
      <c r="A106" t="s">
        <v>53</v>
      </c>
      <c r="O106" s="11">
        <f>SUM(O84:O105)</f>
        <v>60</v>
      </c>
      <c r="P106" s="11">
        <f>SUM(P84:P105)</f>
        <v>58</v>
      </c>
      <c r="Q106" s="11">
        <f>SUM(Q84:Q105)</f>
        <v>66</v>
      </c>
      <c r="R106" s="12">
        <f>AVERAGE(R84:R105)</f>
        <v>2.3580557142857144</v>
      </c>
    </row>
    <row r="109" spans="1:18" ht="23.25" x14ac:dyDescent="0.35">
      <c r="C109" s="7" t="s">
        <v>57</v>
      </c>
    </row>
    <row r="110" spans="1:18" x14ac:dyDescent="0.25">
      <c r="A110" s="3" t="s">
        <v>14</v>
      </c>
      <c r="B110" s="2" t="s">
        <v>1</v>
      </c>
      <c r="C110" s="8" t="s">
        <v>2</v>
      </c>
      <c r="D110" s="2" t="s">
        <v>3</v>
      </c>
      <c r="E110" s="2" t="s">
        <v>15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21</v>
      </c>
      <c r="L110" s="2" t="s">
        <v>22</v>
      </c>
      <c r="M110" s="2" t="s">
        <v>23</v>
      </c>
      <c r="N110" s="2" t="s">
        <v>24</v>
      </c>
      <c r="O110" s="2" t="s">
        <v>25</v>
      </c>
      <c r="P110" s="2" t="s">
        <v>26</v>
      </c>
      <c r="Q110" s="2" t="s">
        <v>28</v>
      </c>
      <c r="R110" s="5" t="s">
        <v>27</v>
      </c>
    </row>
    <row r="111" spans="1:18" x14ac:dyDescent="0.25">
      <c r="A111" t="s">
        <v>4</v>
      </c>
      <c r="B111" s="1"/>
      <c r="C111" t="s">
        <v>46</v>
      </c>
      <c r="D111" s="1"/>
      <c r="E111" s="4">
        <v>1</v>
      </c>
      <c r="F111" s="4">
        <v>90</v>
      </c>
      <c r="G111" s="4">
        <v>0</v>
      </c>
      <c r="H111" s="4">
        <v>0</v>
      </c>
      <c r="I111" s="4">
        <v>0</v>
      </c>
      <c r="J111" s="4">
        <v>6</v>
      </c>
      <c r="K111" s="4">
        <v>0</v>
      </c>
      <c r="L111" s="4">
        <v>0</v>
      </c>
      <c r="M111" s="4">
        <v>0</v>
      </c>
      <c r="N111" s="4">
        <v>0</v>
      </c>
      <c r="O111" s="4">
        <v>2</v>
      </c>
      <c r="P111" s="4">
        <v>0</v>
      </c>
      <c r="Q111" s="4">
        <v>1</v>
      </c>
      <c r="R111" s="6">
        <v>7.2309999999999999</v>
      </c>
    </row>
    <row r="112" spans="1:18" x14ac:dyDescent="0.25">
      <c r="B112" s="1"/>
      <c r="C112" s="1"/>
      <c r="D112" s="1"/>
    </row>
    <row r="113" spans="1:18" x14ac:dyDescent="0.25">
      <c r="A113" s="3" t="s">
        <v>14</v>
      </c>
      <c r="B113" s="2" t="s">
        <v>1</v>
      </c>
      <c r="C113" s="8" t="s">
        <v>2</v>
      </c>
      <c r="D113" s="2" t="s">
        <v>3</v>
      </c>
      <c r="E113" s="2" t="s">
        <v>15</v>
      </c>
      <c r="F113" s="2" t="s">
        <v>16</v>
      </c>
      <c r="G113" s="2" t="s">
        <v>17</v>
      </c>
      <c r="H113" s="2" t="s">
        <v>18</v>
      </c>
      <c r="I113" s="2" t="s">
        <v>19</v>
      </c>
      <c r="J113" s="2" t="s">
        <v>20</v>
      </c>
      <c r="K113" s="2" t="s">
        <v>21</v>
      </c>
      <c r="L113" s="2" t="s">
        <v>22</v>
      </c>
      <c r="M113" s="2" t="s">
        <v>23</v>
      </c>
      <c r="N113" s="2" t="s">
        <v>24</v>
      </c>
      <c r="O113" s="2" t="s">
        <v>25</v>
      </c>
      <c r="P113" s="2" t="s">
        <v>26</v>
      </c>
      <c r="Q113" s="2" t="s">
        <v>28</v>
      </c>
      <c r="R113" s="5" t="s">
        <v>27</v>
      </c>
    </row>
    <row r="114" spans="1:18" x14ac:dyDescent="0.25">
      <c r="A114" t="s">
        <v>5</v>
      </c>
      <c r="B114" s="1"/>
      <c r="C114" t="s">
        <v>41</v>
      </c>
      <c r="D114" s="1"/>
      <c r="E114" s="4">
        <v>1</v>
      </c>
      <c r="F114" s="4">
        <v>90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1</v>
      </c>
      <c r="O114" s="4">
        <v>4</v>
      </c>
      <c r="P114" s="4">
        <v>2</v>
      </c>
      <c r="Q114" s="4">
        <v>3</v>
      </c>
      <c r="R114" s="6">
        <v>9.2309999999999999</v>
      </c>
    </row>
    <row r="115" spans="1:18" x14ac:dyDescent="0.25">
      <c r="A115" t="s">
        <v>5</v>
      </c>
      <c r="B115" s="1"/>
      <c r="C115" t="s">
        <v>43</v>
      </c>
      <c r="D115" s="1"/>
      <c r="E115" s="4">
        <v>1</v>
      </c>
      <c r="F115" s="4">
        <v>90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3</v>
      </c>
      <c r="N115" s="4">
        <v>0</v>
      </c>
      <c r="O115" s="4">
        <v>7</v>
      </c>
      <c r="P115" s="4">
        <v>3</v>
      </c>
      <c r="Q115" s="4">
        <v>7</v>
      </c>
      <c r="R115" s="6">
        <v>8.8810000000000002</v>
      </c>
    </row>
    <row r="116" spans="1:18" x14ac:dyDescent="0.25">
      <c r="A116" t="s">
        <v>5</v>
      </c>
      <c r="B116" s="1"/>
      <c r="C116" t="s">
        <v>58</v>
      </c>
      <c r="D116" s="1"/>
      <c r="E116" s="4">
        <v>1</v>
      </c>
      <c r="F116" s="4">
        <v>90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3</v>
      </c>
      <c r="P116" s="4">
        <v>2</v>
      </c>
      <c r="Q116" s="4">
        <v>2</v>
      </c>
      <c r="R116" s="6">
        <v>8.4309999999999992</v>
      </c>
    </row>
    <row r="117" spans="1:18" x14ac:dyDescent="0.25">
      <c r="A117" t="s">
        <v>5</v>
      </c>
      <c r="B117" s="1"/>
      <c r="C117" t="s">
        <v>59</v>
      </c>
      <c r="D117" s="1"/>
      <c r="E117" s="4">
        <v>1</v>
      </c>
      <c r="F117" s="4">
        <v>90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</v>
      </c>
      <c r="O117" s="4">
        <v>9</v>
      </c>
      <c r="P117" s="4">
        <v>1</v>
      </c>
      <c r="Q117" s="4">
        <v>6</v>
      </c>
      <c r="R117" s="6">
        <v>10.581</v>
      </c>
    </row>
    <row r="118" spans="1:18" x14ac:dyDescent="0.25">
      <c r="B118" s="1"/>
      <c r="C118" s="1"/>
      <c r="D118" s="1"/>
    </row>
    <row r="119" spans="1:18" x14ac:dyDescent="0.25">
      <c r="A119" s="3" t="s">
        <v>14</v>
      </c>
      <c r="B119" s="2" t="s">
        <v>1</v>
      </c>
      <c r="C119" s="8" t="s">
        <v>2</v>
      </c>
      <c r="D119" s="2" t="s">
        <v>3</v>
      </c>
      <c r="E119" s="2" t="s">
        <v>15</v>
      </c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21</v>
      </c>
      <c r="L119" s="2" t="s">
        <v>22</v>
      </c>
      <c r="M119" s="2" t="s">
        <v>23</v>
      </c>
      <c r="N119" s="2" t="s">
        <v>24</v>
      </c>
      <c r="O119" s="2" t="s">
        <v>25</v>
      </c>
      <c r="P119" s="2" t="s">
        <v>26</v>
      </c>
      <c r="Q119" s="2" t="s">
        <v>28</v>
      </c>
      <c r="R119" s="5" t="s">
        <v>27</v>
      </c>
    </row>
    <row r="120" spans="1:18" x14ac:dyDescent="0.25">
      <c r="A120" t="s">
        <v>7</v>
      </c>
      <c r="B120" s="1"/>
      <c r="C120" t="s">
        <v>38</v>
      </c>
      <c r="D120" s="1"/>
      <c r="E120" s="4">
        <v>1</v>
      </c>
      <c r="F120" s="4">
        <v>90</v>
      </c>
      <c r="G120" s="4">
        <v>1</v>
      </c>
      <c r="H120" s="4">
        <v>0</v>
      </c>
      <c r="I120" s="4">
        <v>1</v>
      </c>
      <c r="J120" s="4">
        <v>2</v>
      </c>
      <c r="K120" s="4">
        <v>1</v>
      </c>
      <c r="L120" s="4">
        <v>0</v>
      </c>
      <c r="M120" s="4">
        <v>3</v>
      </c>
      <c r="N120" s="4">
        <v>1</v>
      </c>
      <c r="O120" s="4">
        <v>12</v>
      </c>
      <c r="P120" s="4">
        <v>13</v>
      </c>
      <c r="Q120" s="4">
        <v>13</v>
      </c>
      <c r="R120" s="6">
        <v>13.331</v>
      </c>
    </row>
    <row r="121" spans="1:18" x14ac:dyDescent="0.25">
      <c r="A121" t="s">
        <v>7</v>
      </c>
      <c r="B121" s="1"/>
      <c r="C121" t="s">
        <v>35</v>
      </c>
      <c r="D121" s="1"/>
      <c r="E121" s="4">
        <v>1</v>
      </c>
      <c r="F121" s="4">
        <v>45</v>
      </c>
      <c r="G121" s="4">
        <v>0</v>
      </c>
      <c r="H121" s="4">
        <v>0</v>
      </c>
      <c r="I121" s="4">
        <v>1</v>
      </c>
      <c r="J121" s="4">
        <v>0</v>
      </c>
      <c r="K121" s="4">
        <v>0</v>
      </c>
      <c r="L121" s="4">
        <v>0</v>
      </c>
      <c r="M121" s="4">
        <v>2</v>
      </c>
      <c r="N121" s="4">
        <v>1</v>
      </c>
      <c r="O121" s="4">
        <v>4</v>
      </c>
      <c r="P121" s="4">
        <v>1</v>
      </c>
      <c r="Q121" s="4">
        <v>4</v>
      </c>
      <c r="R121" s="6">
        <v>7.125</v>
      </c>
    </row>
    <row r="122" spans="1:18" x14ac:dyDescent="0.25">
      <c r="A122" t="s">
        <v>7</v>
      </c>
      <c r="B122" s="1"/>
      <c r="C122" t="s">
        <v>60</v>
      </c>
      <c r="D122" s="1"/>
      <c r="E122" s="4">
        <v>1</v>
      </c>
      <c r="F122" s="4">
        <v>45</v>
      </c>
      <c r="G122" s="4">
        <v>0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2</v>
      </c>
      <c r="N122" s="4">
        <v>0</v>
      </c>
      <c r="O122" s="4">
        <v>4</v>
      </c>
      <c r="P122" s="4">
        <v>8</v>
      </c>
      <c r="Q122" s="4">
        <v>4</v>
      </c>
      <c r="R122" s="6">
        <v>5.5</v>
      </c>
    </row>
    <row r="123" spans="1:18" x14ac:dyDescent="0.25">
      <c r="A123" t="s">
        <v>7</v>
      </c>
      <c r="B123" s="1"/>
      <c r="C123" s="9" t="s">
        <v>39</v>
      </c>
      <c r="D123" s="1"/>
      <c r="E123" s="4">
        <v>1</v>
      </c>
      <c r="F123" s="4">
        <v>90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4</v>
      </c>
      <c r="O123" s="4">
        <v>13</v>
      </c>
      <c r="P123" s="4">
        <v>5</v>
      </c>
      <c r="Q123" s="4">
        <v>14</v>
      </c>
      <c r="R123" s="6">
        <v>12.031000000000001</v>
      </c>
    </row>
    <row r="124" spans="1:18" x14ac:dyDescent="0.25">
      <c r="A124" t="s">
        <v>7</v>
      </c>
      <c r="B124" s="1"/>
      <c r="C124" t="s">
        <v>36</v>
      </c>
      <c r="D124" s="1"/>
      <c r="E124" s="4">
        <v>1</v>
      </c>
      <c r="F124" s="4">
        <v>90</v>
      </c>
      <c r="G124" s="4">
        <v>0</v>
      </c>
      <c r="H124" s="4">
        <v>0</v>
      </c>
      <c r="I124" s="4">
        <v>1</v>
      </c>
      <c r="J124" s="4">
        <v>2</v>
      </c>
      <c r="K124" s="4">
        <v>0</v>
      </c>
      <c r="L124" s="4">
        <v>0</v>
      </c>
      <c r="M124" s="4">
        <v>2</v>
      </c>
      <c r="N124" s="4">
        <v>3</v>
      </c>
      <c r="O124" s="4">
        <v>7</v>
      </c>
      <c r="P124" s="4">
        <v>7</v>
      </c>
      <c r="Q124" s="4">
        <v>13</v>
      </c>
      <c r="R124" s="6">
        <v>12.131</v>
      </c>
    </row>
    <row r="125" spans="1:18" x14ac:dyDescent="0.25">
      <c r="B125" s="1"/>
      <c r="C125"/>
      <c r="D125" s="1"/>
    </row>
    <row r="126" spans="1:18" x14ac:dyDescent="0.25">
      <c r="B126" s="1"/>
      <c r="C126" s="1"/>
      <c r="D126" s="1"/>
    </row>
    <row r="127" spans="1:18" x14ac:dyDescent="0.25">
      <c r="A127" s="3" t="s">
        <v>14</v>
      </c>
      <c r="B127" s="2" t="s">
        <v>1</v>
      </c>
      <c r="C127" s="8" t="s">
        <v>2</v>
      </c>
      <c r="D127" s="2" t="s">
        <v>3</v>
      </c>
      <c r="E127" s="2" t="s">
        <v>15</v>
      </c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21</v>
      </c>
      <c r="L127" s="2" t="s">
        <v>22</v>
      </c>
      <c r="M127" s="2" t="s">
        <v>23</v>
      </c>
      <c r="N127" s="2" t="s">
        <v>24</v>
      </c>
      <c r="O127" s="2" t="s">
        <v>25</v>
      </c>
      <c r="P127" s="2" t="s">
        <v>26</v>
      </c>
      <c r="Q127" s="2" t="s">
        <v>28</v>
      </c>
      <c r="R127" s="5" t="s">
        <v>27</v>
      </c>
    </row>
    <row r="128" spans="1:18" x14ac:dyDescent="0.25">
      <c r="A128" t="s">
        <v>6</v>
      </c>
      <c r="B128" s="1"/>
      <c r="C128" t="s">
        <v>30</v>
      </c>
      <c r="D128" s="1"/>
      <c r="E128" s="4">
        <v>1</v>
      </c>
      <c r="F128" s="4">
        <v>45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1</v>
      </c>
      <c r="O128" s="4">
        <v>1</v>
      </c>
      <c r="P128" s="4">
        <v>5</v>
      </c>
      <c r="Q128" s="4">
        <v>1</v>
      </c>
      <c r="R128" s="6">
        <v>1.163</v>
      </c>
    </row>
    <row r="129" spans="1:18" x14ac:dyDescent="0.25">
      <c r="A129" t="s">
        <v>6</v>
      </c>
      <c r="B129" s="1"/>
      <c r="C129" t="s">
        <v>61</v>
      </c>
      <c r="D129" s="1"/>
      <c r="E129" s="4">
        <v>1</v>
      </c>
      <c r="F129" s="4">
        <v>45</v>
      </c>
      <c r="G129" s="4">
        <v>0</v>
      </c>
      <c r="H129" s="4">
        <v>0</v>
      </c>
      <c r="I129" s="4">
        <v>1</v>
      </c>
      <c r="J129" s="4">
        <v>2</v>
      </c>
      <c r="K129" s="4">
        <v>0</v>
      </c>
      <c r="L129" s="4">
        <v>0</v>
      </c>
      <c r="M129" s="4">
        <v>0</v>
      </c>
      <c r="N129" s="4">
        <v>2</v>
      </c>
      <c r="O129" s="4">
        <v>6</v>
      </c>
      <c r="P129" s="4">
        <v>5</v>
      </c>
      <c r="Q129" s="4">
        <v>3</v>
      </c>
      <c r="R129" s="6">
        <v>1.1719999999999999</v>
      </c>
    </row>
    <row r="130" spans="1:18" x14ac:dyDescent="0.25">
      <c r="A130" t="s">
        <v>6</v>
      </c>
      <c r="B130" s="1"/>
      <c r="C130" t="s">
        <v>29</v>
      </c>
      <c r="D130" s="1"/>
      <c r="E130" s="4">
        <v>1</v>
      </c>
      <c r="F130" s="4">
        <v>45</v>
      </c>
      <c r="G130" s="4">
        <v>1</v>
      </c>
      <c r="H130" s="4">
        <v>0</v>
      </c>
      <c r="I130" s="4">
        <v>1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5</v>
      </c>
      <c r="P130" s="4">
        <v>8</v>
      </c>
      <c r="Q130" s="4">
        <v>2</v>
      </c>
      <c r="R130" s="6">
        <v>4.3879999999999999</v>
      </c>
    </row>
    <row r="131" spans="1:18" x14ac:dyDescent="0.25">
      <c r="A131" t="s">
        <v>6</v>
      </c>
      <c r="B131" s="1"/>
      <c r="C131" s="9" t="s">
        <v>62</v>
      </c>
      <c r="D131" s="1"/>
      <c r="E131" s="4">
        <v>1</v>
      </c>
      <c r="F131" s="4">
        <v>45</v>
      </c>
      <c r="G131" s="4">
        <v>0</v>
      </c>
      <c r="H131" s="4">
        <v>0</v>
      </c>
      <c r="I131" s="4">
        <v>1</v>
      </c>
      <c r="J131" s="4">
        <v>2</v>
      </c>
      <c r="K131" s="4">
        <v>0</v>
      </c>
      <c r="L131" s="4">
        <v>0</v>
      </c>
      <c r="M131" s="4">
        <v>1</v>
      </c>
      <c r="N131" s="4">
        <v>0</v>
      </c>
      <c r="O131" s="4">
        <v>6</v>
      </c>
      <c r="P131" s="4">
        <v>6</v>
      </c>
      <c r="Q131" s="4">
        <v>4</v>
      </c>
      <c r="R131" s="6">
        <v>1.5880000000000001</v>
      </c>
    </row>
    <row r="132" spans="1:18" x14ac:dyDescent="0.25">
      <c r="O132" s="11">
        <f>SUM(O111:O131)</f>
        <v>83</v>
      </c>
      <c r="P132" s="11">
        <f>SUM(P111:P131)</f>
        <v>66</v>
      </c>
      <c r="Q132" s="11">
        <f>SUM(Q111:Q131)</f>
        <v>77</v>
      </c>
      <c r="R132" s="12">
        <f>AVERAGE(R111:R131)</f>
        <v>7.3417142857142865</v>
      </c>
    </row>
    <row r="135" spans="1:18" ht="23.25" x14ac:dyDescent="0.35">
      <c r="C135" s="7" t="s">
        <v>63</v>
      </c>
    </row>
    <row r="136" spans="1:18" x14ac:dyDescent="0.25">
      <c r="A136" s="3" t="s">
        <v>14</v>
      </c>
      <c r="B136" s="2" t="s">
        <v>1</v>
      </c>
      <c r="C136" s="8" t="s">
        <v>2</v>
      </c>
      <c r="D136" s="2" t="s">
        <v>3</v>
      </c>
      <c r="E136" s="2" t="s">
        <v>15</v>
      </c>
      <c r="F136" s="2" t="s">
        <v>16</v>
      </c>
      <c r="G136" s="2" t="s">
        <v>17</v>
      </c>
      <c r="H136" s="2" t="s">
        <v>18</v>
      </c>
      <c r="I136" s="2" t="s">
        <v>19</v>
      </c>
      <c r="J136" s="2" t="s">
        <v>20</v>
      </c>
      <c r="K136" s="2" t="s">
        <v>21</v>
      </c>
      <c r="L136" s="2" t="s">
        <v>22</v>
      </c>
      <c r="M136" s="2" t="s">
        <v>23</v>
      </c>
      <c r="N136" s="2" t="s">
        <v>24</v>
      </c>
      <c r="O136" s="2" t="s">
        <v>25</v>
      </c>
      <c r="P136" s="2" t="s">
        <v>26</v>
      </c>
      <c r="Q136" s="2" t="s">
        <v>28</v>
      </c>
      <c r="R136" s="5" t="s">
        <v>27</v>
      </c>
    </row>
    <row r="137" spans="1:18" x14ac:dyDescent="0.25">
      <c r="A137" t="s">
        <v>4</v>
      </c>
      <c r="B137" s="1"/>
      <c r="C137" t="s">
        <v>64</v>
      </c>
      <c r="D137" s="1"/>
      <c r="E137" s="4">
        <v>1</v>
      </c>
      <c r="F137" s="4">
        <v>90</v>
      </c>
      <c r="G137" s="4">
        <v>0</v>
      </c>
      <c r="H137" s="4">
        <v>0</v>
      </c>
      <c r="I137" s="4">
        <v>3</v>
      </c>
      <c r="J137" s="4">
        <v>5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6">
        <v>3.6379999999999999</v>
      </c>
    </row>
    <row r="138" spans="1:18" x14ac:dyDescent="0.25">
      <c r="B138" s="1"/>
      <c r="C138" s="1"/>
      <c r="D138" s="1"/>
    </row>
    <row r="139" spans="1:18" x14ac:dyDescent="0.25">
      <c r="A139" s="3" t="s">
        <v>14</v>
      </c>
      <c r="B139" s="2" t="s">
        <v>1</v>
      </c>
      <c r="C139" s="8" t="s">
        <v>2</v>
      </c>
      <c r="D139" s="2" t="s">
        <v>3</v>
      </c>
      <c r="E139" s="2" t="s">
        <v>15</v>
      </c>
      <c r="F139" s="2" t="s">
        <v>16</v>
      </c>
      <c r="G139" s="2" t="s">
        <v>17</v>
      </c>
      <c r="H139" s="2" t="s">
        <v>18</v>
      </c>
      <c r="I139" s="2" t="s">
        <v>19</v>
      </c>
      <c r="J139" s="2" t="s">
        <v>20</v>
      </c>
      <c r="K139" s="2" t="s">
        <v>21</v>
      </c>
      <c r="L139" s="2" t="s">
        <v>22</v>
      </c>
      <c r="M139" s="2" t="s">
        <v>23</v>
      </c>
      <c r="N139" s="2" t="s">
        <v>24</v>
      </c>
      <c r="O139" s="2" t="s">
        <v>25</v>
      </c>
      <c r="P139" s="2" t="s">
        <v>26</v>
      </c>
      <c r="Q139" s="2" t="s">
        <v>28</v>
      </c>
      <c r="R139" s="5" t="s">
        <v>27</v>
      </c>
    </row>
    <row r="140" spans="1:18" x14ac:dyDescent="0.25">
      <c r="A140" t="s">
        <v>5</v>
      </c>
      <c r="B140" s="1"/>
      <c r="C140" t="s">
        <v>58</v>
      </c>
      <c r="D140" s="1"/>
      <c r="E140" s="4">
        <v>1</v>
      </c>
      <c r="F140" s="4">
        <v>90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</v>
      </c>
      <c r="P140" s="4">
        <v>6</v>
      </c>
      <c r="Q140" s="4">
        <v>2</v>
      </c>
      <c r="R140" s="6">
        <v>1.1379999999999999</v>
      </c>
    </row>
    <row r="141" spans="1:18" x14ac:dyDescent="0.25">
      <c r="A141" t="s">
        <v>5</v>
      </c>
      <c r="B141" s="1"/>
      <c r="C141" t="s">
        <v>59</v>
      </c>
      <c r="D141" s="1"/>
      <c r="E141" s="4">
        <v>1</v>
      </c>
      <c r="F141" s="4">
        <v>90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</v>
      </c>
      <c r="N141" s="4">
        <v>0</v>
      </c>
      <c r="O141" s="4">
        <v>11</v>
      </c>
      <c r="P141" s="4">
        <v>10</v>
      </c>
      <c r="Q141" s="4">
        <v>10</v>
      </c>
      <c r="R141" s="6">
        <v>9.9380000000000006</v>
      </c>
    </row>
    <row r="142" spans="1:18" x14ac:dyDescent="0.25">
      <c r="A142" t="s">
        <v>5</v>
      </c>
      <c r="B142" s="1"/>
      <c r="C142" s="9" t="s">
        <v>65</v>
      </c>
      <c r="D142" s="1"/>
      <c r="E142" s="4">
        <v>1</v>
      </c>
      <c r="F142" s="4">
        <v>90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3</v>
      </c>
      <c r="N142" s="4">
        <v>0</v>
      </c>
      <c r="O142" s="4">
        <v>7</v>
      </c>
      <c r="P142" s="4">
        <v>3</v>
      </c>
      <c r="Q142" s="4">
        <v>3</v>
      </c>
      <c r="R142" s="6">
        <v>1.5880000000000001</v>
      </c>
    </row>
    <row r="143" spans="1:18" x14ac:dyDescent="0.25">
      <c r="A143" t="s">
        <v>5</v>
      </c>
      <c r="B143" s="1"/>
      <c r="C143" s="9" t="s">
        <v>66</v>
      </c>
      <c r="D143" s="1"/>
      <c r="E143" s="4">
        <v>1</v>
      </c>
      <c r="F143" s="4">
        <v>90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7</v>
      </c>
      <c r="P143" s="4">
        <v>1</v>
      </c>
      <c r="Q143" s="4">
        <v>7</v>
      </c>
      <c r="R143" s="6">
        <v>3.988</v>
      </c>
    </row>
    <row r="144" spans="1:18" x14ac:dyDescent="0.25">
      <c r="B144" s="1"/>
      <c r="C144" s="1"/>
      <c r="D144" s="1"/>
    </row>
    <row r="145" spans="1:18" x14ac:dyDescent="0.25">
      <c r="A145" s="3" t="s">
        <v>14</v>
      </c>
      <c r="B145" s="2" t="s">
        <v>1</v>
      </c>
      <c r="C145" s="8" t="s">
        <v>2</v>
      </c>
      <c r="D145" s="2" t="s">
        <v>3</v>
      </c>
      <c r="E145" s="2" t="s">
        <v>15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21</v>
      </c>
      <c r="L145" s="2" t="s">
        <v>22</v>
      </c>
      <c r="M145" s="2" t="s">
        <v>23</v>
      </c>
      <c r="N145" s="2" t="s">
        <v>24</v>
      </c>
      <c r="O145" s="2" t="s">
        <v>25</v>
      </c>
      <c r="P145" s="2" t="s">
        <v>26</v>
      </c>
      <c r="Q145" s="2" t="s">
        <v>28</v>
      </c>
      <c r="R145" s="5" t="s">
        <v>27</v>
      </c>
    </row>
    <row r="146" spans="1:18" x14ac:dyDescent="0.25">
      <c r="A146" t="s">
        <v>7</v>
      </c>
      <c r="B146" s="1"/>
      <c r="C146" t="s">
        <v>38</v>
      </c>
      <c r="D146" s="1"/>
      <c r="E146" s="4">
        <v>1</v>
      </c>
      <c r="F146" s="4">
        <v>90</v>
      </c>
      <c r="G146" s="4">
        <v>0</v>
      </c>
      <c r="H146" s="4">
        <v>0</v>
      </c>
      <c r="I146" s="4">
        <v>0</v>
      </c>
      <c r="J146" s="4">
        <v>1</v>
      </c>
      <c r="K146" s="4">
        <v>0</v>
      </c>
      <c r="L146" s="4">
        <v>0</v>
      </c>
      <c r="M146" s="4">
        <v>3</v>
      </c>
      <c r="N146" s="4">
        <v>2</v>
      </c>
      <c r="O146" s="4">
        <v>7</v>
      </c>
      <c r="P146" s="4">
        <v>12</v>
      </c>
      <c r="Q146" s="4">
        <v>8</v>
      </c>
      <c r="R146" s="6">
        <v>-0.36299999999999999</v>
      </c>
    </row>
    <row r="147" spans="1:18" x14ac:dyDescent="0.25">
      <c r="A147" t="s">
        <v>7</v>
      </c>
      <c r="B147" s="1"/>
      <c r="C147" t="s">
        <v>67</v>
      </c>
      <c r="D147" s="1"/>
      <c r="E147" s="4">
        <v>1</v>
      </c>
      <c r="F147" s="4">
        <v>45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4</v>
      </c>
      <c r="P147" s="4">
        <v>3</v>
      </c>
      <c r="Q147" s="4">
        <v>3</v>
      </c>
      <c r="R147" s="6">
        <v>-1.3819999999999999</v>
      </c>
    </row>
    <row r="148" spans="1:18" x14ac:dyDescent="0.25">
      <c r="A148" t="s">
        <v>7</v>
      </c>
      <c r="B148" s="1"/>
      <c r="C148" t="s">
        <v>60</v>
      </c>
      <c r="D148" s="1"/>
      <c r="E148" s="4">
        <v>1</v>
      </c>
      <c r="F148" s="4">
        <v>45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</v>
      </c>
      <c r="O148" s="4">
        <v>5</v>
      </c>
      <c r="P148" s="4">
        <v>6</v>
      </c>
      <c r="Q148" s="4">
        <v>5</v>
      </c>
      <c r="R148" s="6">
        <v>-1.3879999999999999</v>
      </c>
    </row>
    <row r="149" spans="1:18" x14ac:dyDescent="0.25">
      <c r="A149" t="s">
        <v>7</v>
      </c>
      <c r="B149" s="1"/>
      <c r="C149" s="9" t="s">
        <v>39</v>
      </c>
      <c r="D149" s="1"/>
      <c r="E149" s="4">
        <v>1</v>
      </c>
      <c r="F149" s="4">
        <v>42</v>
      </c>
      <c r="G149" s="4">
        <v>0</v>
      </c>
      <c r="H149" s="4">
        <v>0</v>
      </c>
      <c r="I149" s="4">
        <v>0</v>
      </c>
      <c r="J149" s="4">
        <v>0</v>
      </c>
      <c r="K149" s="4">
        <v>1</v>
      </c>
      <c r="L149" s="4">
        <v>1</v>
      </c>
      <c r="M149" s="4">
        <v>2</v>
      </c>
      <c r="N149" s="4">
        <v>1</v>
      </c>
      <c r="O149" s="4">
        <v>3</v>
      </c>
      <c r="P149" s="4">
        <v>2</v>
      </c>
      <c r="Q149" s="4">
        <v>2</v>
      </c>
      <c r="R149" s="6">
        <v>-6.1879999999999997</v>
      </c>
    </row>
    <row r="150" spans="1:18" x14ac:dyDescent="0.25">
      <c r="A150" t="s">
        <v>7</v>
      </c>
      <c r="B150" s="1"/>
      <c r="C150" t="s">
        <v>36</v>
      </c>
      <c r="D150" s="1"/>
      <c r="E150" s="4">
        <v>1</v>
      </c>
      <c r="F150" s="4">
        <v>90</v>
      </c>
      <c r="G150" s="4">
        <v>0</v>
      </c>
      <c r="H150" s="4">
        <v>0</v>
      </c>
      <c r="I150" s="4">
        <v>2</v>
      </c>
      <c r="J150" s="4">
        <v>2</v>
      </c>
      <c r="K150" s="4">
        <v>0</v>
      </c>
      <c r="L150" s="4">
        <v>0</v>
      </c>
      <c r="M150" s="4">
        <v>3</v>
      </c>
      <c r="N150" s="4">
        <v>3</v>
      </c>
      <c r="O150" s="4">
        <v>15</v>
      </c>
      <c r="P150" s="4">
        <v>14</v>
      </c>
      <c r="Q150" s="4">
        <v>14</v>
      </c>
      <c r="R150" s="6">
        <v>6.3380000000000001</v>
      </c>
    </row>
    <row r="151" spans="1:18" x14ac:dyDescent="0.25">
      <c r="B151" s="1"/>
      <c r="C151"/>
      <c r="D151" s="1"/>
    </row>
    <row r="152" spans="1:18" x14ac:dyDescent="0.25">
      <c r="B152" s="1"/>
      <c r="C152" s="1"/>
      <c r="D152" s="1"/>
    </row>
    <row r="153" spans="1:18" x14ac:dyDescent="0.25">
      <c r="A153" s="3" t="s">
        <v>14</v>
      </c>
      <c r="B153" s="2" t="s">
        <v>1</v>
      </c>
      <c r="C153" s="8" t="s">
        <v>2</v>
      </c>
      <c r="D153" s="2" t="s">
        <v>3</v>
      </c>
      <c r="E153" s="2" t="s">
        <v>15</v>
      </c>
      <c r="F153" s="2" t="s">
        <v>16</v>
      </c>
      <c r="G153" s="2" t="s">
        <v>17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  <c r="M153" s="2" t="s">
        <v>23</v>
      </c>
      <c r="N153" s="2" t="s">
        <v>24</v>
      </c>
      <c r="O153" s="2" t="s">
        <v>25</v>
      </c>
      <c r="P153" s="2" t="s">
        <v>26</v>
      </c>
      <c r="Q153" s="2" t="s">
        <v>28</v>
      </c>
      <c r="R153" s="5" t="s">
        <v>27</v>
      </c>
    </row>
    <row r="154" spans="1:18" x14ac:dyDescent="0.25">
      <c r="A154" t="s">
        <v>6</v>
      </c>
      <c r="B154" s="1"/>
      <c r="C154" t="s">
        <v>68</v>
      </c>
      <c r="D154" s="1"/>
      <c r="E154" s="4">
        <v>1</v>
      </c>
      <c r="F154" s="4">
        <v>45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1</v>
      </c>
      <c r="O154" s="4">
        <v>1</v>
      </c>
      <c r="P154" s="4">
        <v>9</v>
      </c>
      <c r="Q154" s="4">
        <v>2</v>
      </c>
      <c r="R154" s="6">
        <v>1.0309999999999999</v>
      </c>
    </row>
    <row r="155" spans="1:18" x14ac:dyDescent="0.25">
      <c r="A155" t="s">
        <v>6</v>
      </c>
      <c r="B155" s="1"/>
      <c r="C155" t="s">
        <v>61</v>
      </c>
      <c r="D155" s="1"/>
      <c r="E155" s="4">
        <v>1</v>
      </c>
      <c r="F155" s="4">
        <v>45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1</v>
      </c>
      <c r="N155" s="4">
        <v>1</v>
      </c>
      <c r="O155" s="4">
        <v>1</v>
      </c>
      <c r="P155" s="4">
        <v>6</v>
      </c>
      <c r="Q155" s="4">
        <v>3</v>
      </c>
      <c r="R155" s="6">
        <v>1.1000000000000001</v>
      </c>
    </row>
    <row r="156" spans="1:18" x14ac:dyDescent="0.25">
      <c r="A156" t="s">
        <v>6</v>
      </c>
      <c r="B156" s="1"/>
      <c r="C156" t="s">
        <v>29</v>
      </c>
      <c r="D156" s="1"/>
      <c r="E156" s="4">
        <v>1</v>
      </c>
      <c r="F156" s="4">
        <v>45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</v>
      </c>
      <c r="P156" s="4">
        <v>9</v>
      </c>
      <c r="Q156" s="4">
        <v>2</v>
      </c>
      <c r="R156" s="6">
        <v>1.044</v>
      </c>
    </row>
    <row r="157" spans="1:18" x14ac:dyDescent="0.25">
      <c r="A157" t="s">
        <v>6</v>
      </c>
      <c r="B157" s="1"/>
      <c r="C157" s="9" t="s">
        <v>62</v>
      </c>
      <c r="D157" s="1"/>
      <c r="E157" s="4">
        <v>1</v>
      </c>
      <c r="F157" s="4">
        <v>45</v>
      </c>
      <c r="G157" s="4">
        <v>0</v>
      </c>
      <c r="H157" s="4">
        <v>0</v>
      </c>
      <c r="I157" s="4">
        <v>1</v>
      </c>
      <c r="J157" s="4">
        <v>1</v>
      </c>
      <c r="K157" s="4">
        <v>0</v>
      </c>
      <c r="L157" s="4">
        <v>0</v>
      </c>
      <c r="M157" s="4">
        <v>2</v>
      </c>
      <c r="N157" s="4">
        <v>2</v>
      </c>
      <c r="O157" s="4">
        <v>6</v>
      </c>
      <c r="P157" s="4">
        <v>7</v>
      </c>
      <c r="Q157" s="4">
        <v>2</v>
      </c>
      <c r="R157" s="6">
        <v>1.538</v>
      </c>
    </row>
    <row r="158" spans="1:18" x14ac:dyDescent="0.25">
      <c r="O158" s="11">
        <f>SUM(O137:O157)</f>
        <v>69</v>
      </c>
      <c r="P158" s="11">
        <f>SUM(P137:P157)</f>
        <v>88</v>
      </c>
      <c r="Q158" s="11">
        <f>SUM(Q137:Q157)</f>
        <v>63</v>
      </c>
      <c r="R158" s="12">
        <f>AVERAGE(R137:R157)</f>
        <v>1.5728571428571427</v>
      </c>
    </row>
    <row r="163" spans="1:18" ht="23.25" x14ac:dyDescent="0.35">
      <c r="C163" s="7" t="s">
        <v>53</v>
      </c>
    </row>
    <row r="164" spans="1:18" x14ac:dyDescent="0.25">
      <c r="A164" s="3" t="s">
        <v>14</v>
      </c>
      <c r="B164" s="2" t="s">
        <v>1</v>
      </c>
      <c r="C164" s="8" t="s">
        <v>2</v>
      </c>
      <c r="D164" s="2" t="s">
        <v>3</v>
      </c>
      <c r="E164" s="2" t="s">
        <v>15</v>
      </c>
      <c r="F164" s="2" t="s">
        <v>16</v>
      </c>
      <c r="G164" s="2" t="s">
        <v>17</v>
      </c>
      <c r="H164" s="2" t="s">
        <v>18</v>
      </c>
      <c r="I164" s="2" t="s">
        <v>19</v>
      </c>
      <c r="J164" s="2" t="s">
        <v>20</v>
      </c>
      <c r="K164" s="2" t="s">
        <v>21</v>
      </c>
      <c r="L164" s="2" t="s">
        <v>22</v>
      </c>
      <c r="M164" s="2" t="s">
        <v>23</v>
      </c>
      <c r="N164" s="2" t="s">
        <v>24</v>
      </c>
      <c r="O164" s="2" t="s">
        <v>25</v>
      </c>
      <c r="P164" s="2" t="s">
        <v>26</v>
      </c>
      <c r="Q164" s="2" t="s">
        <v>28</v>
      </c>
      <c r="R164" s="5" t="s">
        <v>27</v>
      </c>
    </row>
    <row r="165" spans="1:18" x14ac:dyDescent="0.25">
      <c r="A165" t="s">
        <v>4</v>
      </c>
      <c r="B165" s="1">
        <v>26</v>
      </c>
      <c r="C165" t="s">
        <v>45</v>
      </c>
      <c r="D165" s="1" t="s">
        <v>0</v>
      </c>
      <c r="E165" s="4">
        <f t="shared" ref="E165:Q167" ca="1" si="0">SUMIF($C$4:$R$160, $C165, E$4:E$160)</f>
        <v>1</v>
      </c>
      <c r="F165" s="4">
        <f t="shared" ca="1" si="0"/>
        <v>90</v>
      </c>
      <c r="G165" s="4">
        <f t="shared" ca="1" si="0"/>
        <v>1</v>
      </c>
      <c r="H165" s="4">
        <f t="shared" ca="1" si="0"/>
        <v>0</v>
      </c>
      <c r="I165" s="4">
        <f t="shared" ca="1" si="0"/>
        <v>6</v>
      </c>
      <c r="J165" s="4">
        <f t="shared" ca="1" si="0"/>
        <v>5</v>
      </c>
      <c r="K165" s="4">
        <f t="shared" ca="1" si="0"/>
        <v>0</v>
      </c>
      <c r="L165" s="4">
        <f t="shared" ca="1" si="0"/>
        <v>0</v>
      </c>
      <c r="M165" s="4">
        <f t="shared" ca="1" si="0"/>
        <v>0</v>
      </c>
      <c r="N165" s="4">
        <f t="shared" ca="1" si="0"/>
        <v>0</v>
      </c>
      <c r="O165" s="4">
        <f t="shared" ca="1" si="0"/>
        <v>0</v>
      </c>
      <c r="P165" s="4">
        <f t="shared" ca="1" si="0"/>
        <v>1</v>
      </c>
      <c r="Q165" s="4">
        <f t="shared" ca="1" si="0"/>
        <v>0</v>
      </c>
      <c r="R165" s="6">
        <f ca="1">SUMIF($C$4:$R$160, $C165, R$4:R$160)/$E165</f>
        <v>6.2750000000000004</v>
      </c>
    </row>
    <row r="166" spans="1:18" x14ac:dyDescent="0.25">
      <c r="A166" t="s">
        <v>4</v>
      </c>
      <c r="B166" s="1">
        <v>25</v>
      </c>
      <c r="C166" t="s">
        <v>46</v>
      </c>
      <c r="D166" s="1" t="s">
        <v>0</v>
      </c>
      <c r="E166" s="4">
        <f t="shared" ca="1" si="0"/>
        <v>4</v>
      </c>
      <c r="F166" s="4">
        <f t="shared" ca="1" si="0"/>
        <v>360</v>
      </c>
      <c r="G166" s="4">
        <f t="shared" ca="1" si="0"/>
        <v>1</v>
      </c>
      <c r="H166" s="4">
        <f t="shared" ca="1" si="0"/>
        <v>0</v>
      </c>
      <c r="I166" s="4">
        <f t="shared" ca="1" si="0"/>
        <v>8</v>
      </c>
      <c r="J166" s="4">
        <f t="shared" ca="1" si="0"/>
        <v>22</v>
      </c>
      <c r="K166" s="4">
        <f t="shared" ca="1" si="0"/>
        <v>0</v>
      </c>
      <c r="L166" s="4">
        <f t="shared" ca="1" si="0"/>
        <v>0</v>
      </c>
      <c r="M166" s="4">
        <f t="shared" ca="1" si="0"/>
        <v>0</v>
      </c>
      <c r="N166" s="4">
        <f t="shared" ca="1" si="0"/>
        <v>0</v>
      </c>
      <c r="O166" s="4">
        <f t="shared" ca="1" si="0"/>
        <v>3</v>
      </c>
      <c r="P166" s="4">
        <f t="shared" ca="1" si="0"/>
        <v>0</v>
      </c>
      <c r="Q166" s="4">
        <f t="shared" ca="1" si="0"/>
        <v>2</v>
      </c>
      <c r="R166" s="6">
        <f ca="1">SUMIF($C$4:$R$160, $C166, R$4:R$160)/$E166</f>
        <v>9.4951249999999998</v>
      </c>
    </row>
    <row r="167" spans="1:18" x14ac:dyDescent="0.25">
      <c r="A167" t="s">
        <v>4</v>
      </c>
      <c r="B167" s="1"/>
      <c r="C167" t="s">
        <v>64</v>
      </c>
      <c r="D167" s="1" t="s">
        <v>69</v>
      </c>
      <c r="E167" s="4">
        <f t="shared" ca="1" si="0"/>
        <v>1</v>
      </c>
      <c r="F167" s="4">
        <f t="shared" ca="1" si="0"/>
        <v>90</v>
      </c>
      <c r="G167" s="4">
        <f t="shared" ca="1" si="0"/>
        <v>0</v>
      </c>
      <c r="H167" s="4">
        <f t="shared" ca="1" si="0"/>
        <v>0</v>
      </c>
      <c r="I167" s="4">
        <f t="shared" ca="1" si="0"/>
        <v>3</v>
      </c>
      <c r="J167" s="4">
        <f t="shared" ca="1" si="0"/>
        <v>5</v>
      </c>
      <c r="K167" s="4">
        <f t="shared" ca="1" si="0"/>
        <v>0</v>
      </c>
      <c r="L167" s="4">
        <f t="shared" ca="1" si="0"/>
        <v>0</v>
      </c>
      <c r="M167" s="4">
        <f t="shared" ca="1" si="0"/>
        <v>0</v>
      </c>
      <c r="N167" s="4">
        <f t="shared" ca="1" si="0"/>
        <v>0</v>
      </c>
      <c r="O167" s="4">
        <f t="shared" ca="1" si="0"/>
        <v>0</v>
      </c>
      <c r="P167" s="4">
        <f t="shared" ca="1" si="0"/>
        <v>0</v>
      </c>
      <c r="Q167" s="4">
        <f t="shared" ca="1" si="0"/>
        <v>0</v>
      </c>
      <c r="R167" s="6">
        <f ca="1">SUMIF($C$4:$R$160, $C167, R$4:R$160)/$E167</f>
        <v>3.6379999999999999</v>
      </c>
    </row>
    <row r="168" spans="1:18" x14ac:dyDescent="0.25">
      <c r="B168" s="1"/>
      <c r="C168" s="1"/>
      <c r="D168" s="1"/>
    </row>
    <row r="169" spans="1:18" x14ac:dyDescent="0.25">
      <c r="A169" s="3" t="s">
        <v>14</v>
      </c>
      <c r="B169" s="2" t="s">
        <v>1</v>
      </c>
      <c r="C169" s="8" t="s">
        <v>2</v>
      </c>
      <c r="D169" s="2" t="s">
        <v>3</v>
      </c>
      <c r="E169" s="2" t="s">
        <v>15</v>
      </c>
      <c r="F169" s="2" t="s">
        <v>16</v>
      </c>
      <c r="G169" s="2" t="s">
        <v>17</v>
      </c>
      <c r="H169" s="2" t="s">
        <v>18</v>
      </c>
      <c r="I169" s="2" t="s">
        <v>19</v>
      </c>
      <c r="J169" s="2" t="s">
        <v>20</v>
      </c>
      <c r="K169" s="2" t="s">
        <v>21</v>
      </c>
      <c r="L169" s="2" t="s">
        <v>22</v>
      </c>
      <c r="M169" s="2" t="s">
        <v>23</v>
      </c>
      <c r="N169" s="2" t="s">
        <v>24</v>
      </c>
      <c r="O169" s="2" t="s">
        <v>25</v>
      </c>
      <c r="P169" s="2" t="s">
        <v>26</v>
      </c>
      <c r="Q169" s="2" t="s">
        <v>28</v>
      </c>
      <c r="R169" s="5" t="s">
        <v>27</v>
      </c>
    </row>
    <row r="170" spans="1:18" x14ac:dyDescent="0.25">
      <c r="A170" t="s">
        <v>5</v>
      </c>
      <c r="B170" s="1">
        <v>27</v>
      </c>
      <c r="C170" t="s">
        <v>40</v>
      </c>
      <c r="D170" s="1" t="s">
        <v>0</v>
      </c>
      <c r="E170" s="4">
        <f t="shared" ref="E170:Q178" ca="1" si="1">SUMIF($C$4:$R$160, $C170, E$4:E$160)</f>
        <v>4</v>
      </c>
      <c r="F170" s="4">
        <f t="shared" ca="1" si="1"/>
        <v>315</v>
      </c>
      <c r="G170" s="4">
        <f t="shared" ca="1" si="1"/>
        <v>0</v>
      </c>
      <c r="H170" s="4">
        <f t="shared" ca="1" si="1"/>
        <v>0</v>
      </c>
      <c r="I170" s="4">
        <f t="shared" ca="1" si="1"/>
        <v>0</v>
      </c>
      <c r="J170" s="4">
        <f t="shared" ca="1" si="1"/>
        <v>0</v>
      </c>
      <c r="K170" s="4">
        <f t="shared" ca="1" si="1"/>
        <v>1</v>
      </c>
      <c r="L170" s="4">
        <f t="shared" ca="1" si="1"/>
        <v>0</v>
      </c>
      <c r="M170" s="4">
        <f t="shared" ca="1" si="1"/>
        <v>4</v>
      </c>
      <c r="N170" s="4">
        <f t="shared" ca="1" si="1"/>
        <v>2</v>
      </c>
      <c r="O170" s="4">
        <f t="shared" ca="1" si="1"/>
        <v>19</v>
      </c>
      <c r="P170" s="4">
        <f t="shared" ca="1" si="1"/>
        <v>9</v>
      </c>
      <c r="Q170" s="4">
        <f t="shared" ca="1" si="1"/>
        <v>18</v>
      </c>
      <c r="R170" s="6">
        <f t="shared" ref="R170:R178" ca="1" si="2">SUMIF($C$4:$R$160, $C170, R$4:R$160)/$E170</f>
        <v>4.0951249999999995</v>
      </c>
    </row>
    <row r="171" spans="1:18" x14ac:dyDescent="0.25">
      <c r="A171" t="s">
        <v>5</v>
      </c>
      <c r="B171" s="1">
        <v>26</v>
      </c>
      <c r="C171" t="s">
        <v>41</v>
      </c>
      <c r="D171" s="1" t="s">
        <v>0</v>
      </c>
      <c r="E171" s="4">
        <f t="shared" ca="1" si="1"/>
        <v>2</v>
      </c>
      <c r="F171" s="4">
        <f t="shared" ca="1" si="1"/>
        <v>180</v>
      </c>
      <c r="G171" s="4">
        <f t="shared" ca="1" si="1"/>
        <v>0</v>
      </c>
      <c r="H171" s="4">
        <f t="shared" ca="1" si="1"/>
        <v>0</v>
      </c>
      <c r="I171" s="4">
        <f t="shared" ca="1" si="1"/>
        <v>0</v>
      </c>
      <c r="J171" s="4">
        <f t="shared" ca="1" si="1"/>
        <v>0</v>
      </c>
      <c r="K171" s="4">
        <f t="shared" ca="1" si="1"/>
        <v>0</v>
      </c>
      <c r="L171" s="4">
        <f t="shared" ca="1" si="1"/>
        <v>0</v>
      </c>
      <c r="M171" s="4">
        <f t="shared" ca="1" si="1"/>
        <v>0</v>
      </c>
      <c r="N171" s="4">
        <f t="shared" ca="1" si="1"/>
        <v>1</v>
      </c>
      <c r="O171" s="4">
        <f t="shared" ca="1" si="1"/>
        <v>8</v>
      </c>
      <c r="P171" s="4">
        <f t="shared" ca="1" si="1"/>
        <v>7</v>
      </c>
      <c r="Q171" s="4">
        <f t="shared" ca="1" si="1"/>
        <v>7</v>
      </c>
      <c r="R171" s="6">
        <f t="shared" ca="1" si="2"/>
        <v>3.9529999999999998</v>
      </c>
    </row>
    <row r="172" spans="1:18" x14ac:dyDescent="0.25">
      <c r="A172" t="s">
        <v>5</v>
      </c>
      <c r="B172" s="1">
        <v>26</v>
      </c>
      <c r="C172" t="s">
        <v>42</v>
      </c>
      <c r="D172" s="1" t="s">
        <v>0</v>
      </c>
      <c r="E172" s="4">
        <f t="shared" ca="1" si="1"/>
        <v>2</v>
      </c>
      <c r="F172" s="4">
        <f t="shared" ca="1" si="1"/>
        <v>135</v>
      </c>
      <c r="G172" s="4">
        <f t="shared" ca="1" si="1"/>
        <v>0</v>
      </c>
      <c r="H172" s="4">
        <f t="shared" ca="1" si="1"/>
        <v>0</v>
      </c>
      <c r="I172" s="4">
        <f t="shared" ca="1" si="1"/>
        <v>0</v>
      </c>
      <c r="J172" s="4">
        <f t="shared" ca="1" si="1"/>
        <v>0</v>
      </c>
      <c r="K172" s="4">
        <f t="shared" ca="1" si="1"/>
        <v>0</v>
      </c>
      <c r="L172" s="4">
        <f t="shared" ca="1" si="1"/>
        <v>0</v>
      </c>
      <c r="M172" s="4">
        <f t="shared" ca="1" si="1"/>
        <v>1</v>
      </c>
      <c r="N172" s="4">
        <f t="shared" ca="1" si="1"/>
        <v>0</v>
      </c>
      <c r="O172" s="4">
        <f t="shared" ca="1" si="1"/>
        <v>4</v>
      </c>
      <c r="P172" s="4">
        <f t="shared" ca="1" si="1"/>
        <v>6</v>
      </c>
      <c r="Q172" s="4">
        <f t="shared" ca="1" si="1"/>
        <v>3</v>
      </c>
      <c r="R172" s="6">
        <f t="shared" ca="1" si="2"/>
        <v>1.9844999999999997</v>
      </c>
    </row>
    <row r="173" spans="1:18" x14ac:dyDescent="0.25">
      <c r="A173" t="s">
        <v>5</v>
      </c>
      <c r="B173" s="1">
        <v>26</v>
      </c>
      <c r="C173" t="s">
        <v>43</v>
      </c>
      <c r="D173" s="1" t="s">
        <v>8</v>
      </c>
      <c r="E173" s="4">
        <f t="shared" ca="1" si="1"/>
        <v>3</v>
      </c>
      <c r="F173" s="4">
        <f t="shared" ca="1" si="1"/>
        <v>180</v>
      </c>
      <c r="G173" s="4">
        <f t="shared" ca="1" si="1"/>
        <v>0</v>
      </c>
      <c r="H173" s="4">
        <f t="shared" ca="1" si="1"/>
        <v>0</v>
      </c>
      <c r="I173" s="4">
        <f t="shared" ca="1" si="1"/>
        <v>0</v>
      </c>
      <c r="J173" s="4">
        <f t="shared" ca="1" si="1"/>
        <v>0</v>
      </c>
      <c r="K173" s="4">
        <f t="shared" ca="1" si="1"/>
        <v>1</v>
      </c>
      <c r="L173" s="4">
        <f t="shared" ca="1" si="1"/>
        <v>0</v>
      </c>
      <c r="M173" s="4">
        <f t="shared" ca="1" si="1"/>
        <v>5</v>
      </c>
      <c r="N173" s="4">
        <f t="shared" ca="1" si="1"/>
        <v>1</v>
      </c>
      <c r="O173" s="4">
        <f t="shared" ca="1" si="1"/>
        <v>16</v>
      </c>
      <c r="P173" s="4">
        <f t="shared" ca="1" si="1"/>
        <v>6</v>
      </c>
      <c r="Q173" s="4">
        <f t="shared" ca="1" si="1"/>
        <v>14</v>
      </c>
      <c r="R173" s="6">
        <f t="shared" ca="1" si="2"/>
        <v>5.375</v>
      </c>
    </row>
    <row r="174" spans="1:18" x14ac:dyDescent="0.25">
      <c r="A174" t="s">
        <v>5</v>
      </c>
      <c r="B174" s="1">
        <v>25</v>
      </c>
      <c r="C174" t="s">
        <v>44</v>
      </c>
      <c r="D174" s="1" t="s">
        <v>0</v>
      </c>
      <c r="E174" s="4">
        <f t="shared" ca="1" si="1"/>
        <v>2</v>
      </c>
      <c r="F174" s="4">
        <f t="shared" ca="1" si="1"/>
        <v>180</v>
      </c>
      <c r="G174" s="4">
        <f t="shared" ca="1" si="1"/>
        <v>0</v>
      </c>
      <c r="H174" s="4">
        <f t="shared" ca="1" si="1"/>
        <v>0</v>
      </c>
      <c r="I174" s="4">
        <f t="shared" ca="1" si="1"/>
        <v>0</v>
      </c>
      <c r="J174" s="4">
        <f t="shared" ca="1" si="1"/>
        <v>0</v>
      </c>
      <c r="K174" s="4">
        <f t="shared" ca="1" si="1"/>
        <v>1</v>
      </c>
      <c r="L174" s="4">
        <f t="shared" ca="1" si="1"/>
        <v>0</v>
      </c>
      <c r="M174" s="4">
        <f t="shared" ca="1" si="1"/>
        <v>3</v>
      </c>
      <c r="N174" s="4">
        <f t="shared" ca="1" si="1"/>
        <v>1</v>
      </c>
      <c r="O174" s="4">
        <f t="shared" ca="1" si="1"/>
        <v>11</v>
      </c>
      <c r="P174" s="4">
        <f t="shared" ca="1" si="1"/>
        <v>3</v>
      </c>
      <c r="Q174" s="4">
        <f t="shared" ca="1" si="1"/>
        <v>9</v>
      </c>
      <c r="R174" s="6">
        <f t="shared" ca="1" si="2"/>
        <v>5.6217899999999998</v>
      </c>
    </row>
    <row r="175" spans="1:18" x14ac:dyDescent="0.25">
      <c r="A175" t="s">
        <v>5</v>
      </c>
      <c r="B175" s="1"/>
      <c r="C175" t="s">
        <v>58</v>
      </c>
      <c r="D175" s="1" t="s">
        <v>12</v>
      </c>
      <c r="E175" s="4">
        <f t="shared" ca="1" si="1"/>
        <v>2</v>
      </c>
      <c r="F175" s="4">
        <f t="shared" ca="1" si="1"/>
        <v>180</v>
      </c>
      <c r="G175" s="4">
        <f t="shared" ca="1" si="1"/>
        <v>0</v>
      </c>
      <c r="H175" s="4">
        <f t="shared" ca="1" si="1"/>
        <v>0</v>
      </c>
      <c r="I175" s="4">
        <f t="shared" ca="1" si="1"/>
        <v>0</v>
      </c>
      <c r="J175" s="4">
        <f t="shared" ca="1" si="1"/>
        <v>0</v>
      </c>
      <c r="K175" s="4">
        <f t="shared" ca="1" si="1"/>
        <v>0</v>
      </c>
      <c r="L175" s="4">
        <f t="shared" ca="1" si="1"/>
        <v>0</v>
      </c>
      <c r="M175" s="4">
        <f t="shared" ca="1" si="1"/>
        <v>0</v>
      </c>
      <c r="N175" s="4">
        <f t="shared" ca="1" si="1"/>
        <v>0</v>
      </c>
      <c r="O175" s="4">
        <f t="shared" ca="1" si="1"/>
        <v>4</v>
      </c>
      <c r="P175" s="4">
        <f t="shared" ca="1" si="1"/>
        <v>8</v>
      </c>
      <c r="Q175" s="4">
        <f t="shared" ca="1" si="1"/>
        <v>4</v>
      </c>
      <c r="R175" s="6">
        <f t="shared" ca="1" si="2"/>
        <v>4.7844999999999995</v>
      </c>
    </row>
    <row r="176" spans="1:18" x14ac:dyDescent="0.25">
      <c r="A176" t="s">
        <v>5</v>
      </c>
      <c r="B176" s="1"/>
      <c r="C176" t="s">
        <v>59</v>
      </c>
      <c r="D176" s="1" t="s">
        <v>12</v>
      </c>
      <c r="E176" s="4">
        <f t="shared" ca="1" si="1"/>
        <v>2</v>
      </c>
      <c r="F176" s="4">
        <f t="shared" ca="1" si="1"/>
        <v>180</v>
      </c>
      <c r="G176" s="4">
        <f t="shared" ca="1" si="1"/>
        <v>0</v>
      </c>
      <c r="H176" s="4">
        <f t="shared" ca="1" si="1"/>
        <v>0</v>
      </c>
      <c r="I176" s="4">
        <f t="shared" ca="1" si="1"/>
        <v>0</v>
      </c>
      <c r="J176" s="4">
        <f t="shared" ca="1" si="1"/>
        <v>0</v>
      </c>
      <c r="K176" s="4">
        <f t="shared" ca="1" si="1"/>
        <v>0</v>
      </c>
      <c r="L176" s="4">
        <f t="shared" ca="1" si="1"/>
        <v>0</v>
      </c>
      <c r="M176" s="4">
        <f t="shared" ca="1" si="1"/>
        <v>1</v>
      </c>
      <c r="N176" s="4">
        <f t="shared" ca="1" si="1"/>
        <v>1</v>
      </c>
      <c r="O176" s="4">
        <f t="shared" ca="1" si="1"/>
        <v>20</v>
      </c>
      <c r="P176" s="4">
        <f t="shared" ca="1" si="1"/>
        <v>11</v>
      </c>
      <c r="Q176" s="4">
        <f t="shared" ca="1" si="1"/>
        <v>16</v>
      </c>
      <c r="R176" s="6">
        <f t="shared" ca="1" si="2"/>
        <v>10.259499999999999</v>
      </c>
    </row>
    <row r="177" spans="1:18" x14ac:dyDescent="0.25">
      <c r="A177" t="s">
        <v>5</v>
      </c>
      <c r="B177" s="1"/>
      <c r="C177" s="9" t="s">
        <v>65</v>
      </c>
      <c r="D177" s="1" t="s">
        <v>0</v>
      </c>
      <c r="E177" s="4">
        <f t="shared" ca="1" si="1"/>
        <v>1</v>
      </c>
      <c r="F177" s="4">
        <f t="shared" ca="1" si="1"/>
        <v>90</v>
      </c>
      <c r="G177" s="4">
        <f t="shared" ca="1" si="1"/>
        <v>0</v>
      </c>
      <c r="H177" s="4">
        <f t="shared" ca="1" si="1"/>
        <v>0</v>
      </c>
      <c r="I177" s="4">
        <f t="shared" ca="1" si="1"/>
        <v>0</v>
      </c>
      <c r="J177" s="4">
        <f t="shared" ca="1" si="1"/>
        <v>0</v>
      </c>
      <c r="K177" s="4">
        <f t="shared" ca="1" si="1"/>
        <v>0</v>
      </c>
      <c r="L177" s="4">
        <f t="shared" ca="1" si="1"/>
        <v>0</v>
      </c>
      <c r="M177" s="4">
        <f t="shared" ca="1" si="1"/>
        <v>3</v>
      </c>
      <c r="N177" s="4">
        <f t="shared" ca="1" si="1"/>
        <v>0</v>
      </c>
      <c r="O177" s="4">
        <f t="shared" ca="1" si="1"/>
        <v>7</v>
      </c>
      <c r="P177" s="4">
        <f t="shared" ca="1" si="1"/>
        <v>3</v>
      </c>
      <c r="Q177" s="4">
        <f t="shared" ca="1" si="1"/>
        <v>3</v>
      </c>
      <c r="R177" s="6">
        <f t="shared" ca="1" si="2"/>
        <v>1.5880000000000001</v>
      </c>
    </row>
    <row r="178" spans="1:18" x14ac:dyDescent="0.25">
      <c r="A178" t="s">
        <v>5</v>
      </c>
      <c r="B178" s="1"/>
      <c r="C178" s="9" t="s">
        <v>66</v>
      </c>
      <c r="D178" s="1" t="s">
        <v>10</v>
      </c>
      <c r="E178" s="4">
        <f t="shared" ca="1" si="1"/>
        <v>1</v>
      </c>
      <c r="F178" s="4">
        <f t="shared" ca="1" si="1"/>
        <v>90</v>
      </c>
      <c r="G178" s="4">
        <f t="shared" ca="1" si="1"/>
        <v>0</v>
      </c>
      <c r="H178" s="4">
        <f t="shared" ca="1" si="1"/>
        <v>0</v>
      </c>
      <c r="I178" s="4">
        <f t="shared" ca="1" si="1"/>
        <v>0</v>
      </c>
      <c r="J178" s="4">
        <f t="shared" ca="1" si="1"/>
        <v>0</v>
      </c>
      <c r="K178" s="4">
        <f t="shared" ca="1" si="1"/>
        <v>0</v>
      </c>
      <c r="L178" s="4">
        <f t="shared" ca="1" si="1"/>
        <v>0</v>
      </c>
      <c r="M178" s="4">
        <f t="shared" ca="1" si="1"/>
        <v>0</v>
      </c>
      <c r="N178" s="4">
        <f t="shared" ca="1" si="1"/>
        <v>0</v>
      </c>
      <c r="O178" s="4">
        <f t="shared" ca="1" si="1"/>
        <v>7</v>
      </c>
      <c r="P178" s="4">
        <f t="shared" ca="1" si="1"/>
        <v>1</v>
      </c>
      <c r="Q178" s="4">
        <f t="shared" ca="1" si="1"/>
        <v>7</v>
      </c>
      <c r="R178" s="6">
        <f t="shared" ca="1" si="2"/>
        <v>3.988</v>
      </c>
    </row>
    <row r="179" spans="1:18" x14ac:dyDescent="0.25">
      <c r="B179" s="1"/>
      <c r="C179"/>
      <c r="D179" s="1"/>
    </row>
    <row r="180" spans="1:18" x14ac:dyDescent="0.25">
      <c r="B180" s="1"/>
      <c r="C180" s="1"/>
      <c r="D180" s="1"/>
    </row>
    <row r="181" spans="1:18" x14ac:dyDescent="0.25">
      <c r="A181" s="3" t="s">
        <v>14</v>
      </c>
      <c r="B181" s="2" t="s">
        <v>1</v>
      </c>
      <c r="C181" s="8" t="s">
        <v>2</v>
      </c>
      <c r="D181" s="2" t="s">
        <v>3</v>
      </c>
      <c r="E181" s="2" t="s">
        <v>15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21</v>
      </c>
      <c r="L181" s="2" t="s">
        <v>22</v>
      </c>
      <c r="M181" s="2" t="s">
        <v>23</v>
      </c>
      <c r="N181" s="2" t="s">
        <v>24</v>
      </c>
      <c r="O181" s="2" t="s">
        <v>25</v>
      </c>
      <c r="P181" s="2" t="s">
        <v>26</v>
      </c>
      <c r="Q181" s="2" t="s">
        <v>28</v>
      </c>
      <c r="R181" s="5" t="s">
        <v>27</v>
      </c>
    </row>
    <row r="182" spans="1:18" x14ac:dyDescent="0.25">
      <c r="A182" t="s">
        <v>7</v>
      </c>
      <c r="B182" s="1">
        <v>27</v>
      </c>
      <c r="C182" t="s">
        <v>33</v>
      </c>
      <c r="D182" s="1" t="s">
        <v>9</v>
      </c>
      <c r="E182" s="4">
        <f t="shared" ref="E182:Q190" ca="1" si="3">SUMIF($C$4:$R$160, $C182, E$4:E$160)</f>
        <v>4</v>
      </c>
      <c r="F182" s="4">
        <f t="shared" ca="1" si="3"/>
        <v>300</v>
      </c>
      <c r="G182" s="4">
        <f t="shared" ca="1" si="3"/>
        <v>0</v>
      </c>
      <c r="H182" s="4">
        <f t="shared" ca="1" si="3"/>
        <v>0</v>
      </c>
      <c r="I182" s="4">
        <f t="shared" ca="1" si="3"/>
        <v>3</v>
      </c>
      <c r="J182" s="4">
        <f t="shared" ca="1" si="3"/>
        <v>6</v>
      </c>
      <c r="K182" s="4">
        <f t="shared" ca="1" si="3"/>
        <v>0</v>
      </c>
      <c r="L182" s="4">
        <f t="shared" ca="1" si="3"/>
        <v>0</v>
      </c>
      <c r="M182" s="4">
        <f t="shared" ca="1" si="3"/>
        <v>4</v>
      </c>
      <c r="N182" s="4">
        <f t="shared" ca="1" si="3"/>
        <v>11</v>
      </c>
      <c r="O182" s="4">
        <f t="shared" ca="1" si="3"/>
        <v>36</v>
      </c>
      <c r="P182" s="4">
        <f t="shared" ca="1" si="3"/>
        <v>22</v>
      </c>
      <c r="Q182" s="4">
        <f t="shared" ca="1" si="3"/>
        <v>48</v>
      </c>
      <c r="R182" s="6">
        <f t="shared" ref="R182:R190" ca="1" si="4">SUMIF($C$4:$R$160, $C182, R$4:R$160)/$E182</f>
        <v>10.91775</v>
      </c>
    </row>
    <row r="183" spans="1:18" x14ac:dyDescent="0.25">
      <c r="A183" t="s">
        <v>7</v>
      </c>
      <c r="B183" s="1">
        <v>26</v>
      </c>
      <c r="C183" t="s">
        <v>34</v>
      </c>
      <c r="D183" s="1" t="s">
        <v>10</v>
      </c>
      <c r="E183" s="4">
        <f t="shared" ca="1" si="3"/>
        <v>3</v>
      </c>
      <c r="F183" s="4">
        <f t="shared" ca="1" si="3"/>
        <v>201</v>
      </c>
      <c r="G183" s="4">
        <f t="shared" ca="1" si="3"/>
        <v>0</v>
      </c>
      <c r="H183" s="4">
        <f t="shared" ca="1" si="3"/>
        <v>0</v>
      </c>
      <c r="I183" s="4">
        <f t="shared" ca="1" si="3"/>
        <v>0</v>
      </c>
      <c r="J183" s="4">
        <f t="shared" ca="1" si="3"/>
        <v>3</v>
      </c>
      <c r="K183" s="4">
        <f t="shared" ca="1" si="3"/>
        <v>1</v>
      </c>
      <c r="L183" s="4">
        <f t="shared" ca="1" si="3"/>
        <v>1</v>
      </c>
      <c r="M183" s="4">
        <f t="shared" ca="1" si="3"/>
        <v>4</v>
      </c>
      <c r="N183" s="4">
        <f t="shared" ca="1" si="3"/>
        <v>7</v>
      </c>
      <c r="O183" s="4">
        <f t="shared" ca="1" si="3"/>
        <v>14</v>
      </c>
      <c r="P183" s="4">
        <f t="shared" ca="1" si="3"/>
        <v>15</v>
      </c>
      <c r="Q183" s="4">
        <f t="shared" ca="1" si="3"/>
        <v>18</v>
      </c>
      <c r="R183" s="6">
        <f t="shared" ca="1" si="4"/>
        <v>4.1793333333333331</v>
      </c>
    </row>
    <row r="184" spans="1:18" x14ac:dyDescent="0.25">
      <c r="A184" t="s">
        <v>7</v>
      </c>
      <c r="B184" s="1">
        <v>26</v>
      </c>
      <c r="C184" t="s">
        <v>35</v>
      </c>
      <c r="D184" s="1" t="s">
        <v>10</v>
      </c>
      <c r="E184" s="4">
        <f t="shared" ca="1" si="3"/>
        <v>5</v>
      </c>
      <c r="F184" s="4">
        <f t="shared" ca="1" si="3"/>
        <v>405</v>
      </c>
      <c r="G184" s="4">
        <f t="shared" ca="1" si="3"/>
        <v>0</v>
      </c>
      <c r="H184" s="4">
        <f t="shared" ca="1" si="3"/>
        <v>1</v>
      </c>
      <c r="I184" s="4">
        <f t="shared" ca="1" si="3"/>
        <v>1</v>
      </c>
      <c r="J184" s="4">
        <f t="shared" ca="1" si="3"/>
        <v>2</v>
      </c>
      <c r="K184" s="4">
        <f t="shared" ca="1" si="3"/>
        <v>0</v>
      </c>
      <c r="L184" s="4">
        <f t="shared" ca="1" si="3"/>
        <v>0</v>
      </c>
      <c r="M184" s="4">
        <f t="shared" ca="1" si="3"/>
        <v>10</v>
      </c>
      <c r="N184" s="4">
        <f t="shared" ca="1" si="3"/>
        <v>6</v>
      </c>
      <c r="O184" s="4">
        <f t="shared" ca="1" si="3"/>
        <v>27</v>
      </c>
      <c r="P184" s="4">
        <f t="shared" ca="1" si="3"/>
        <v>28</v>
      </c>
      <c r="Q184" s="4">
        <f t="shared" ca="1" si="3"/>
        <v>36</v>
      </c>
      <c r="R184" s="6">
        <f t="shared" ca="1" si="4"/>
        <v>4.8799000000000001</v>
      </c>
    </row>
    <row r="185" spans="1:18" x14ac:dyDescent="0.25">
      <c r="A185" t="s">
        <v>7</v>
      </c>
      <c r="B185" s="1">
        <v>25</v>
      </c>
      <c r="C185" t="s">
        <v>36</v>
      </c>
      <c r="D185" s="1" t="s">
        <v>11</v>
      </c>
      <c r="E185" s="4">
        <f t="shared" ca="1" si="3"/>
        <v>6</v>
      </c>
      <c r="F185" s="4">
        <f t="shared" ca="1" si="3"/>
        <v>420</v>
      </c>
      <c r="G185" s="4">
        <f t="shared" ca="1" si="3"/>
        <v>0</v>
      </c>
      <c r="H185" s="4">
        <f t="shared" ca="1" si="3"/>
        <v>1</v>
      </c>
      <c r="I185" s="4">
        <f t="shared" ca="1" si="3"/>
        <v>3</v>
      </c>
      <c r="J185" s="4">
        <f t="shared" ca="1" si="3"/>
        <v>4</v>
      </c>
      <c r="K185" s="4">
        <f t="shared" ca="1" si="3"/>
        <v>0</v>
      </c>
      <c r="L185" s="4">
        <f t="shared" ca="1" si="3"/>
        <v>0</v>
      </c>
      <c r="M185" s="4">
        <f t="shared" ca="1" si="3"/>
        <v>11</v>
      </c>
      <c r="N185" s="4">
        <f t="shared" ca="1" si="3"/>
        <v>14</v>
      </c>
      <c r="O185" s="4">
        <f t="shared" ca="1" si="3"/>
        <v>43</v>
      </c>
      <c r="P185" s="4">
        <f t="shared" ca="1" si="3"/>
        <v>43</v>
      </c>
      <c r="Q185" s="4">
        <f t="shared" ca="1" si="3"/>
        <v>67</v>
      </c>
      <c r="R185" s="6">
        <f t="shared" ca="1" si="4"/>
        <v>6.1083333333333334</v>
      </c>
    </row>
    <row r="186" spans="1:18" x14ac:dyDescent="0.25">
      <c r="A186" t="s">
        <v>7</v>
      </c>
      <c r="B186" s="1">
        <v>25</v>
      </c>
      <c r="C186" t="s">
        <v>37</v>
      </c>
      <c r="D186" s="1" t="s">
        <v>8</v>
      </c>
      <c r="E186" s="4">
        <f t="shared" ca="1" si="3"/>
        <v>2</v>
      </c>
      <c r="F186" s="4">
        <f t="shared" ca="1" si="3"/>
        <v>180</v>
      </c>
      <c r="G186" s="4">
        <f t="shared" ca="1" si="3"/>
        <v>0</v>
      </c>
      <c r="H186" s="4">
        <f t="shared" ca="1" si="3"/>
        <v>0</v>
      </c>
      <c r="I186" s="4">
        <f t="shared" ca="1" si="3"/>
        <v>0</v>
      </c>
      <c r="J186" s="4">
        <f t="shared" ca="1" si="3"/>
        <v>1</v>
      </c>
      <c r="K186" s="4">
        <f t="shared" ca="1" si="3"/>
        <v>0</v>
      </c>
      <c r="L186" s="4">
        <f t="shared" ca="1" si="3"/>
        <v>0</v>
      </c>
      <c r="M186" s="4">
        <f t="shared" ca="1" si="3"/>
        <v>5</v>
      </c>
      <c r="N186" s="4">
        <f t="shared" ca="1" si="3"/>
        <v>6</v>
      </c>
      <c r="O186" s="4">
        <f t="shared" ca="1" si="3"/>
        <v>25</v>
      </c>
      <c r="P186" s="4">
        <f t="shared" ca="1" si="3"/>
        <v>11</v>
      </c>
      <c r="Q186" s="4">
        <f t="shared" ca="1" si="3"/>
        <v>23</v>
      </c>
      <c r="R186" s="6">
        <f t="shared" ca="1" si="4"/>
        <v>6.4967500000000005</v>
      </c>
    </row>
    <row r="187" spans="1:18" x14ac:dyDescent="0.25">
      <c r="A187" t="s">
        <v>7</v>
      </c>
      <c r="B187" s="1">
        <v>24</v>
      </c>
      <c r="C187" t="s">
        <v>38</v>
      </c>
      <c r="D187" s="1" t="s">
        <v>10</v>
      </c>
      <c r="E187" s="4">
        <f t="shared" ca="1" si="3"/>
        <v>2</v>
      </c>
      <c r="F187" s="4">
        <f t="shared" ca="1" si="3"/>
        <v>180</v>
      </c>
      <c r="G187" s="4">
        <f t="shared" ca="1" si="3"/>
        <v>1</v>
      </c>
      <c r="H187" s="4">
        <f t="shared" ca="1" si="3"/>
        <v>0</v>
      </c>
      <c r="I187" s="4">
        <f t="shared" ca="1" si="3"/>
        <v>1</v>
      </c>
      <c r="J187" s="4">
        <f t="shared" ca="1" si="3"/>
        <v>3</v>
      </c>
      <c r="K187" s="4">
        <f t="shared" ca="1" si="3"/>
        <v>1</v>
      </c>
      <c r="L187" s="4">
        <f t="shared" ca="1" si="3"/>
        <v>0</v>
      </c>
      <c r="M187" s="4">
        <f t="shared" ca="1" si="3"/>
        <v>6</v>
      </c>
      <c r="N187" s="4">
        <f t="shared" ca="1" si="3"/>
        <v>3</v>
      </c>
      <c r="O187" s="4">
        <f t="shared" ca="1" si="3"/>
        <v>19</v>
      </c>
      <c r="P187" s="4">
        <f t="shared" ca="1" si="3"/>
        <v>25</v>
      </c>
      <c r="Q187" s="4">
        <f t="shared" ca="1" si="3"/>
        <v>21</v>
      </c>
      <c r="R187" s="6">
        <f t="shared" ca="1" si="4"/>
        <v>6.484</v>
      </c>
    </row>
    <row r="188" spans="1:18" x14ac:dyDescent="0.25">
      <c r="A188" t="s">
        <v>7</v>
      </c>
      <c r="B188" s="1">
        <v>24</v>
      </c>
      <c r="C188" t="s">
        <v>39</v>
      </c>
      <c r="D188" s="1" t="s">
        <v>10</v>
      </c>
      <c r="E188" s="4">
        <f t="shared" ca="1" si="3"/>
        <v>2</v>
      </c>
      <c r="F188" s="4">
        <f t="shared" ca="1" si="3"/>
        <v>132</v>
      </c>
      <c r="G188" s="4">
        <f t="shared" ca="1" si="3"/>
        <v>0</v>
      </c>
      <c r="H188" s="4">
        <f t="shared" ca="1" si="3"/>
        <v>0</v>
      </c>
      <c r="I188" s="4">
        <f t="shared" ca="1" si="3"/>
        <v>0</v>
      </c>
      <c r="J188" s="4">
        <f t="shared" ca="1" si="3"/>
        <v>0</v>
      </c>
      <c r="K188" s="4">
        <f t="shared" ca="1" si="3"/>
        <v>1</v>
      </c>
      <c r="L188" s="4">
        <f t="shared" ca="1" si="3"/>
        <v>1</v>
      </c>
      <c r="M188" s="4">
        <f t="shared" ca="1" si="3"/>
        <v>2</v>
      </c>
      <c r="N188" s="4">
        <f t="shared" ca="1" si="3"/>
        <v>5</v>
      </c>
      <c r="O188" s="4">
        <f t="shared" ca="1" si="3"/>
        <v>16</v>
      </c>
      <c r="P188" s="4">
        <f t="shared" ca="1" si="3"/>
        <v>7</v>
      </c>
      <c r="Q188" s="4">
        <f t="shared" ca="1" si="3"/>
        <v>16</v>
      </c>
      <c r="R188" s="6">
        <f t="shared" ca="1" si="4"/>
        <v>2.9215000000000004</v>
      </c>
    </row>
    <row r="189" spans="1:18" x14ac:dyDescent="0.25">
      <c r="A189" t="s">
        <v>7</v>
      </c>
      <c r="B189" s="1"/>
      <c r="C189" t="s">
        <v>60</v>
      </c>
      <c r="D189" s="1" t="s">
        <v>10</v>
      </c>
      <c r="E189" s="4">
        <f t="shared" ca="1" si="3"/>
        <v>2</v>
      </c>
      <c r="F189" s="4">
        <f t="shared" ca="1" si="3"/>
        <v>90</v>
      </c>
      <c r="G189" s="4">
        <f t="shared" ca="1" si="3"/>
        <v>0</v>
      </c>
      <c r="H189" s="4">
        <f t="shared" ca="1" si="3"/>
        <v>1</v>
      </c>
      <c r="I189" s="4">
        <f t="shared" ca="1" si="3"/>
        <v>0</v>
      </c>
      <c r="J189" s="4">
        <f t="shared" ca="1" si="3"/>
        <v>0</v>
      </c>
      <c r="K189" s="4">
        <f t="shared" ca="1" si="3"/>
        <v>0</v>
      </c>
      <c r="L189" s="4">
        <f t="shared" ca="1" si="3"/>
        <v>0</v>
      </c>
      <c r="M189" s="4">
        <f t="shared" ca="1" si="3"/>
        <v>2</v>
      </c>
      <c r="N189" s="4">
        <f t="shared" ca="1" si="3"/>
        <v>1</v>
      </c>
      <c r="O189" s="4">
        <f t="shared" ca="1" si="3"/>
        <v>9</v>
      </c>
      <c r="P189" s="4">
        <f t="shared" ca="1" si="3"/>
        <v>14</v>
      </c>
      <c r="Q189" s="4">
        <f t="shared" ca="1" si="3"/>
        <v>9</v>
      </c>
      <c r="R189" s="6">
        <f t="shared" ca="1" si="4"/>
        <v>2.056</v>
      </c>
    </row>
    <row r="190" spans="1:18" x14ac:dyDescent="0.25">
      <c r="A190" t="s">
        <v>7</v>
      </c>
      <c r="B190" s="1"/>
      <c r="C190" t="s">
        <v>67</v>
      </c>
      <c r="D190" s="1" t="s">
        <v>70</v>
      </c>
      <c r="E190" s="4">
        <f t="shared" ca="1" si="3"/>
        <v>1</v>
      </c>
      <c r="F190" s="4">
        <f t="shared" ca="1" si="3"/>
        <v>45</v>
      </c>
      <c r="G190" s="4">
        <f t="shared" ca="1" si="3"/>
        <v>0</v>
      </c>
      <c r="H190" s="4">
        <f t="shared" ca="1" si="3"/>
        <v>0</v>
      </c>
      <c r="I190" s="4">
        <f t="shared" ca="1" si="3"/>
        <v>0</v>
      </c>
      <c r="J190" s="4">
        <f t="shared" ca="1" si="3"/>
        <v>0</v>
      </c>
      <c r="K190" s="4">
        <f t="shared" ca="1" si="3"/>
        <v>0</v>
      </c>
      <c r="L190" s="4">
        <f t="shared" ca="1" si="3"/>
        <v>0</v>
      </c>
      <c r="M190" s="4">
        <f t="shared" ca="1" si="3"/>
        <v>0</v>
      </c>
      <c r="N190" s="4">
        <f t="shared" ca="1" si="3"/>
        <v>0</v>
      </c>
      <c r="O190" s="4">
        <f t="shared" ca="1" si="3"/>
        <v>4</v>
      </c>
      <c r="P190" s="4">
        <f t="shared" ca="1" si="3"/>
        <v>3</v>
      </c>
      <c r="Q190" s="4">
        <f t="shared" ca="1" si="3"/>
        <v>3</v>
      </c>
      <c r="R190" s="6">
        <f t="shared" ca="1" si="4"/>
        <v>-1.3819999999999999</v>
      </c>
    </row>
    <row r="191" spans="1:18" x14ac:dyDescent="0.25">
      <c r="B191" s="1"/>
      <c r="D191" s="1"/>
    </row>
    <row r="192" spans="1:18" x14ac:dyDescent="0.25">
      <c r="B192" s="1"/>
      <c r="C192"/>
      <c r="D192" s="1"/>
    </row>
    <row r="193" spans="1:18" x14ac:dyDescent="0.25">
      <c r="A193" s="3" t="s">
        <v>14</v>
      </c>
      <c r="B193" s="2" t="s">
        <v>1</v>
      </c>
      <c r="C193" s="8" t="s">
        <v>2</v>
      </c>
      <c r="D193" s="2" t="s">
        <v>3</v>
      </c>
      <c r="E193" s="2" t="s">
        <v>15</v>
      </c>
      <c r="F193" s="2" t="s">
        <v>16</v>
      </c>
      <c r="G193" s="2" t="s">
        <v>17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22</v>
      </c>
      <c r="M193" s="2" t="s">
        <v>23</v>
      </c>
      <c r="N193" s="2" t="s">
        <v>24</v>
      </c>
      <c r="O193" s="2" t="s">
        <v>25</v>
      </c>
      <c r="P193" s="2" t="s">
        <v>26</v>
      </c>
      <c r="Q193" s="2" t="s">
        <v>28</v>
      </c>
      <c r="R193" s="5" t="s">
        <v>27</v>
      </c>
    </row>
    <row r="194" spans="1:18" x14ac:dyDescent="0.25">
      <c r="A194" t="s">
        <v>6</v>
      </c>
      <c r="B194" s="1">
        <v>27</v>
      </c>
      <c r="C194" t="s">
        <v>32</v>
      </c>
      <c r="D194" s="1" t="s">
        <v>12</v>
      </c>
      <c r="E194" s="4">
        <f t="shared" ref="E194:Q201" ca="1" si="5">SUMIF($C$4:$R$160, $C194, E$4:E$160)</f>
        <v>4</v>
      </c>
      <c r="F194" s="4">
        <f t="shared" ca="1" si="5"/>
        <v>180</v>
      </c>
      <c r="G194" s="4">
        <f t="shared" ca="1" si="5"/>
        <v>4</v>
      </c>
      <c r="H194" s="4">
        <f t="shared" ca="1" si="5"/>
        <v>1</v>
      </c>
      <c r="I194" s="4">
        <f t="shared" ca="1" si="5"/>
        <v>5</v>
      </c>
      <c r="J194" s="4">
        <f t="shared" ca="1" si="5"/>
        <v>6</v>
      </c>
      <c r="K194" s="4">
        <f t="shared" ca="1" si="5"/>
        <v>0</v>
      </c>
      <c r="L194" s="4">
        <f t="shared" ca="1" si="5"/>
        <v>0</v>
      </c>
      <c r="M194" s="4">
        <f t="shared" ca="1" si="5"/>
        <v>0</v>
      </c>
      <c r="N194" s="4">
        <f t="shared" ca="1" si="5"/>
        <v>4</v>
      </c>
      <c r="O194" s="4">
        <f t="shared" ca="1" si="5"/>
        <v>21</v>
      </c>
      <c r="P194" s="4">
        <f t="shared" ca="1" si="5"/>
        <v>22</v>
      </c>
      <c r="Q194" s="4">
        <f t="shared" ca="1" si="5"/>
        <v>6</v>
      </c>
      <c r="R194" s="6">
        <f t="shared" ref="R194:R201" ca="1" si="6">SUMIF($C$4:$R$160, $C194, R$4:R$160)/$E194</f>
        <v>6.8969250000000004</v>
      </c>
    </row>
    <row r="195" spans="1:18" x14ac:dyDescent="0.25">
      <c r="A195" t="s">
        <v>6</v>
      </c>
      <c r="B195" s="1">
        <v>27</v>
      </c>
      <c r="C195" t="s">
        <v>31</v>
      </c>
      <c r="D195" s="1" t="s">
        <v>13</v>
      </c>
      <c r="E195" s="4">
        <f t="shared" ca="1" si="5"/>
        <v>4</v>
      </c>
      <c r="F195" s="4">
        <f t="shared" ca="1" si="5"/>
        <v>180</v>
      </c>
      <c r="G195" s="4">
        <f t="shared" ca="1" si="5"/>
        <v>2</v>
      </c>
      <c r="H195" s="4">
        <f t="shared" ca="1" si="5"/>
        <v>1</v>
      </c>
      <c r="I195" s="4">
        <f t="shared" ca="1" si="5"/>
        <v>3</v>
      </c>
      <c r="J195" s="4">
        <f t="shared" ca="1" si="5"/>
        <v>2</v>
      </c>
      <c r="K195" s="4">
        <f t="shared" ca="1" si="5"/>
        <v>1</v>
      </c>
      <c r="L195" s="4">
        <f t="shared" ca="1" si="5"/>
        <v>0</v>
      </c>
      <c r="M195" s="4">
        <f t="shared" ca="1" si="5"/>
        <v>6</v>
      </c>
      <c r="N195" s="4">
        <f t="shared" ca="1" si="5"/>
        <v>4</v>
      </c>
      <c r="O195" s="4">
        <f t="shared" ca="1" si="5"/>
        <v>13</v>
      </c>
      <c r="P195" s="4">
        <f t="shared" ca="1" si="5"/>
        <v>18</v>
      </c>
      <c r="Q195" s="4">
        <f t="shared" ca="1" si="5"/>
        <v>9</v>
      </c>
      <c r="R195" s="6">
        <f t="shared" ca="1" si="6"/>
        <v>3.2718749999999996</v>
      </c>
    </row>
    <row r="196" spans="1:18" x14ac:dyDescent="0.25">
      <c r="A196" t="s">
        <v>6</v>
      </c>
      <c r="B196" s="1">
        <v>26</v>
      </c>
      <c r="C196" t="s">
        <v>30</v>
      </c>
      <c r="D196" s="1" t="s">
        <v>0</v>
      </c>
      <c r="E196" s="4">
        <f t="shared" ca="1" si="5"/>
        <v>5</v>
      </c>
      <c r="F196" s="4">
        <f t="shared" ca="1" si="5"/>
        <v>225</v>
      </c>
      <c r="G196" s="4">
        <f t="shared" ca="1" si="5"/>
        <v>1</v>
      </c>
      <c r="H196" s="4">
        <f t="shared" ca="1" si="5"/>
        <v>0</v>
      </c>
      <c r="I196" s="4">
        <f t="shared" ca="1" si="5"/>
        <v>4</v>
      </c>
      <c r="J196" s="4">
        <f t="shared" ca="1" si="5"/>
        <v>5</v>
      </c>
      <c r="K196" s="4">
        <f t="shared" ca="1" si="5"/>
        <v>0</v>
      </c>
      <c r="L196" s="4">
        <f t="shared" ca="1" si="5"/>
        <v>0</v>
      </c>
      <c r="M196" s="4">
        <f t="shared" ca="1" si="5"/>
        <v>2</v>
      </c>
      <c r="N196" s="4">
        <f t="shared" ca="1" si="5"/>
        <v>4</v>
      </c>
      <c r="O196" s="4">
        <f t="shared" ca="1" si="5"/>
        <v>17</v>
      </c>
      <c r="P196" s="4">
        <f t="shared" ca="1" si="5"/>
        <v>26</v>
      </c>
      <c r="Q196" s="4">
        <f t="shared" ca="1" si="5"/>
        <v>7</v>
      </c>
      <c r="R196" s="6">
        <f t="shared" ca="1" si="6"/>
        <v>2.1025</v>
      </c>
    </row>
    <row r="197" spans="1:18" x14ac:dyDescent="0.25">
      <c r="A197" t="s">
        <v>6</v>
      </c>
      <c r="B197" s="1"/>
      <c r="C197" t="s">
        <v>49</v>
      </c>
      <c r="D197" s="1" t="s">
        <v>0</v>
      </c>
      <c r="E197" s="4">
        <f t="shared" ca="1" si="5"/>
        <v>4</v>
      </c>
      <c r="F197" s="4">
        <f t="shared" ca="1" si="5"/>
        <v>180</v>
      </c>
      <c r="G197" s="4">
        <f t="shared" ca="1" si="5"/>
        <v>2</v>
      </c>
      <c r="H197" s="4">
        <f t="shared" ca="1" si="5"/>
        <v>2</v>
      </c>
      <c r="I197" s="4">
        <f t="shared" ca="1" si="5"/>
        <v>6</v>
      </c>
      <c r="J197" s="4">
        <f t="shared" ca="1" si="5"/>
        <v>3</v>
      </c>
      <c r="K197" s="4">
        <f t="shared" ca="1" si="5"/>
        <v>0</v>
      </c>
      <c r="L197" s="4">
        <f t="shared" ca="1" si="5"/>
        <v>0</v>
      </c>
      <c r="M197" s="4">
        <f t="shared" ca="1" si="5"/>
        <v>7</v>
      </c>
      <c r="N197" s="4">
        <f t="shared" ca="1" si="5"/>
        <v>2</v>
      </c>
      <c r="O197" s="4">
        <f t="shared" ca="1" si="5"/>
        <v>16</v>
      </c>
      <c r="P197" s="4">
        <f t="shared" ca="1" si="5"/>
        <v>16</v>
      </c>
      <c r="Q197" s="4">
        <f t="shared" ca="1" si="5"/>
        <v>10</v>
      </c>
      <c r="R197" s="6">
        <f t="shared" ca="1" si="6"/>
        <v>5.03125</v>
      </c>
    </row>
    <row r="198" spans="1:18" x14ac:dyDescent="0.25">
      <c r="A198" t="s">
        <v>6</v>
      </c>
      <c r="B198" s="1">
        <v>24</v>
      </c>
      <c r="C198" t="s">
        <v>29</v>
      </c>
      <c r="D198" s="1" t="s">
        <v>10</v>
      </c>
      <c r="E198" s="4">
        <f t="shared" ca="1" si="5"/>
        <v>2</v>
      </c>
      <c r="F198" s="4">
        <f t="shared" ca="1" si="5"/>
        <v>90</v>
      </c>
      <c r="G198" s="4">
        <f t="shared" ca="1" si="5"/>
        <v>1</v>
      </c>
      <c r="H198" s="4">
        <f t="shared" ca="1" si="5"/>
        <v>0</v>
      </c>
      <c r="I198" s="4">
        <f t="shared" ca="1" si="5"/>
        <v>1</v>
      </c>
      <c r="J198" s="4">
        <f t="shared" ca="1" si="5"/>
        <v>0</v>
      </c>
      <c r="K198" s="4">
        <f t="shared" ca="1" si="5"/>
        <v>0</v>
      </c>
      <c r="L198" s="4">
        <f t="shared" ca="1" si="5"/>
        <v>0</v>
      </c>
      <c r="M198" s="4">
        <f t="shared" ca="1" si="5"/>
        <v>0</v>
      </c>
      <c r="N198" s="4">
        <f t="shared" ca="1" si="5"/>
        <v>0</v>
      </c>
      <c r="O198" s="4">
        <f t="shared" ca="1" si="5"/>
        <v>6</v>
      </c>
      <c r="P198" s="4">
        <f t="shared" ca="1" si="5"/>
        <v>17</v>
      </c>
      <c r="Q198" s="4">
        <f t="shared" ca="1" si="5"/>
        <v>4</v>
      </c>
      <c r="R198" s="6">
        <f t="shared" ca="1" si="6"/>
        <v>2.7160000000000002</v>
      </c>
    </row>
    <row r="199" spans="1:18" x14ac:dyDescent="0.25">
      <c r="A199" t="s">
        <v>6</v>
      </c>
      <c r="C199" t="s">
        <v>68</v>
      </c>
      <c r="D199" s="10" t="s">
        <v>71</v>
      </c>
      <c r="E199" s="4">
        <f t="shared" ca="1" si="5"/>
        <v>1</v>
      </c>
      <c r="F199" s="4">
        <f t="shared" ca="1" si="5"/>
        <v>45</v>
      </c>
      <c r="G199" s="4">
        <f t="shared" ca="1" si="5"/>
        <v>0</v>
      </c>
      <c r="H199" s="4">
        <f t="shared" ca="1" si="5"/>
        <v>0</v>
      </c>
      <c r="I199" s="4">
        <f t="shared" ca="1" si="5"/>
        <v>0</v>
      </c>
      <c r="J199" s="4">
        <f t="shared" ca="1" si="5"/>
        <v>0</v>
      </c>
      <c r="K199" s="4">
        <f t="shared" ca="1" si="5"/>
        <v>0</v>
      </c>
      <c r="L199" s="4">
        <f t="shared" ca="1" si="5"/>
        <v>0</v>
      </c>
      <c r="M199" s="4">
        <f t="shared" ca="1" si="5"/>
        <v>1</v>
      </c>
      <c r="N199" s="4">
        <f t="shared" ca="1" si="5"/>
        <v>1</v>
      </c>
      <c r="O199" s="4">
        <f t="shared" ca="1" si="5"/>
        <v>1</v>
      </c>
      <c r="P199" s="4">
        <f t="shared" ca="1" si="5"/>
        <v>9</v>
      </c>
      <c r="Q199" s="4">
        <f t="shared" ca="1" si="5"/>
        <v>2</v>
      </c>
      <c r="R199" s="6">
        <f t="shared" ca="1" si="6"/>
        <v>1.0309999999999999</v>
      </c>
    </row>
    <row r="200" spans="1:18" x14ac:dyDescent="0.25">
      <c r="A200" t="s">
        <v>6</v>
      </c>
      <c r="C200" t="s">
        <v>61</v>
      </c>
      <c r="D200" s="1" t="s">
        <v>12</v>
      </c>
      <c r="E200" s="4">
        <f t="shared" ca="1" si="5"/>
        <v>2</v>
      </c>
      <c r="F200" s="4">
        <f t="shared" ca="1" si="5"/>
        <v>90</v>
      </c>
      <c r="G200" s="4">
        <f t="shared" ca="1" si="5"/>
        <v>0</v>
      </c>
      <c r="H200" s="4">
        <f t="shared" ca="1" si="5"/>
        <v>0</v>
      </c>
      <c r="I200" s="4">
        <f t="shared" ca="1" si="5"/>
        <v>1</v>
      </c>
      <c r="J200" s="4">
        <f t="shared" ca="1" si="5"/>
        <v>2</v>
      </c>
      <c r="K200" s="4">
        <f t="shared" ca="1" si="5"/>
        <v>0</v>
      </c>
      <c r="L200" s="4">
        <f t="shared" ca="1" si="5"/>
        <v>0</v>
      </c>
      <c r="M200" s="4">
        <f t="shared" ca="1" si="5"/>
        <v>1</v>
      </c>
      <c r="N200" s="4">
        <f t="shared" ca="1" si="5"/>
        <v>3</v>
      </c>
      <c r="O200" s="4">
        <f t="shared" ca="1" si="5"/>
        <v>7</v>
      </c>
      <c r="P200" s="4">
        <f t="shared" ca="1" si="5"/>
        <v>11</v>
      </c>
      <c r="Q200" s="4">
        <f t="shared" ca="1" si="5"/>
        <v>6</v>
      </c>
      <c r="R200" s="6">
        <f t="shared" ca="1" si="6"/>
        <v>1.1360000000000001</v>
      </c>
    </row>
    <row r="201" spans="1:18" x14ac:dyDescent="0.25">
      <c r="A201" t="s">
        <v>6</v>
      </c>
      <c r="C201" s="9" t="s">
        <v>62</v>
      </c>
      <c r="D201" s="1" t="s">
        <v>10</v>
      </c>
      <c r="E201" s="4">
        <f t="shared" ca="1" si="5"/>
        <v>2</v>
      </c>
      <c r="F201" s="4">
        <f t="shared" ca="1" si="5"/>
        <v>90</v>
      </c>
      <c r="G201" s="4">
        <f t="shared" ca="1" si="5"/>
        <v>0</v>
      </c>
      <c r="H201" s="4">
        <f t="shared" ca="1" si="5"/>
        <v>0</v>
      </c>
      <c r="I201" s="4">
        <f t="shared" ca="1" si="5"/>
        <v>2</v>
      </c>
      <c r="J201" s="4">
        <f t="shared" ca="1" si="5"/>
        <v>3</v>
      </c>
      <c r="K201" s="4">
        <f t="shared" ca="1" si="5"/>
        <v>0</v>
      </c>
      <c r="L201" s="4">
        <f t="shared" ca="1" si="5"/>
        <v>0</v>
      </c>
      <c r="M201" s="4">
        <f t="shared" ca="1" si="5"/>
        <v>3</v>
      </c>
      <c r="N201" s="4">
        <f t="shared" ca="1" si="5"/>
        <v>2</v>
      </c>
      <c r="O201" s="4">
        <f t="shared" ca="1" si="5"/>
        <v>12</v>
      </c>
      <c r="P201" s="4">
        <f t="shared" ca="1" si="5"/>
        <v>13</v>
      </c>
      <c r="Q201" s="4">
        <f t="shared" ca="1" si="5"/>
        <v>6</v>
      </c>
      <c r="R201" s="6">
        <f t="shared" ca="1" si="6"/>
        <v>1.5630000000000002</v>
      </c>
    </row>
  </sheetData>
  <pageMargins left="0.7" right="0.7" top="0.75" bottom="0.75" header="0.3" footer="0.3"/>
  <pageSetup paperSize="9" orientation="portrait" horizontalDpi="4294967295" verticalDpi="4294967295" r:id="rId1"/>
  <webPublishItems count="1">
    <webPublishItem id="5146" divId="me_sco_stats_5146" sourceType="range" sourceRef="A164:R198" destinationFile="J:\data\brejk\clanky\me_40_sco\me_sco_stats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1"/>
  <sheetViews>
    <sheetView workbookViewId="0">
      <selection activeCell="B10" sqref="B10"/>
    </sheetView>
  </sheetViews>
  <sheetFormatPr defaultRowHeight="15" x14ac:dyDescent="0.25"/>
  <cols>
    <col min="2" max="2" width="15.140625" bestFit="1" customWidth="1"/>
    <col min="3" max="17" width="9.140625" style="4"/>
    <col min="18" max="18" width="9.140625" style="6"/>
    <col min="19" max="22" width="9.140625" style="4"/>
  </cols>
  <sheetData>
    <row r="3" spans="1:22" x14ac:dyDescent="0.25">
      <c r="A3" s="3" t="s">
        <v>72</v>
      </c>
      <c r="B3" s="3" t="s">
        <v>73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80</v>
      </c>
      <c r="H3" s="11" t="s">
        <v>81</v>
      </c>
      <c r="I3" s="11" t="s">
        <v>82</v>
      </c>
      <c r="J3" s="11" t="s">
        <v>83</v>
      </c>
      <c r="K3" s="11" t="s">
        <v>84</v>
      </c>
      <c r="L3" s="11" t="s">
        <v>85</v>
      </c>
      <c r="M3" s="11" t="s">
        <v>23</v>
      </c>
      <c r="N3" s="11" t="s">
        <v>24</v>
      </c>
      <c r="O3" s="11" t="s">
        <v>91</v>
      </c>
      <c r="P3" s="11" t="s">
        <v>92</v>
      </c>
      <c r="Q3" s="11" t="s">
        <v>90</v>
      </c>
      <c r="R3" s="12" t="s">
        <v>93</v>
      </c>
      <c r="S3" s="11" t="s">
        <v>86</v>
      </c>
      <c r="T3" s="11" t="s">
        <v>87</v>
      </c>
      <c r="U3" s="11" t="s">
        <v>88</v>
      </c>
      <c r="V3" s="11" t="s">
        <v>89</v>
      </c>
    </row>
    <row r="4" spans="1:22" x14ac:dyDescent="0.25">
      <c r="A4" t="s">
        <v>78</v>
      </c>
      <c r="B4" t="s">
        <v>79</v>
      </c>
      <c r="C4" s="4">
        <v>2</v>
      </c>
      <c r="D4" s="4">
        <v>1</v>
      </c>
      <c r="E4" s="4">
        <v>1</v>
      </c>
      <c r="F4" s="4">
        <v>0</v>
      </c>
      <c r="G4" s="4">
        <v>5</v>
      </c>
      <c r="H4" s="4">
        <v>6</v>
      </c>
      <c r="I4" s="4">
        <v>12</v>
      </c>
      <c r="J4" s="4">
        <v>5</v>
      </c>
      <c r="K4" s="4">
        <v>2</v>
      </c>
      <c r="L4" s="4">
        <v>1</v>
      </c>
      <c r="M4" s="4">
        <v>12</v>
      </c>
      <c r="N4" s="4">
        <v>18</v>
      </c>
      <c r="O4" s="4">
        <v>70</v>
      </c>
      <c r="P4" s="4">
        <v>67</v>
      </c>
      <c r="Q4" s="4">
        <v>67</v>
      </c>
      <c r="R4" s="6">
        <v>4.9147857142857143</v>
      </c>
      <c r="S4" s="4">
        <v>0</v>
      </c>
      <c r="T4" s="4">
        <v>0</v>
      </c>
      <c r="U4" s="4">
        <v>50</v>
      </c>
      <c r="V4" s="4">
        <v>10000</v>
      </c>
    </row>
    <row r="5" spans="1:22" x14ac:dyDescent="0.25">
      <c r="A5" t="s">
        <v>94</v>
      </c>
      <c r="B5" t="s">
        <v>95</v>
      </c>
      <c r="C5" s="4">
        <v>1</v>
      </c>
      <c r="D5" s="4">
        <v>0</v>
      </c>
      <c r="E5" s="4">
        <v>1</v>
      </c>
      <c r="F5" s="4">
        <v>0</v>
      </c>
      <c r="G5" s="4">
        <v>2</v>
      </c>
      <c r="H5" s="4">
        <v>2</v>
      </c>
      <c r="I5" s="4">
        <v>4</v>
      </c>
      <c r="J5" s="4">
        <v>5</v>
      </c>
      <c r="K5" s="4">
        <v>1</v>
      </c>
      <c r="L5" s="4">
        <v>0</v>
      </c>
      <c r="M5" s="4">
        <v>16</v>
      </c>
      <c r="N5" s="4">
        <v>11</v>
      </c>
      <c r="O5" s="4">
        <v>82</v>
      </c>
      <c r="P5" s="4">
        <v>71</v>
      </c>
      <c r="Q5" s="4">
        <v>78</v>
      </c>
      <c r="R5" s="6">
        <v>6.839714285714285</v>
      </c>
      <c r="S5" s="4">
        <v>1</v>
      </c>
      <c r="T5" s="4">
        <v>0</v>
      </c>
      <c r="U5" s="4">
        <v>51</v>
      </c>
      <c r="V5" s="4">
        <v>10000</v>
      </c>
    </row>
    <row r="6" spans="1:22" x14ac:dyDescent="0.25">
      <c r="A6" t="s">
        <v>96</v>
      </c>
      <c r="B6" t="s">
        <v>97</v>
      </c>
      <c r="C6" s="4">
        <v>4</v>
      </c>
      <c r="D6" s="4">
        <v>0</v>
      </c>
      <c r="E6" s="4">
        <v>1</v>
      </c>
      <c r="F6" s="4">
        <v>0</v>
      </c>
      <c r="G6" s="4">
        <v>8</v>
      </c>
      <c r="H6" s="4">
        <v>1</v>
      </c>
      <c r="I6" s="4">
        <v>6</v>
      </c>
      <c r="J6" s="4">
        <v>6</v>
      </c>
      <c r="K6" s="4">
        <v>3</v>
      </c>
      <c r="L6" s="4">
        <v>0</v>
      </c>
      <c r="M6" s="4">
        <v>14</v>
      </c>
      <c r="N6" s="4">
        <v>15</v>
      </c>
      <c r="O6" s="4">
        <v>79</v>
      </c>
      <c r="P6" s="4">
        <v>55</v>
      </c>
      <c r="Q6" s="4">
        <v>66</v>
      </c>
      <c r="R6" s="6">
        <v>7.3248928571428573</v>
      </c>
      <c r="S6" s="4">
        <v>5</v>
      </c>
      <c r="T6" s="4">
        <v>0</v>
      </c>
      <c r="U6" s="4">
        <v>57</v>
      </c>
      <c r="V6" s="4">
        <v>10000</v>
      </c>
    </row>
    <row r="7" spans="1:22" x14ac:dyDescent="0.25">
      <c r="A7" t="s">
        <v>98</v>
      </c>
      <c r="B7" t="s">
        <v>99</v>
      </c>
      <c r="C7" s="4">
        <v>2</v>
      </c>
      <c r="D7" s="4">
        <v>1</v>
      </c>
      <c r="E7" s="4">
        <v>1</v>
      </c>
      <c r="F7" s="4">
        <v>0</v>
      </c>
      <c r="G7" s="4">
        <v>6</v>
      </c>
      <c r="H7" s="4">
        <v>5</v>
      </c>
      <c r="I7" s="4">
        <v>8</v>
      </c>
      <c r="J7" s="4">
        <v>5</v>
      </c>
      <c r="K7" s="4">
        <v>2</v>
      </c>
      <c r="L7" s="4">
        <v>1</v>
      </c>
      <c r="M7" s="4">
        <v>15</v>
      </c>
      <c r="N7" s="4">
        <v>18</v>
      </c>
      <c r="O7" s="4">
        <v>60</v>
      </c>
      <c r="P7" s="4">
        <v>58</v>
      </c>
      <c r="Q7" s="4">
        <v>66</v>
      </c>
      <c r="R7" s="6">
        <v>2.3580557142857144</v>
      </c>
      <c r="S7" s="4">
        <v>2</v>
      </c>
      <c r="T7" s="4">
        <v>1</v>
      </c>
      <c r="U7" s="4">
        <v>49</v>
      </c>
      <c r="V7" s="4">
        <v>10000</v>
      </c>
    </row>
    <row r="8" spans="1:22" x14ac:dyDescent="0.25">
      <c r="A8" t="s">
        <v>100</v>
      </c>
      <c r="B8" t="s">
        <v>101</v>
      </c>
      <c r="C8" s="4">
        <v>2</v>
      </c>
      <c r="D8" s="4">
        <v>0</v>
      </c>
      <c r="E8" s="4">
        <v>2</v>
      </c>
      <c r="F8" s="4">
        <v>0</v>
      </c>
      <c r="G8" s="4">
        <v>6</v>
      </c>
      <c r="H8" s="4">
        <v>0</v>
      </c>
      <c r="I8" s="4">
        <v>8</v>
      </c>
      <c r="J8" s="4">
        <v>6</v>
      </c>
      <c r="K8" s="4">
        <v>2</v>
      </c>
      <c r="L8" s="4">
        <v>0</v>
      </c>
      <c r="M8" s="4">
        <v>13</v>
      </c>
      <c r="N8" s="4">
        <v>14</v>
      </c>
      <c r="O8" s="4">
        <v>83</v>
      </c>
      <c r="P8" s="4">
        <v>66</v>
      </c>
      <c r="Q8" s="4">
        <v>77</v>
      </c>
      <c r="R8" s="6">
        <v>7.3417142857142865</v>
      </c>
      <c r="S8" s="4">
        <v>1</v>
      </c>
      <c r="T8" s="4">
        <v>0</v>
      </c>
      <c r="U8" s="4">
        <v>55</v>
      </c>
      <c r="V8" s="4">
        <v>10000</v>
      </c>
    </row>
    <row r="9" spans="1:22" x14ac:dyDescent="0.25">
      <c r="A9" t="s">
        <v>102</v>
      </c>
      <c r="B9" t="s">
        <v>103</v>
      </c>
      <c r="C9" s="4">
        <v>0</v>
      </c>
      <c r="D9" s="4">
        <v>1</v>
      </c>
      <c r="E9" s="4">
        <v>0</v>
      </c>
      <c r="F9" s="4">
        <v>0</v>
      </c>
      <c r="G9" s="4">
        <v>3</v>
      </c>
      <c r="H9" s="4">
        <v>3</v>
      </c>
      <c r="I9" s="4">
        <v>4</v>
      </c>
      <c r="J9" s="4">
        <v>5</v>
      </c>
      <c r="K9" s="4">
        <v>3</v>
      </c>
      <c r="L9" s="4">
        <v>2</v>
      </c>
      <c r="M9" s="4">
        <v>15</v>
      </c>
      <c r="N9" s="4">
        <v>11</v>
      </c>
      <c r="O9" s="4">
        <v>69</v>
      </c>
      <c r="P9" s="4">
        <v>88</v>
      </c>
      <c r="Q9" s="4">
        <v>63</v>
      </c>
      <c r="R9" s="6">
        <v>1.5728571428571427</v>
      </c>
      <c r="S9" s="4">
        <v>1</v>
      </c>
      <c r="T9" s="4">
        <v>1</v>
      </c>
      <c r="U9" s="4">
        <v>44</v>
      </c>
      <c r="V9" s="4">
        <v>10000</v>
      </c>
    </row>
    <row r="10" spans="1:22" x14ac:dyDescent="0.25">
      <c r="B10" s="3" t="s">
        <v>53</v>
      </c>
      <c r="C10" s="11">
        <f>SUM(C4:C9)</f>
        <v>11</v>
      </c>
      <c r="D10" s="11">
        <f t="shared" ref="D10:V10" si="0">SUM(D4:D9)</f>
        <v>3</v>
      </c>
      <c r="E10" s="11">
        <f t="shared" si="0"/>
        <v>6</v>
      </c>
      <c r="F10" s="11">
        <f t="shared" si="0"/>
        <v>0</v>
      </c>
      <c r="G10" s="11">
        <f t="shared" si="0"/>
        <v>30</v>
      </c>
      <c r="H10" s="11">
        <f t="shared" si="0"/>
        <v>17</v>
      </c>
      <c r="I10" s="11">
        <f t="shared" si="0"/>
        <v>42</v>
      </c>
      <c r="J10" s="11">
        <f t="shared" si="0"/>
        <v>32</v>
      </c>
      <c r="K10" s="11">
        <f t="shared" si="0"/>
        <v>13</v>
      </c>
      <c r="L10" s="11">
        <f t="shared" si="0"/>
        <v>4</v>
      </c>
      <c r="M10" s="11">
        <f t="shared" si="0"/>
        <v>85</v>
      </c>
      <c r="N10" s="11">
        <f t="shared" si="0"/>
        <v>87</v>
      </c>
      <c r="O10" s="11">
        <f t="shared" si="0"/>
        <v>443</v>
      </c>
      <c r="P10" s="11">
        <f t="shared" si="0"/>
        <v>405</v>
      </c>
      <c r="Q10" s="11">
        <f t="shared" si="0"/>
        <v>417</v>
      </c>
      <c r="R10" s="11">
        <f t="shared" si="0"/>
        <v>30.35202</v>
      </c>
      <c r="S10" s="11">
        <f t="shared" si="0"/>
        <v>10</v>
      </c>
      <c r="T10" s="11">
        <f t="shared" si="0"/>
        <v>2</v>
      </c>
      <c r="U10" s="11">
        <f t="shared" si="0"/>
        <v>306</v>
      </c>
      <c r="V10" s="11">
        <f t="shared" si="0"/>
        <v>60000</v>
      </c>
    </row>
    <row r="11" spans="1:22" x14ac:dyDescent="0.25">
      <c r="B11" s="3" t="s">
        <v>104</v>
      </c>
      <c r="C11" s="13">
        <f>AVERAGE(C4:C9)</f>
        <v>1.8333333333333333</v>
      </c>
      <c r="D11" s="13">
        <f t="shared" ref="D11:V11" si="1">AVERAGE(D4:D9)</f>
        <v>0.5</v>
      </c>
      <c r="E11" s="13">
        <f t="shared" si="1"/>
        <v>1</v>
      </c>
      <c r="F11" s="13">
        <f t="shared" si="1"/>
        <v>0</v>
      </c>
      <c r="G11" s="13">
        <f t="shared" si="1"/>
        <v>5</v>
      </c>
      <c r="H11" s="13">
        <f t="shared" si="1"/>
        <v>2.8333333333333335</v>
      </c>
      <c r="I11" s="13">
        <f t="shared" si="1"/>
        <v>7</v>
      </c>
      <c r="J11" s="13">
        <f t="shared" si="1"/>
        <v>5.333333333333333</v>
      </c>
      <c r="K11" s="13">
        <f t="shared" si="1"/>
        <v>2.1666666666666665</v>
      </c>
      <c r="L11" s="13">
        <f t="shared" si="1"/>
        <v>0.66666666666666663</v>
      </c>
      <c r="M11" s="13">
        <f t="shared" si="1"/>
        <v>14.166666666666666</v>
      </c>
      <c r="N11" s="13">
        <f t="shared" si="1"/>
        <v>14.5</v>
      </c>
      <c r="O11" s="13">
        <f t="shared" si="1"/>
        <v>73.833333333333329</v>
      </c>
      <c r="P11" s="13">
        <f t="shared" si="1"/>
        <v>67.5</v>
      </c>
      <c r="Q11" s="13">
        <f t="shared" si="1"/>
        <v>69.5</v>
      </c>
      <c r="R11" s="13">
        <f t="shared" si="1"/>
        <v>5.0586700000000002</v>
      </c>
      <c r="S11" s="13">
        <f t="shared" si="1"/>
        <v>1.6666666666666667</v>
      </c>
      <c r="T11" s="13">
        <f t="shared" si="1"/>
        <v>0.33333333333333331</v>
      </c>
      <c r="U11" s="11">
        <f t="shared" si="1"/>
        <v>51</v>
      </c>
      <c r="V11" s="11">
        <f t="shared" si="1"/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hraci</vt:lpstr>
      <vt:lpstr>tym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Votava</dc:creator>
  <cp:lastModifiedBy>Petr Votava</cp:lastModifiedBy>
  <dcterms:created xsi:type="dcterms:W3CDTF">2015-07-29T08:55:18Z</dcterms:created>
  <dcterms:modified xsi:type="dcterms:W3CDTF">2015-10-13T08:40:05Z</dcterms:modified>
</cp:coreProperties>
</file>