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data\brejk\clanky\me_40_sco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1" i="1" l="1"/>
  <c r="P101" i="1"/>
  <c r="O101" i="1"/>
  <c r="N101" i="1"/>
  <c r="M101" i="1"/>
  <c r="L101" i="1"/>
  <c r="K101" i="1"/>
  <c r="J101" i="1"/>
  <c r="I101" i="1"/>
  <c r="H101" i="1"/>
  <c r="G101" i="1"/>
  <c r="F101" i="1"/>
  <c r="E101" i="1"/>
  <c r="R101" i="1" s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R100" i="1" s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R109" i="1" s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R108" i="1" s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R107" i="1" s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R106" i="1" s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R105" i="1" s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R104" i="1" s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R119" i="1" s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R118" i="1" s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R117" i="1" s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R116" i="1" s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R115" i="1" s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R114" i="1" s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R113" i="1" s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R112" i="1" s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R125" i="1" s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R124" i="1" s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R123" i="1" s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R122" i="1" s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R126" i="1" s="1"/>
</calcChain>
</file>

<file path=xl/sharedStrings.xml><?xml version="1.0" encoding="utf-8"?>
<sst xmlns="http://schemas.openxmlformats.org/spreadsheetml/2006/main" count="547" uniqueCount="55">
  <si>
    <t>Naseby Highland Cattle FC</t>
  </si>
  <si>
    <t>V</t>
  </si>
  <si>
    <t>Jméno</t>
  </si>
  <si>
    <t>Tým</t>
  </si>
  <si>
    <t>G</t>
  </si>
  <si>
    <t>O</t>
  </si>
  <si>
    <t>U</t>
  </si>
  <si>
    <t>Z</t>
  </si>
  <si>
    <t>Awrick City</t>
  </si>
  <si>
    <t>FC Nazobaní hoši</t>
  </si>
  <si>
    <t>FC Protein</t>
  </si>
  <si>
    <t>KoutyFC</t>
  </si>
  <si>
    <t>Rýchla Rota</t>
  </si>
  <si>
    <t>Targaryen Dragons</t>
  </si>
  <si>
    <t>New England Patriots</t>
  </si>
  <si>
    <t>Post</t>
  </si>
  <si>
    <t>utk</t>
  </si>
  <si>
    <t>min</t>
  </si>
  <si>
    <t>goly</t>
  </si>
  <si>
    <t>asist</t>
  </si>
  <si>
    <t>střely +</t>
  </si>
  <si>
    <t>střely -</t>
  </si>
  <si>
    <t>žk</t>
  </si>
  <si>
    <t>čk</t>
  </si>
  <si>
    <t>fl</t>
  </si>
  <si>
    <t>fn</t>
  </si>
  <si>
    <t>souboj +</t>
  </si>
  <si>
    <t>souboj -</t>
  </si>
  <si>
    <t>znamka</t>
  </si>
  <si>
    <t>přihrávky</t>
  </si>
  <si>
    <t>IRSKO</t>
  </si>
  <si>
    <t>RECKO</t>
  </si>
  <si>
    <t>test</t>
  </si>
  <si>
    <t>Gary Trott</t>
  </si>
  <si>
    <t>Ronald Aitken</t>
  </si>
  <si>
    <t>Kieran Astley</t>
  </si>
  <si>
    <t>Alex Carrigan</t>
  </si>
  <si>
    <t>Roger Hammell</t>
  </si>
  <si>
    <t>Tom McGlinchey</t>
  </si>
  <si>
    <t>Bruce Kerr</t>
  </si>
  <si>
    <t>Leslie McCaig</t>
  </si>
  <si>
    <t>Nigel Walker</t>
  </si>
  <si>
    <t>Alex Williamson</t>
  </si>
  <si>
    <t>Mathew Lithgow</t>
  </si>
  <si>
    <t>Tom Garden</t>
  </si>
  <si>
    <t>Willie Sim</t>
  </si>
  <si>
    <t>Samuel Jellema</t>
  </si>
  <si>
    <t>Brian Gordon</t>
  </si>
  <si>
    <t>Thomas Hinchcliffe</t>
  </si>
  <si>
    <t>Marc Lawrie</t>
  </si>
  <si>
    <t>Samuel Donnachie</t>
  </si>
  <si>
    <t>Vincent Calder</t>
  </si>
  <si>
    <t>Stan McStay</t>
  </si>
  <si>
    <t>Paddy Raeburn</t>
  </si>
  <si>
    <t>RUSKO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</si>
</sst>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9" fontId="3" fillId="0" borderId="0" xfId="0" applyNumberFormat="1" applyFon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6"/>
  <sheetViews>
    <sheetView tabSelected="1" topLeftCell="A91" workbookViewId="0">
      <selection activeCell="A99" sqref="A99:R126"/>
    </sheetView>
  </sheetViews>
  <sheetFormatPr defaultRowHeight="15" x14ac:dyDescent="0.25"/>
  <cols>
    <col min="1" max="1" width="4.85546875" bestFit="1" customWidth="1"/>
    <col min="2" max="2" width="3" bestFit="1" customWidth="1"/>
    <col min="3" max="3" width="18.140625" style="9" bestFit="1" customWidth="1"/>
    <col min="4" max="4" width="24.5703125" bestFit="1" customWidth="1"/>
    <col min="5" max="16" width="9.140625" style="4"/>
    <col min="17" max="17" width="12.42578125" style="4" customWidth="1"/>
    <col min="18" max="18" width="9.140625" style="6"/>
  </cols>
  <sheetData>
    <row r="2" spans="1:18" ht="23.25" x14ac:dyDescent="0.35">
      <c r="C2" s="7" t="s">
        <v>30</v>
      </c>
    </row>
    <row r="3" spans="1:18" x14ac:dyDescent="0.25">
      <c r="A3" s="3" t="s">
        <v>15</v>
      </c>
      <c r="B3" s="2" t="s">
        <v>1</v>
      </c>
      <c r="C3" s="8" t="s">
        <v>2</v>
      </c>
      <c r="D3" s="2" t="s">
        <v>3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  <c r="P3" s="2" t="s">
        <v>27</v>
      </c>
      <c r="Q3" s="2" t="s">
        <v>29</v>
      </c>
      <c r="R3" s="5" t="s">
        <v>28</v>
      </c>
    </row>
    <row r="4" spans="1:18" x14ac:dyDescent="0.25">
      <c r="A4" t="s">
        <v>4</v>
      </c>
      <c r="B4" s="1">
        <v>26</v>
      </c>
      <c r="C4" t="s">
        <v>52</v>
      </c>
      <c r="D4" s="1" t="s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6">
        <v>0</v>
      </c>
    </row>
    <row r="5" spans="1:18" x14ac:dyDescent="0.25">
      <c r="A5" t="s">
        <v>4</v>
      </c>
      <c r="B5" s="1">
        <v>25</v>
      </c>
      <c r="C5" t="s">
        <v>53</v>
      </c>
      <c r="D5" s="1" t="s">
        <v>0</v>
      </c>
      <c r="E5" s="4">
        <v>1</v>
      </c>
      <c r="F5" s="4">
        <v>90</v>
      </c>
      <c r="G5" s="4">
        <v>3</v>
      </c>
      <c r="H5" s="4">
        <v>0</v>
      </c>
      <c r="I5" s="4">
        <v>7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2</v>
      </c>
      <c r="Q5" s="4">
        <v>1</v>
      </c>
      <c r="R5" s="6">
        <v>4.2560000000000002</v>
      </c>
    </row>
    <row r="6" spans="1:18" ht="15" customHeight="1" x14ac:dyDescent="0.25">
      <c r="B6" s="1"/>
      <c r="C6" s="1"/>
      <c r="D6" s="1"/>
    </row>
    <row r="7" spans="1:18" x14ac:dyDescent="0.25">
      <c r="A7" s="3" t="s">
        <v>15</v>
      </c>
      <c r="B7" s="2" t="s">
        <v>1</v>
      </c>
      <c r="C7" s="8" t="s">
        <v>2</v>
      </c>
      <c r="D7" s="2" t="s">
        <v>3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27</v>
      </c>
      <c r="Q7" s="2" t="s">
        <v>29</v>
      </c>
      <c r="R7" s="5" t="s">
        <v>28</v>
      </c>
    </row>
    <row r="8" spans="1:18" x14ac:dyDescent="0.25">
      <c r="A8" t="s">
        <v>5</v>
      </c>
      <c r="B8" s="1">
        <v>27</v>
      </c>
      <c r="C8" t="s">
        <v>46</v>
      </c>
      <c r="D8" s="1" t="s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6">
        <v>0</v>
      </c>
    </row>
    <row r="9" spans="1:18" x14ac:dyDescent="0.25">
      <c r="A9" t="s">
        <v>5</v>
      </c>
      <c r="B9" s="1">
        <v>26</v>
      </c>
      <c r="C9" t="s">
        <v>47</v>
      </c>
      <c r="D9" s="1" t="s">
        <v>0</v>
      </c>
      <c r="E9" s="4">
        <v>1</v>
      </c>
      <c r="F9" s="4">
        <v>90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</v>
      </c>
      <c r="N9" s="4">
        <v>2</v>
      </c>
      <c r="O9" s="4">
        <v>4</v>
      </c>
      <c r="P9" s="4">
        <v>10</v>
      </c>
      <c r="Q9" s="4">
        <v>4</v>
      </c>
      <c r="R9" s="6">
        <v>0.156</v>
      </c>
    </row>
    <row r="10" spans="1:18" x14ac:dyDescent="0.25">
      <c r="A10" t="s">
        <v>5</v>
      </c>
      <c r="B10" s="1">
        <v>26</v>
      </c>
      <c r="C10" t="s">
        <v>48</v>
      </c>
      <c r="D10" s="1" t="s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6">
        <v>0</v>
      </c>
    </row>
    <row r="11" spans="1:18" x14ac:dyDescent="0.25">
      <c r="A11" t="s">
        <v>5</v>
      </c>
      <c r="B11" s="1">
        <v>26</v>
      </c>
      <c r="C11" t="s">
        <v>49</v>
      </c>
      <c r="D11" s="1" t="s">
        <v>8</v>
      </c>
      <c r="E11" s="4">
        <v>1</v>
      </c>
      <c r="F11" s="4">
        <v>90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4</v>
      </c>
      <c r="P11" s="4">
        <v>7</v>
      </c>
      <c r="Q11" s="4">
        <v>5</v>
      </c>
      <c r="R11" s="6">
        <v>0.50600000000000001</v>
      </c>
    </row>
    <row r="12" spans="1:18" x14ac:dyDescent="0.25">
      <c r="A12" t="s">
        <v>5</v>
      </c>
      <c r="B12" s="1">
        <v>25</v>
      </c>
      <c r="C12" t="s">
        <v>50</v>
      </c>
      <c r="D12" s="1" t="s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6">
        <v>0</v>
      </c>
    </row>
    <row r="13" spans="1:18" x14ac:dyDescent="0.25">
      <c r="A13" t="s">
        <v>5</v>
      </c>
      <c r="B13" s="1">
        <v>25</v>
      </c>
      <c r="C13" t="s">
        <v>51</v>
      </c>
      <c r="D13" s="1" t="s">
        <v>0</v>
      </c>
      <c r="E13" s="4">
        <v>1</v>
      </c>
      <c r="F13" s="4">
        <v>90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4</v>
      </c>
      <c r="O13" s="4">
        <v>13</v>
      </c>
      <c r="P13" s="4">
        <v>6</v>
      </c>
      <c r="Q13" s="4">
        <v>14</v>
      </c>
      <c r="R13" s="6">
        <v>5.556</v>
      </c>
    </row>
    <row r="14" spans="1:18" ht="15" customHeight="1" x14ac:dyDescent="0.25">
      <c r="B14" s="1"/>
      <c r="C14" s="1"/>
      <c r="D14" s="1"/>
    </row>
    <row r="15" spans="1:18" x14ac:dyDescent="0.25">
      <c r="A15" s="3" t="s">
        <v>15</v>
      </c>
      <c r="B15" s="2" t="s">
        <v>1</v>
      </c>
      <c r="C15" s="8" t="s">
        <v>2</v>
      </c>
      <c r="D15" s="2" t="s">
        <v>3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2" t="s">
        <v>22</v>
      </c>
      <c r="L15" s="2" t="s">
        <v>23</v>
      </c>
      <c r="M15" s="2" t="s">
        <v>24</v>
      </c>
      <c r="N15" s="2" t="s">
        <v>25</v>
      </c>
      <c r="O15" s="2" t="s">
        <v>26</v>
      </c>
      <c r="P15" s="2" t="s">
        <v>27</v>
      </c>
      <c r="Q15" s="2" t="s">
        <v>29</v>
      </c>
      <c r="R15" s="5" t="s">
        <v>28</v>
      </c>
    </row>
    <row r="16" spans="1:18" x14ac:dyDescent="0.25">
      <c r="A16" t="s">
        <v>7</v>
      </c>
      <c r="B16" s="1">
        <v>27</v>
      </c>
      <c r="C16" t="s">
        <v>38</v>
      </c>
      <c r="D16" s="1" t="s">
        <v>9</v>
      </c>
      <c r="E16" s="4">
        <v>1</v>
      </c>
      <c r="F16" s="4">
        <v>45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1</v>
      </c>
      <c r="N16" s="4">
        <v>1</v>
      </c>
      <c r="O16" s="4">
        <v>4</v>
      </c>
      <c r="P16" s="4">
        <v>6</v>
      </c>
      <c r="Q16" s="4">
        <v>7</v>
      </c>
      <c r="R16" s="6">
        <v>5.7809999999999997</v>
      </c>
    </row>
    <row r="17" spans="1:18" x14ac:dyDescent="0.25">
      <c r="A17" t="s">
        <v>7</v>
      </c>
      <c r="B17" s="1">
        <v>26</v>
      </c>
      <c r="C17" t="s">
        <v>39</v>
      </c>
      <c r="D17" s="1" t="s">
        <v>10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6">
        <v>0</v>
      </c>
    </row>
    <row r="18" spans="1:18" x14ac:dyDescent="0.25">
      <c r="A18" t="s">
        <v>7</v>
      </c>
      <c r="B18" s="1">
        <v>26</v>
      </c>
      <c r="C18" t="s">
        <v>40</v>
      </c>
      <c r="D18" s="1" t="s">
        <v>10</v>
      </c>
      <c r="E18" s="4">
        <v>1</v>
      </c>
      <c r="F18" s="4">
        <v>90</v>
      </c>
      <c r="G18" s="4">
        <v>0</v>
      </c>
      <c r="H18" s="4">
        <v>0</v>
      </c>
      <c r="I18" s="4">
        <v>0</v>
      </c>
      <c r="J18" s="4">
        <v>3</v>
      </c>
      <c r="K18" s="4">
        <v>1</v>
      </c>
      <c r="L18" s="4">
        <v>0</v>
      </c>
      <c r="M18" s="4">
        <v>2</v>
      </c>
      <c r="N18" s="4">
        <v>4</v>
      </c>
      <c r="O18" s="4">
        <v>11</v>
      </c>
      <c r="P18" s="4">
        <v>7</v>
      </c>
      <c r="Q18" s="4">
        <v>8</v>
      </c>
      <c r="R18" s="6">
        <v>10.356</v>
      </c>
    </row>
    <row r="19" spans="1:18" x14ac:dyDescent="0.25">
      <c r="A19" t="s">
        <v>7</v>
      </c>
      <c r="B19" s="1">
        <v>25</v>
      </c>
      <c r="C19" t="s">
        <v>41</v>
      </c>
      <c r="D19" s="1" t="s">
        <v>11</v>
      </c>
      <c r="E19" s="4">
        <v>1</v>
      </c>
      <c r="F19" s="4">
        <v>45</v>
      </c>
      <c r="G19" s="4">
        <v>0</v>
      </c>
      <c r="H19" s="4">
        <v>0</v>
      </c>
      <c r="I19" s="4">
        <v>1</v>
      </c>
      <c r="J19" s="4">
        <v>1</v>
      </c>
      <c r="K19" s="4">
        <v>0</v>
      </c>
      <c r="L19" s="4">
        <v>0</v>
      </c>
      <c r="M19" s="4">
        <v>0</v>
      </c>
      <c r="N19" s="4">
        <v>1</v>
      </c>
      <c r="O19" s="4">
        <v>6</v>
      </c>
      <c r="P19" s="4">
        <v>8</v>
      </c>
      <c r="Q19" s="4">
        <v>5</v>
      </c>
      <c r="R19" s="6">
        <v>7.8680000000000003</v>
      </c>
    </row>
    <row r="20" spans="1:18" x14ac:dyDescent="0.25">
      <c r="A20" t="s">
        <v>7</v>
      </c>
      <c r="B20" s="1">
        <v>26</v>
      </c>
      <c r="C20" t="s">
        <v>42</v>
      </c>
      <c r="D20" s="1" t="s">
        <v>12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6">
        <v>0</v>
      </c>
    </row>
    <row r="21" spans="1:18" x14ac:dyDescent="0.25">
      <c r="A21" t="s">
        <v>7</v>
      </c>
      <c r="B21" s="1">
        <v>25</v>
      </c>
      <c r="C21" t="s">
        <v>43</v>
      </c>
      <c r="D21" s="1" t="s">
        <v>8</v>
      </c>
      <c r="E21" s="4">
        <v>1</v>
      </c>
      <c r="F21" s="4">
        <v>90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6</v>
      </c>
      <c r="P21" s="4">
        <v>6</v>
      </c>
      <c r="Q21" s="4">
        <v>5</v>
      </c>
      <c r="R21" s="6">
        <v>5.056</v>
      </c>
    </row>
    <row r="22" spans="1:18" x14ac:dyDescent="0.25">
      <c r="A22" t="s">
        <v>7</v>
      </c>
      <c r="B22" s="1">
        <v>24</v>
      </c>
      <c r="C22" t="s">
        <v>44</v>
      </c>
      <c r="D22" s="1" t="s">
        <v>10</v>
      </c>
      <c r="E22" s="4">
        <v>1</v>
      </c>
      <c r="F22" s="4">
        <v>90</v>
      </c>
      <c r="G22" s="4">
        <v>0</v>
      </c>
      <c r="H22" s="4">
        <v>0</v>
      </c>
      <c r="I22" s="4">
        <v>0</v>
      </c>
      <c r="J22" s="4">
        <v>1</v>
      </c>
      <c r="K22" s="4">
        <v>0</v>
      </c>
      <c r="L22" s="4">
        <v>0</v>
      </c>
      <c r="M22" s="4">
        <v>0</v>
      </c>
      <c r="N22" s="4">
        <v>0</v>
      </c>
      <c r="O22" s="4">
        <v>8</v>
      </c>
      <c r="P22" s="4">
        <v>6</v>
      </c>
      <c r="Q22" s="4">
        <v>8</v>
      </c>
      <c r="R22" s="6">
        <v>8.3559999999999999</v>
      </c>
    </row>
    <row r="23" spans="1:18" x14ac:dyDescent="0.25">
      <c r="A23" t="s">
        <v>7</v>
      </c>
      <c r="B23" s="1">
        <v>24</v>
      </c>
      <c r="C23" t="s">
        <v>45</v>
      </c>
      <c r="D23" s="1" t="s">
        <v>10</v>
      </c>
      <c r="E23" s="4">
        <v>1</v>
      </c>
      <c r="F23" s="4">
        <v>90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9</v>
      </c>
      <c r="P23" s="4">
        <v>10</v>
      </c>
      <c r="Q23" s="4">
        <v>7</v>
      </c>
      <c r="R23" s="6">
        <v>5.2560000000000002</v>
      </c>
    </row>
    <row r="24" spans="1:18" ht="15" customHeight="1" x14ac:dyDescent="0.25">
      <c r="B24" s="1"/>
      <c r="C24" s="1"/>
      <c r="D24" s="1"/>
    </row>
    <row r="25" spans="1:18" x14ac:dyDescent="0.25">
      <c r="A25" s="3" t="s">
        <v>15</v>
      </c>
      <c r="B25" s="2" t="s">
        <v>1</v>
      </c>
      <c r="C25" s="8" t="s">
        <v>2</v>
      </c>
      <c r="D25" s="2" t="s">
        <v>3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 t="s">
        <v>22</v>
      </c>
      <c r="L25" s="2" t="s">
        <v>23</v>
      </c>
      <c r="M25" s="2" t="s">
        <v>24</v>
      </c>
      <c r="N25" s="2" t="s">
        <v>25</v>
      </c>
      <c r="O25" s="2" t="s">
        <v>26</v>
      </c>
      <c r="P25" s="2" t="s">
        <v>27</v>
      </c>
      <c r="Q25" s="2" t="s">
        <v>29</v>
      </c>
      <c r="R25" s="5" t="s">
        <v>28</v>
      </c>
    </row>
    <row r="26" spans="1:18" x14ac:dyDescent="0.25">
      <c r="A26" t="s">
        <v>6</v>
      </c>
      <c r="B26" s="1">
        <v>27</v>
      </c>
      <c r="C26" t="s">
        <v>37</v>
      </c>
      <c r="D26" s="1" t="s">
        <v>13</v>
      </c>
      <c r="E26" s="4">
        <v>1</v>
      </c>
      <c r="F26" s="4">
        <v>35</v>
      </c>
      <c r="G26" s="4">
        <v>0</v>
      </c>
      <c r="H26" s="4">
        <v>0</v>
      </c>
      <c r="I26" s="4">
        <v>0</v>
      </c>
      <c r="J26" s="4">
        <v>1</v>
      </c>
      <c r="K26" s="4">
        <v>0</v>
      </c>
      <c r="L26" s="4">
        <v>0</v>
      </c>
      <c r="M26" s="4">
        <v>0</v>
      </c>
      <c r="N26" s="4">
        <v>1</v>
      </c>
      <c r="O26" s="4">
        <v>2</v>
      </c>
      <c r="P26" s="4">
        <v>0</v>
      </c>
      <c r="Q26" s="4">
        <v>1</v>
      </c>
      <c r="R26" s="6">
        <v>1.0309999999999999</v>
      </c>
    </row>
    <row r="27" spans="1:18" x14ac:dyDescent="0.25">
      <c r="A27" t="s">
        <v>6</v>
      </c>
      <c r="B27" s="1">
        <v>27</v>
      </c>
      <c r="C27" t="s">
        <v>36</v>
      </c>
      <c r="D27" s="1" t="s">
        <v>14</v>
      </c>
      <c r="E27" s="4">
        <v>1</v>
      </c>
      <c r="F27" s="4">
        <v>45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4</v>
      </c>
      <c r="O27" s="4">
        <v>1</v>
      </c>
      <c r="P27" s="4">
        <v>3</v>
      </c>
      <c r="Q27" s="4">
        <v>2</v>
      </c>
      <c r="R27" s="6">
        <v>1.6930000000000001</v>
      </c>
    </row>
    <row r="28" spans="1:18" x14ac:dyDescent="0.25">
      <c r="A28" t="s">
        <v>6</v>
      </c>
      <c r="B28" s="1">
        <v>26</v>
      </c>
      <c r="C28" t="s">
        <v>35</v>
      </c>
      <c r="D28" s="1" t="s">
        <v>0</v>
      </c>
      <c r="E28" s="4">
        <v>1</v>
      </c>
      <c r="F28" s="4">
        <v>45</v>
      </c>
      <c r="G28" s="4">
        <v>0</v>
      </c>
      <c r="H28" s="4">
        <v>0</v>
      </c>
      <c r="I28" s="4">
        <v>2</v>
      </c>
      <c r="J28" s="4">
        <v>1</v>
      </c>
      <c r="K28" s="4">
        <v>0</v>
      </c>
      <c r="L28" s="4">
        <v>0</v>
      </c>
      <c r="M28" s="4">
        <v>0</v>
      </c>
      <c r="N28" s="4">
        <v>1</v>
      </c>
      <c r="O28" s="4">
        <v>3</v>
      </c>
      <c r="P28" s="4">
        <v>3</v>
      </c>
      <c r="Q28" s="4">
        <v>4</v>
      </c>
      <c r="R28" s="6">
        <v>1.806</v>
      </c>
    </row>
    <row r="29" spans="1:18" x14ac:dyDescent="0.25">
      <c r="A29" t="s">
        <v>6</v>
      </c>
      <c r="B29" s="1">
        <v>25</v>
      </c>
      <c r="C29" t="s">
        <v>34</v>
      </c>
      <c r="D29" s="1" t="s">
        <v>10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6">
        <v>0</v>
      </c>
    </row>
    <row r="30" spans="1:18" x14ac:dyDescent="0.25">
      <c r="A30" t="s">
        <v>6</v>
      </c>
      <c r="B30" s="1">
        <v>24</v>
      </c>
      <c r="C30" t="s">
        <v>33</v>
      </c>
      <c r="D30" s="1" t="s">
        <v>10</v>
      </c>
      <c r="E30" s="4">
        <v>1</v>
      </c>
      <c r="F30" s="4">
        <v>55</v>
      </c>
      <c r="G30" s="4">
        <v>1</v>
      </c>
      <c r="H30" s="4">
        <v>0</v>
      </c>
      <c r="I30" s="4">
        <v>3</v>
      </c>
      <c r="J30" s="4">
        <v>0</v>
      </c>
      <c r="K30" s="4">
        <v>0</v>
      </c>
      <c r="L30" s="4">
        <v>0</v>
      </c>
      <c r="M30" s="4">
        <v>1</v>
      </c>
      <c r="N30" s="4">
        <v>1</v>
      </c>
      <c r="O30" s="4">
        <v>3</v>
      </c>
      <c r="P30" s="4">
        <v>4</v>
      </c>
      <c r="Q30" s="4">
        <v>2</v>
      </c>
      <c r="R30" s="6">
        <v>5.2679999999999998</v>
      </c>
    </row>
    <row r="31" spans="1:18" x14ac:dyDescent="0.25">
      <c r="C31" s="9" t="s">
        <v>32</v>
      </c>
      <c r="D31" s="1" t="s">
        <v>10</v>
      </c>
      <c r="E31" s="4">
        <v>1</v>
      </c>
      <c r="F31" s="4">
        <v>55</v>
      </c>
      <c r="G31" s="4">
        <v>1</v>
      </c>
      <c r="H31" s="4">
        <v>0</v>
      </c>
      <c r="I31" s="4">
        <v>3</v>
      </c>
      <c r="J31" s="4">
        <v>0</v>
      </c>
      <c r="K31" s="4">
        <v>0</v>
      </c>
      <c r="L31" s="4">
        <v>0</v>
      </c>
      <c r="M31" s="4">
        <v>1</v>
      </c>
      <c r="N31" s="4">
        <v>1</v>
      </c>
      <c r="O31" s="4">
        <v>3</v>
      </c>
      <c r="P31" s="4">
        <v>4</v>
      </c>
      <c r="Q31" s="4">
        <v>2</v>
      </c>
      <c r="R31" s="6">
        <v>5.2679999999999998</v>
      </c>
    </row>
    <row r="34" spans="1:18" ht="23.25" x14ac:dyDescent="0.35">
      <c r="C34" s="7" t="s">
        <v>31</v>
      </c>
    </row>
    <row r="35" spans="1:18" x14ac:dyDescent="0.25">
      <c r="A35" s="3" t="s">
        <v>15</v>
      </c>
      <c r="B35" s="2" t="s">
        <v>1</v>
      </c>
      <c r="C35" s="8" t="s">
        <v>2</v>
      </c>
      <c r="D35" s="2" t="s">
        <v>3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2" t="s">
        <v>22</v>
      </c>
      <c r="L35" s="2" t="s">
        <v>23</v>
      </c>
      <c r="M35" s="2" t="s">
        <v>24</v>
      </c>
      <c r="N35" s="2" t="s">
        <v>25</v>
      </c>
      <c r="O35" s="2" t="s">
        <v>26</v>
      </c>
      <c r="P35" s="2" t="s">
        <v>27</v>
      </c>
      <c r="Q35" s="2" t="s">
        <v>29</v>
      </c>
      <c r="R35" s="5" t="s">
        <v>28</v>
      </c>
    </row>
    <row r="36" spans="1:18" x14ac:dyDescent="0.25">
      <c r="A36" t="s">
        <v>4</v>
      </c>
      <c r="B36" s="1">
        <v>26</v>
      </c>
      <c r="C36" t="s">
        <v>52</v>
      </c>
      <c r="D36" s="1" t="s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6">
        <v>0</v>
      </c>
    </row>
    <row r="37" spans="1:18" x14ac:dyDescent="0.25">
      <c r="A37" t="s">
        <v>4</v>
      </c>
      <c r="B37" s="1">
        <v>25</v>
      </c>
      <c r="C37" t="s">
        <v>53</v>
      </c>
      <c r="D37" s="1" t="s">
        <v>0</v>
      </c>
      <c r="E37" s="4">
        <v>1</v>
      </c>
      <c r="F37" s="4">
        <v>90</v>
      </c>
      <c r="G37" s="4">
        <v>3</v>
      </c>
      <c r="H37" s="4">
        <v>0</v>
      </c>
      <c r="I37" s="4">
        <v>5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1</v>
      </c>
      <c r="R37" s="6">
        <v>-3.262</v>
      </c>
    </row>
    <row r="38" spans="1:18" x14ac:dyDescent="0.25">
      <c r="B38" s="1"/>
      <c r="C38" s="1"/>
      <c r="D38" s="1"/>
    </row>
    <row r="39" spans="1:18" x14ac:dyDescent="0.25">
      <c r="A39" s="3" t="s">
        <v>15</v>
      </c>
      <c r="B39" s="2" t="s">
        <v>1</v>
      </c>
      <c r="C39" s="8" t="s">
        <v>2</v>
      </c>
      <c r="D39" s="2" t="s">
        <v>3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2" t="s">
        <v>21</v>
      </c>
      <c r="K39" s="2" t="s">
        <v>22</v>
      </c>
      <c r="L39" s="2" t="s">
        <v>23</v>
      </c>
      <c r="M39" s="2" t="s">
        <v>24</v>
      </c>
      <c r="N39" s="2" t="s">
        <v>25</v>
      </c>
      <c r="O39" s="2" t="s">
        <v>26</v>
      </c>
      <c r="P39" s="2" t="s">
        <v>27</v>
      </c>
      <c r="Q39" s="2" t="s">
        <v>29</v>
      </c>
      <c r="R39" s="5" t="s">
        <v>28</v>
      </c>
    </row>
    <row r="40" spans="1:18" x14ac:dyDescent="0.25">
      <c r="A40" t="s">
        <v>5</v>
      </c>
      <c r="B40" s="1">
        <v>27</v>
      </c>
      <c r="C40" t="s">
        <v>46</v>
      </c>
      <c r="D40" s="1" t="s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6">
        <v>0</v>
      </c>
    </row>
    <row r="41" spans="1:18" x14ac:dyDescent="0.25">
      <c r="A41" t="s">
        <v>5</v>
      </c>
      <c r="B41" s="1">
        <v>26</v>
      </c>
      <c r="C41" t="s">
        <v>47</v>
      </c>
      <c r="D41" s="1" t="s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6">
        <v>0</v>
      </c>
    </row>
    <row r="42" spans="1:18" x14ac:dyDescent="0.25">
      <c r="A42" t="s">
        <v>5</v>
      </c>
      <c r="B42" s="1">
        <v>26</v>
      </c>
      <c r="C42" t="s">
        <v>48</v>
      </c>
      <c r="D42" s="1" t="s">
        <v>0</v>
      </c>
      <c r="E42" s="4">
        <v>1</v>
      </c>
      <c r="F42" s="4">
        <v>90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1</v>
      </c>
      <c r="N42" s="4">
        <v>0</v>
      </c>
      <c r="O42" s="4">
        <v>4</v>
      </c>
      <c r="P42" s="4">
        <v>5</v>
      </c>
      <c r="Q42" s="4">
        <v>3</v>
      </c>
      <c r="R42" s="6">
        <v>-0.51200000000000001</v>
      </c>
    </row>
    <row r="43" spans="1:18" x14ac:dyDescent="0.25">
      <c r="A43" t="s">
        <v>5</v>
      </c>
      <c r="B43" s="1">
        <v>26</v>
      </c>
      <c r="C43" t="s">
        <v>49</v>
      </c>
      <c r="D43" s="1" t="s">
        <v>8</v>
      </c>
      <c r="E43" s="4">
        <v>1</v>
      </c>
      <c r="F43" s="4">
        <v>90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</v>
      </c>
      <c r="N43" s="4">
        <v>2</v>
      </c>
      <c r="O43" s="4">
        <v>5</v>
      </c>
      <c r="P43" s="4">
        <v>4</v>
      </c>
      <c r="Q43" s="4">
        <v>3</v>
      </c>
      <c r="R43" s="6">
        <v>0.63800000000000001</v>
      </c>
    </row>
    <row r="44" spans="1:18" x14ac:dyDescent="0.25">
      <c r="A44" t="s">
        <v>5</v>
      </c>
      <c r="B44" s="1">
        <v>25</v>
      </c>
      <c r="C44" t="s">
        <v>50</v>
      </c>
      <c r="D44" s="1" t="s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6">
        <v>0</v>
      </c>
    </row>
    <row r="45" spans="1:18" x14ac:dyDescent="0.25">
      <c r="A45" t="s">
        <v>5</v>
      </c>
      <c r="B45" s="1">
        <v>25</v>
      </c>
      <c r="C45" t="s">
        <v>51</v>
      </c>
      <c r="D45" s="1" t="s">
        <v>0</v>
      </c>
      <c r="E45" s="4">
        <v>1</v>
      </c>
      <c r="F45" s="4">
        <v>90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2</v>
      </c>
      <c r="N45" s="4">
        <v>0</v>
      </c>
      <c r="O45" s="4">
        <v>5</v>
      </c>
      <c r="P45" s="4">
        <v>3</v>
      </c>
      <c r="Q45" s="4">
        <v>5</v>
      </c>
      <c r="R45" s="6">
        <v>-0.112</v>
      </c>
    </row>
    <row r="46" spans="1:18" x14ac:dyDescent="0.25">
      <c r="B46" s="1"/>
      <c r="C46" s="1"/>
      <c r="D46" s="1"/>
    </row>
    <row r="47" spans="1:18" x14ac:dyDescent="0.25">
      <c r="A47" s="3" t="s">
        <v>15</v>
      </c>
      <c r="B47" s="2" t="s">
        <v>1</v>
      </c>
      <c r="C47" s="8" t="s">
        <v>2</v>
      </c>
      <c r="D47" s="2" t="s">
        <v>3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21</v>
      </c>
      <c r="K47" s="2" t="s">
        <v>22</v>
      </c>
      <c r="L47" s="2" t="s">
        <v>23</v>
      </c>
      <c r="M47" s="2" t="s">
        <v>24</v>
      </c>
      <c r="N47" s="2" t="s">
        <v>25</v>
      </c>
      <c r="O47" s="2" t="s">
        <v>26</v>
      </c>
      <c r="P47" s="2" t="s">
        <v>27</v>
      </c>
      <c r="Q47" s="2" t="s">
        <v>29</v>
      </c>
      <c r="R47" s="5" t="s">
        <v>28</v>
      </c>
    </row>
    <row r="48" spans="1:18" x14ac:dyDescent="0.25">
      <c r="A48" t="s">
        <v>7</v>
      </c>
      <c r="B48" s="1">
        <v>27</v>
      </c>
      <c r="C48" t="s">
        <v>38</v>
      </c>
      <c r="D48" s="1" t="s">
        <v>9</v>
      </c>
      <c r="E48" s="4">
        <v>1</v>
      </c>
      <c r="F48" s="4">
        <v>45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0</v>
      </c>
      <c r="M48" s="4">
        <v>2</v>
      </c>
      <c r="N48" s="4">
        <v>1</v>
      </c>
      <c r="O48" s="4">
        <v>4</v>
      </c>
      <c r="P48" s="4">
        <v>6</v>
      </c>
      <c r="Q48" s="4">
        <v>3</v>
      </c>
      <c r="R48" s="6">
        <v>4.5999999999999996</v>
      </c>
    </row>
    <row r="49" spans="1:18" x14ac:dyDescent="0.25">
      <c r="A49" t="s">
        <v>7</v>
      </c>
      <c r="B49" s="1">
        <v>26</v>
      </c>
      <c r="C49" t="s">
        <v>39</v>
      </c>
      <c r="D49" s="1" t="s">
        <v>10</v>
      </c>
      <c r="E49" s="4">
        <v>1</v>
      </c>
      <c r="F49" s="4">
        <v>90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2</v>
      </c>
      <c r="N49" s="4">
        <v>0</v>
      </c>
      <c r="O49" s="4">
        <v>7</v>
      </c>
      <c r="P49" s="4">
        <v>5</v>
      </c>
      <c r="Q49" s="4">
        <v>7</v>
      </c>
      <c r="R49" s="6">
        <v>6.0369999999999999</v>
      </c>
    </row>
    <row r="50" spans="1:18" x14ac:dyDescent="0.25">
      <c r="A50" t="s">
        <v>7</v>
      </c>
      <c r="B50" s="1">
        <v>26</v>
      </c>
      <c r="C50" t="s">
        <v>40</v>
      </c>
      <c r="D50" s="1" t="s">
        <v>10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6">
        <v>0</v>
      </c>
    </row>
    <row r="51" spans="1:18" x14ac:dyDescent="0.25">
      <c r="A51" t="s">
        <v>7</v>
      </c>
      <c r="B51" s="1">
        <v>25</v>
      </c>
      <c r="C51" t="s">
        <v>41</v>
      </c>
      <c r="D51" s="1" t="s">
        <v>11</v>
      </c>
      <c r="E51" s="4">
        <v>1</v>
      </c>
      <c r="F51" s="4">
        <v>45</v>
      </c>
      <c r="G51" s="4">
        <v>0</v>
      </c>
      <c r="H51" s="4">
        <v>0</v>
      </c>
      <c r="I51" s="4">
        <v>0</v>
      </c>
      <c r="J51" s="4">
        <v>2</v>
      </c>
      <c r="K51" s="4">
        <v>0</v>
      </c>
      <c r="L51" s="4">
        <v>0</v>
      </c>
      <c r="M51" s="4">
        <v>1</v>
      </c>
      <c r="N51" s="4">
        <v>0</v>
      </c>
      <c r="O51" s="4">
        <v>10</v>
      </c>
      <c r="P51" s="4">
        <v>3</v>
      </c>
      <c r="Q51" s="4">
        <v>8</v>
      </c>
      <c r="R51" s="6">
        <v>8.9309999999999992</v>
      </c>
    </row>
    <row r="52" spans="1:18" x14ac:dyDescent="0.25">
      <c r="A52" t="s">
        <v>7</v>
      </c>
      <c r="B52" s="1">
        <v>26</v>
      </c>
      <c r="C52" t="s">
        <v>42</v>
      </c>
      <c r="D52" s="1" t="s">
        <v>12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6">
        <v>0</v>
      </c>
    </row>
    <row r="53" spans="1:18" x14ac:dyDescent="0.25">
      <c r="A53" t="s">
        <v>7</v>
      </c>
      <c r="B53" s="1">
        <v>25</v>
      </c>
      <c r="C53" t="s">
        <v>43</v>
      </c>
      <c r="D53" s="1" t="s">
        <v>8</v>
      </c>
      <c r="E53" s="4">
        <v>1</v>
      </c>
      <c r="F53" s="4">
        <v>55</v>
      </c>
      <c r="G53" s="4">
        <v>0</v>
      </c>
      <c r="H53" s="4">
        <v>0</v>
      </c>
      <c r="I53" s="4">
        <v>0</v>
      </c>
      <c r="J53" s="4">
        <v>0</v>
      </c>
      <c r="K53" s="4">
        <v>1</v>
      </c>
      <c r="L53" s="4">
        <v>1</v>
      </c>
      <c r="M53" s="4">
        <v>4</v>
      </c>
      <c r="N53" s="4">
        <v>2</v>
      </c>
      <c r="O53" s="4">
        <v>2</v>
      </c>
      <c r="P53" s="4">
        <v>2</v>
      </c>
      <c r="Q53" s="4">
        <v>1</v>
      </c>
      <c r="R53" s="6">
        <v>-0.60599999999999998</v>
      </c>
    </row>
    <row r="54" spans="1:18" x14ac:dyDescent="0.25">
      <c r="A54" t="s">
        <v>7</v>
      </c>
      <c r="B54" s="1">
        <v>24</v>
      </c>
      <c r="C54" t="s">
        <v>44</v>
      </c>
      <c r="D54" s="1" t="s">
        <v>10</v>
      </c>
      <c r="E54" s="4">
        <v>1</v>
      </c>
      <c r="F54" s="4">
        <v>90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6</v>
      </c>
      <c r="P54" s="4">
        <v>5</v>
      </c>
      <c r="Q54" s="4">
        <v>12</v>
      </c>
      <c r="R54" s="6">
        <v>6.8380000000000001</v>
      </c>
    </row>
    <row r="55" spans="1:18" x14ac:dyDescent="0.25">
      <c r="A55" t="s">
        <v>7</v>
      </c>
      <c r="B55" s="1">
        <v>24</v>
      </c>
      <c r="C55" t="s">
        <v>45</v>
      </c>
      <c r="D55" s="1" t="s">
        <v>10</v>
      </c>
      <c r="E55" s="4">
        <v>1</v>
      </c>
      <c r="F55" s="4">
        <v>90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3</v>
      </c>
      <c r="N55" s="4">
        <v>2</v>
      </c>
      <c r="O55" s="4">
        <v>10</v>
      </c>
      <c r="P55" s="4">
        <v>12</v>
      </c>
      <c r="Q55" s="4">
        <v>7</v>
      </c>
      <c r="R55" s="6">
        <v>4.7380000000000004</v>
      </c>
    </row>
    <row r="56" spans="1:18" x14ac:dyDescent="0.25">
      <c r="B56" s="1"/>
      <c r="C56" s="1"/>
      <c r="D56" s="1"/>
    </row>
    <row r="57" spans="1:18" x14ac:dyDescent="0.25">
      <c r="A57" s="3" t="s">
        <v>15</v>
      </c>
      <c r="B57" s="2" t="s">
        <v>1</v>
      </c>
      <c r="C57" s="8" t="s">
        <v>2</v>
      </c>
      <c r="D57" s="2" t="s">
        <v>3</v>
      </c>
      <c r="E57" s="2" t="s">
        <v>16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21</v>
      </c>
      <c r="K57" s="2" t="s">
        <v>22</v>
      </c>
      <c r="L57" s="2" t="s">
        <v>23</v>
      </c>
      <c r="M57" s="2" t="s">
        <v>24</v>
      </c>
      <c r="N57" s="2" t="s">
        <v>25</v>
      </c>
      <c r="O57" s="2" t="s">
        <v>26</v>
      </c>
      <c r="P57" s="2" t="s">
        <v>27</v>
      </c>
      <c r="Q57" s="2" t="s">
        <v>29</v>
      </c>
      <c r="R57" s="5" t="s">
        <v>28</v>
      </c>
    </row>
    <row r="58" spans="1:18" x14ac:dyDescent="0.25">
      <c r="A58" t="s">
        <v>6</v>
      </c>
      <c r="B58" s="1">
        <v>27</v>
      </c>
      <c r="C58" t="s">
        <v>37</v>
      </c>
      <c r="D58" s="1" t="s">
        <v>13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6">
        <v>0</v>
      </c>
    </row>
    <row r="59" spans="1:18" x14ac:dyDescent="0.25">
      <c r="A59" t="s">
        <v>6</v>
      </c>
      <c r="B59" s="1">
        <v>27</v>
      </c>
      <c r="C59" t="s">
        <v>36</v>
      </c>
      <c r="D59" s="1" t="s">
        <v>14</v>
      </c>
      <c r="E59" s="4">
        <v>1</v>
      </c>
      <c r="F59" s="4">
        <v>45</v>
      </c>
      <c r="G59" s="4">
        <v>0</v>
      </c>
      <c r="H59" s="4">
        <v>0</v>
      </c>
      <c r="I59" s="4">
        <v>0</v>
      </c>
      <c r="J59" s="4">
        <v>1</v>
      </c>
      <c r="K59" s="4">
        <v>0</v>
      </c>
      <c r="L59" s="4">
        <v>0</v>
      </c>
      <c r="M59" s="4">
        <v>0</v>
      </c>
      <c r="N59" s="4">
        <v>1</v>
      </c>
      <c r="O59" s="4">
        <v>4</v>
      </c>
      <c r="P59" s="4">
        <v>5</v>
      </c>
      <c r="Q59" s="4">
        <v>1</v>
      </c>
      <c r="R59" s="6">
        <v>1.2629999999999999</v>
      </c>
    </row>
    <row r="60" spans="1:18" x14ac:dyDescent="0.25">
      <c r="A60" t="s">
        <v>6</v>
      </c>
      <c r="B60" s="1">
        <v>26</v>
      </c>
      <c r="C60" t="s">
        <v>35</v>
      </c>
      <c r="D60" s="1" t="s">
        <v>0</v>
      </c>
      <c r="E60" s="4">
        <v>1</v>
      </c>
      <c r="F60" s="4">
        <v>30</v>
      </c>
      <c r="G60" s="4">
        <v>0</v>
      </c>
      <c r="H60" s="4">
        <v>0</v>
      </c>
      <c r="I60" s="4">
        <v>1</v>
      </c>
      <c r="J60" s="4">
        <v>3</v>
      </c>
      <c r="K60" s="4">
        <v>0</v>
      </c>
      <c r="L60" s="4">
        <v>0</v>
      </c>
      <c r="M60" s="4">
        <v>0</v>
      </c>
      <c r="N60" s="4">
        <v>0</v>
      </c>
      <c r="O60" s="4">
        <v>5</v>
      </c>
      <c r="P60" s="4">
        <v>7</v>
      </c>
      <c r="Q60" s="4">
        <v>2</v>
      </c>
      <c r="R60" s="6">
        <v>1.2869999999999999</v>
      </c>
    </row>
    <row r="61" spans="1:18" x14ac:dyDescent="0.25">
      <c r="A61" t="s">
        <v>6</v>
      </c>
      <c r="B61" s="1">
        <v>25</v>
      </c>
      <c r="C61" t="s">
        <v>34</v>
      </c>
      <c r="D61" s="1" t="s">
        <v>10</v>
      </c>
      <c r="E61" s="4">
        <v>1</v>
      </c>
      <c r="F61" s="4">
        <v>45</v>
      </c>
      <c r="G61" s="4">
        <v>0</v>
      </c>
      <c r="H61" s="4">
        <v>0</v>
      </c>
      <c r="I61" s="4">
        <v>1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8</v>
      </c>
      <c r="Q61" s="4">
        <v>0</v>
      </c>
      <c r="R61" s="6">
        <v>1.4179999999999999</v>
      </c>
    </row>
    <row r="62" spans="1:18" x14ac:dyDescent="0.25">
      <c r="A62" t="s">
        <v>6</v>
      </c>
      <c r="B62" s="1">
        <v>24</v>
      </c>
      <c r="C62" t="s">
        <v>33</v>
      </c>
      <c r="D62" s="1" t="s">
        <v>10</v>
      </c>
      <c r="E62" s="4">
        <v>1</v>
      </c>
      <c r="F62" s="4">
        <v>60</v>
      </c>
      <c r="G62" s="4">
        <v>0</v>
      </c>
      <c r="H62" s="4">
        <v>0</v>
      </c>
      <c r="I62" s="4">
        <v>1</v>
      </c>
      <c r="J62" s="4">
        <v>2</v>
      </c>
      <c r="K62" s="4">
        <v>0</v>
      </c>
      <c r="L62" s="4">
        <v>0</v>
      </c>
      <c r="M62" s="4">
        <v>2</v>
      </c>
      <c r="N62" s="4">
        <v>2</v>
      </c>
      <c r="O62" s="4">
        <v>10</v>
      </c>
      <c r="P62" s="4">
        <v>8</v>
      </c>
      <c r="Q62" s="4">
        <v>8</v>
      </c>
      <c r="R62" s="6">
        <v>2.048</v>
      </c>
    </row>
    <row r="63" spans="1:18" x14ac:dyDescent="0.25">
      <c r="C63" s="9" t="s">
        <v>32</v>
      </c>
      <c r="D63" s="1" t="s">
        <v>10</v>
      </c>
      <c r="E63" s="4">
        <v>1</v>
      </c>
      <c r="F63" s="4">
        <v>60</v>
      </c>
      <c r="G63" s="4">
        <v>0</v>
      </c>
      <c r="H63" s="4">
        <v>0</v>
      </c>
      <c r="I63" s="4">
        <v>1</v>
      </c>
      <c r="J63" s="4">
        <v>2</v>
      </c>
      <c r="K63" s="4">
        <v>0</v>
      </c>
      <c r="L63" s="4">
        <v>0</v>
      </c>
      <c r="M63" s="4">
        <v>2</v>
      </c>
      <c r="N63" s="4">
        <v>2</v>
      </c>
      <c r="O63" s="4">
        <v>10</v>
      </c>
      <c r="P63" s="4">
        <v>8</v>
      </c>
      <c r="Q63" s="4">
        <v>8</v>
      </c>
      <c r="R63" s="6">
        <v>2.048</v>
      </c>
    </row>
    <row r="66" spans="1:18" ht="23.25" x14ac:dyDescent="0.35">
      <c r="C66" s="7" t="s">
        <v>54</v>
      </c>
    </row>
    <row r="67" spans="1:18" x14ac:dyDescent="0.25">
      <c r="A67" s="3" t="s">
        <v>15</v>
      </c>
      <c r="B67" s="2" t="s">
        <v>1</v>
      </c>
      <c r="C67" s="8" t="s">
        <v>2</v>
      </c>
      <c r="D67" s="2" t="s">
        <v>3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21</v>
      </c>
      <c r="K67" s="2" t="s">
        <v>22</v>
      </c>
      <c r="L67" s="2" t="s">
        <v>23</v>
      </c>
      <c r="M67" s="2" t="s">
        <v>24</v>
      </c>
      <c r="N67" s="2" t="s">
        <v>25</v>
      </c>
      <c r="O67" s="2" t="s">
        <v>26</v>
      </c>
      <c r="P67" s="2" t="s">
        <v>27</v>
      </c>
      <c r="Q67" s="2" t="s">
        <v>29</v>
      </c>
      <c r="R67" s="5" t="s">
        <v>28</v>
      </c>
    </row>
    <row r="68" spans="1:18" x14ac:dyDescent="0.25">
      <c r="A68" t="s">
        <v>4</v>
      </c>
      <c r="B68" s="1">
        <v>26</v>
      </c>
      <c r="C68" t="s">
        <v>52</v>
      </c>
      <c r="D68" s="1" t="s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6">
        <v>0</v>
      </c>
    </row>
    <row r="69" spans="1:18" x14ac:dyDescent="0.25">
      <c r="A69" t="s">
        <v>4</v>
      </c>
      <c r="B69" s="1">
        <v>25</v>
      </c>
      <c r="C69" t="s">
        <v>53</v>
      </c>
      <c r="D69" s="1" t="s">
        <v>0</v>
      </c>
      <c r="E69" s="4">
        <v>1</v>
      </c>
      <c r="F69" s="4">
        <v>90</v>
      </c>
      <c r="G69" s="4">
        <v>1</v>
      </c>
      <c r="H69" s="4">
        <v>0</v>
      </c>
      <c r="I69" s="4">
        <v>2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2</v>
      </c>
      <c r="Q69" s="4">
        <v>0</v>
      </c>
      <c r="R69" s="6">
        <v>1.1240000000000001</v>
      </c>
    </row>
    <row r="70" spans="1:18" x14ac:dyDescent="0.25">
      <c r="B70" s="1"/>
      <c r="C70" s="1"/>
      <c r="D70" s="1"/>
    </row>
    <row r="71" spans="1:18" x14ac:dyDescent="0.25">
      <c r="A71" s="3" t="s">
        <v>15</v>
      </c>
      <c r="B71" s="2" t="s">
        <v>1</v>
      </c>
      <c r="C71" s="8" t="s">
        <v>2</v>
      </c>
      <c r="D71" s="2" t="s">
        <v>3</v>
      </c>
      <c r="E71" s="2" t="s">
        <v>16</v>
      </c>
      <c r="F71" s="2" t="s">
        <v>17</v>
      </c>
      <c r="G71" s="2" t="s">
        <v>18</v>
      </c>
      <c r="H71" s="2" t="s">
        <v>19</v>
      </c>
      <c r="I71" s="2" t="s">
        <v>20</v>
      </c>
      <c r="J71" s="2" t="s">
        <v>21</v>
      </c>
      <c r="K71" s="2" t="s">
        <v>22</v>
      </c>
      <c r="L71" s="2" t="s">
        <v>23</v>
      </c>
      <c r="M71" s="2" t="s">
        <v>24</v>
      </c>
      <c r="N71" s="2" t="s">
        <v>25</v>
      </c>
      <c r="O71" s="2" t="s">
        <v>26</v>
      </c>
      <c r="P71" s="2" t="s">
        <v>27</v>
      </c>
      <c r="Q71" s="2" t="s">
        <v>29</v>
      </c>
      <c r="R71" s="5" t="s">
        <v>28</v>
      </c>
    </row>
    <row r="72" spans="1:18" x14ac:dyDescent="0.25">
      <c r="A72" t="s">
        <v>5</v>
      </c>
      <c r="B72" s="1">
        <v>27</v>
      </c>
      <c r="C72" t="s">
        <v>46</v>
      </c>
      <c r="D72" s="1" t="s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6">
        <v>0</v>
      </c>
    </row>
    <row r="73" spans="1:18" x14ac:dyDescent="0.25">
      <c r="A73" t="s">
        <v>5</v>
      </c>
      <c r="B73" s="1">
        <v>26</v>
      </c>
      <c r="C73" t="s">
        <v>47</v>
      </c>
      <c r="D73" s="1" t="s">
        <v>0</v>
      </c>
      <c r="E73" s="4">
        <v>1</v>
      </c>
      <c r="F73" s="4">
        <v>45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2</v>
      </c>
      <c r="P73" s="4">
        <v>3</v>
      </c>
      <c r="Q73" s="4">
        <v>0</v>
      </c>
      <c r="R73" s="6">
        <v>0.26900000000000002</v>
      </c>
    </row>
    <row r="74" spans="1:18" x14ac:dyDescent="0.25">
      <c r="A74" t="s">
        <v>5</v>
      </c>
      <c r="B74" s="1">
        <v>26</v>
      </c>
      <c r="C74" t="s">
        <v>48</v>
      </c>
      <c r="D74" s="1" t="s">
        <v>0</v>
      </c>
      <c r="E74" s="4">
        <v>1</v>
      </c>
      <c r="F74" s="4">
        <v>45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3</v>
      </c>
      <c r="P74" s="4">
        <v>6</v>
      </c>
      <c r="Q74" s="4">
        <v>2</v>
      </c>
      <c r="R74" s="6">
        <v>0.113</v>
      </c>
    </row>
    <row r="75" spans="1:18" x14ac:dyDescent="0.25">
      <c r="A75" t="s">
        <v>5</v>
      </c>
      <c r="B75" s="1">
        <v>26</v>
      </c>
      <c r="C75" t="s">
        <v>49</v>
      </c>
      <c r="D75" s="1" t="s">
        <v>8</v>
      </c>
      <c r="E75" s="4">
        <v>1</v>
      </c>
      <c r="F75" s="4">
        <v>90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3</v>
      </c>
      <c r="O75" s="4">
        <v>9</v>
      </c>
      <c r="P75" s="4">
        <v>4</v>
      </c>
      <c r="Q75" s="4">
        <v>9</v>
      </c>
      <c r="R75" s="6">
        <v>6.6379999999999999</v>
      </c>
    </row>
    <row r="76" spans="1:18" x14ac:dyDescent="0.25">
      <c r="A76" t="s">
        <v>5</v>
      </c>
      <c r="B76" s="1">
        <v>25</v>
      </c>
      <c r="C76" t="s">
        <v>50</v>
      </c>
      <c r="D76" s="1" t="s">
        <v>0</v>
      </c>
      <c r="E76" s="4">
        <v>1</v>
      </c>
      <c r="F76" s="4">
        <v>90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3</v>
      </c>
      <c r="P76" s="4">
        <v>2</v>
      </c>
      <c r="Q76" s="4">
        <v>3</v>
      </c>
      <c r="R76" s="6">
        <v>2.4380000000000002</v>
      </c>
    </row>
    <row r="77" spans="1:18" x14ac:dyDescent="0.25">
      <c r="A77" t="s">
        <v>5</v>
      </c>
      <c r="B77" s="1">
        <v>25</v>
      </c>
      <c r="C77" t="s">
        <v>51</v>
      </c>
      <c r="D77" s="1" t="s">
        <v>0</v>
      </c>
      <c r="E77" s="4">
        <v>1</v>
      </c>
      <c r="F77" s="4">
        <v>90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</v>
      </c>
      <c r="P77" s="4">
        <v>5</v>
      </c>
      <c r="Q77" s="4">
        <v>4</v>
      </c>
      <c r="R77" s="6">
        <v>2.5880000000000001</v>
      </c>
    </row>
    <row r="78" spans="1:18" x14ac:dyDescent="0.25">
      <c r="B78" s="1"/>
      <c r="C78" s="1"/>
      <c r="D78" s="1"/>
    </row>
    <row r="79" spans="1:18" x14ac:dyDescent="0.25">
      <c r="A79" s="3" t="s">
        <v>15</v>
      </c>
      <c r="B79" s="2" t="s">
        <v>1</v>
      </c>
      <c r="C79" s="8" t="s">
        <v>2</v>
      </c>
      <c r="D79" s="2" t="s">
        <v>3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21</v>
      </c>
      <c r="K79" s="2" t="s">
        <v>22</v>
      </c>
      <c r="L79" s="2" t="s">
        <v>23</v>
      </c>
      <c r="M79" s="2" t="s">
        <v>24</v>
      </c>
      <c r="N79" s="2" t="s">
        <v>25</v>
      </c>
      <c r="O79" s="2" t="s">
        <v>26</v>
      </c>
      <c r="P79" s="2" t="s">
        <v>27</v>
      </c>
      <c r="Q79" s="2" t="s">
        <v>29</v>
      </c>
      <c r="R79" s="5" t="s">
        <v>28</v>
      </c>
    </row>
    <row r="80" spans="1:18" x14ac:dyDescent="0.25">
      <c r="A80" t="s">
        <v>7</v>
      </c>
      <c r="B80" s="1">
        <v>27</v>
      </c>
      <c r="C80" t="s">
        <v>38</v>
      </c>
      <c r="D80" s="1" t="s">
        <v>9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6">
        <v>0</v>
      </c>
    </row>
    <row r="81" spans="1:18" x14ac:dyDescent="0.25">
      <c r="A81" t="s">
        <v>7</v>
      </c>
      <c r="B81" s="1">
        <v>26</v>
      </c>
      <c r="C81" t="s">
        <v>39</v>
      </c>
      <c r="D81" s="1" t="s">
        <v>10</v>
      </c>
      <c r="E81" s="4">
        <v>1</v>
      </c>
      <c r="F81" s="4">
        <v>90</v>
      </c>
      <c r="G81" s="4">
        <v>0</v>
      </c>
      <c r="H81" s="4">
        <v>0</v>
      </c>
      <c r="I81" s="4">
        <v>0</v>
      </c>
      <c r="J81" s="4">
        <v>3</v>
      </c>
      <c r="K81" s="4">
        <v>0</v>
      </c>
      <c r="L81" s="4">
        <v>0</v>
      </c>
      <c r="M81" s="4">
        <v>2</v>
      </c>
      <c r="N81" s="4">
        <v>3</v>
      </c>
      <c r="O81" s="4">
        <v>9</v>
      </c>
      <c r="P81" s="4">
        <v>8</v>
      </c>
      <c r="Q81" s="4">
        <v>4</v>
      </c>
      <c r="R81" s="6">
        <v>3.5379999999999998</v>
      </c>
    </row>
    <row r="82" spans="1:18" x14ac:dyDescent="0.25">
      <c r="A82" t="s">
        <v>7</v>
      </c>
      <c r="B82" s="1">
        <v>26</v>
      </c>
      <c r="C82" t="s">
        <v>40</v>
      </c>
      <c r="D82" s="1" t="s">
        <v>10</v>
      </c>
      <c r="E82" s="4">
        <v>1</v>
      </c>
      <c r="F82" s="4">
        <v>90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4</v>
      </c>
      <c r="N82" s="4">
        <v>2</v>
      </c>
      <c r="O82" s="4">
        <v>11</v>
      </c>
      <c r="P82" s="4">
        <v>12</v>
      </c>
      <c r="Q82" s="4">
        <v>9</v>
      </c>
      <c r="R82" s="6">
        <v>-0.86199999999999999</v>
      </c>
    </row>
    <row r="83" spans="1:18" x14ac:dyDescent="0.25">
      <c r="A83" t="s">
        <v>7</v>
      </c>
      <c r="B83" s="1">
        <v>25</v>
      </c>
      <c r="C83" t="s">
        <v>41</v>
      </c>
      <c r="D83" s="1" t="s">
        <v>11</v>
      </c>
      <c r="E83" s="4">
        <v>1</v>
      </c>
      <c r="F83" s="4">
        <v>45</v>
      </c>
      <c r="G83" s="4">
        <v>0</v>
      </c>
      <c r="H83" s="4">
        <v>0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s="4">
        <v>4</v>
      </c>
      <c r="P83" s="4">
        <v>3</v>
      </c>
      <c r="Q83" s="4">
        <v>4</v>
      </c>
      <c r="R83" s="6">
        <v>1.1879999999999999</v>
      </c>
    </row>
    <row r="84" spans="1:18" x14ac:dyDescent="0.25">
      <c r="A84" t="s">
        <v>7</v>
      </c>
      <c r="B84" s="1">
        <v>26</v>
      </c>
      <c r="C84" t="s">
        <v>42</v>
      </c>
      <c r="D84" s="1" t="s">
        <v>12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6">
        <v>0</v>
      </c>
    </row>
    <row r="85" spans="1:18" x14ac:dyDescent="0.25">
      <c r="A85" t="s">
        <v>7</v>
      </c>
      <c r="B85" s="1">
        <v>25</v>
      </c>
      <c r="C85" t="s">
        <v>43</v>
      </c>
      <c r="D85" s="1" t="s">
        <v>8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6">
        <v>0</v>
      </c>
    </row>
    <row r="86" spans="1:18" x14ac:dyDescent="0.25">
      <c r="A86" t="s">
        <v>7</v>
      </c>
      <c r="B86" s="1">
        <v>24</v>
      </c>
      <c r="C86" t="s">
        <v>44</v>
      </c>
      <c r="D86" s="1" t="s">
        <v>10</v>
      </c>
      <c r="E86" s="4">
        <v>1</v>
      </c>
      <c r="F86" s="4">
        <v>90</v>
      </c>
      <c r="G86" s="4">
        <v>0</v>
      </c>
      <c r="H86" s="4">
        <v>0</v>
      </c>
      <c r="I86" s="4">
        <v>0</v>
      </c>
      <c r="J86" s="4">
        <v>0</v>
      </c>
      <c r="K86" s="4">
        <v>1</v>
      </c>
      <c r="L86" s="4">
        <v>0</v>
      </c>
      <c r="M86" s="4">
        <v>2</v>
      </c>
      <c r="N86" s="4">
        <v>3</v>
      </c>
      <c r="O86" s="4">
        <v>6</v>
      </c>
      <c r="P86" s="4">
        <v>13</v>
      </c>
      <c r="Q86" s="4">
        <v>15</v>
      </c>
      <c r="R86" s="6">
        <v>-6.3E-2</v>
      </c>
    </row>
    <row r="87" spans="1:18" x14ac:dyDescent="0.25">
      <c r="A87" t="s">
        <v>7</v>
      </c>
      <c r="B87" s="1">
        <v>24</v>
      </c>
      <c r="C87" t="s">
        <v>45</v>
      </c>
      <c r="D87" s="1" t="s">
        <v>10</v>
      </c>
      <c r="E87" s="4">
        <v>1</v>
      </c>
      <c r="F87" s="4">
        <v>45</v>
      </c>
      <c r="G87" s="4">
        <v>0</v>
      </c>
      <c r="H87" s="4">
        <v>0</v>
      </c>
      <c r="I87" s="4">
        <v>1</v>
      </c>
      <c r="J87" s="4">
        <v>0</v>
      </c>
      <c r="K87" s="4">
        <v>0</v>
      </c>
      <c r="L87" s="4">
        <v>0</v>
      </c>
      <c r="M87" s="4">
        <v>1</v>
      </c>
      <c r="N87" s="4">
        <v>1</v>
      </c>
      <c r="O87" s="4">
        <v>10</v>
      </c>
      <c r="P87" s="4">
        <v>5</v>
      </c>
      <c r="Q87" s="4">
        <v>8</v>
      </c>
      <c r="R87" s="6">
        <v>4.8440000000000003</v>
      </c>
    </row>
    <row r="88" spans="1:18" x14ac:dyDescent="0.25">
      <c r="B88" s="1"/>
      <c r="C88" s="1"/>
      <c r="D88" s="1"/>
    </row>
    <row r="89" spans="1:18" x14ac:dyDescent="0.25">
      <c r="A89" s="3" t="s">
        <v>15</v>
      </c>
      <c r="B89" s="2" t="s">
        <v>1</v>
      </c>
      <c r="C89" s="8" t="s">
        <v>2</v>
      </c>
      <c r="D89" s="2" t="s">
        <v>3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20</v>
      </c>
      <c r="J89" s="2" t="s">
        <v>21</v>
      </c>
      <c r="K89" s="2" t="s">
        <v>22</v>
      </c>
      <c r="L89" s="2" t="s">
        <v>23</v>
      </c>
      <c r="M89" s="2" t="s">
        <v>24</v>
      </c>
      <c r="N89" s="2" t="s">
        <v>25</v>
      </c>
      <c r="O89" s="2" t="s">
        <v>26</v>
      </c>
      <c r="P89" s="2" t="s">
        <v>27</v>
      </c>
      <c r="Q89" s="2" t="s">
        <v>29</v>
      </c>
      <c r="R89" s="5" t="s">
        <v>28</v>
      </c>
    </row>
    <row r="90" spans="1:18" x14ac:dyDescent="0.25">
      <c r="A90" t="s">
        <v>6</v>
      </c>
      <c r="B90" s="1">
        <v>27</v>
      </c>
      <c r="C90" t="s">
        <v>37</v>
      </c>
      <c r="D90" s="1" t="s">
        <v>13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6">
        <v>0</v>
      </c>
    </row>
    <row r="91" spans="1:18" x14ac:dyDescent="0.25">
      <c r="A91" t="s">
        <v>6</v>
      </c>
      <c r="B91" s="1">
        <v>27</v>
      </c>
      <c r="C91" t="s">
        <v>36</v>
      </c>
      <c r="D91" s="1" t="s">
        <v>14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6">
        <v>0</v>
      </c>
    </row>
    <row r="92" spans="1:18" x14ac:dyDescent="0.25">
      <c r="A92" t="s">
        <v>6</v>
      </c>
      <c r="B92" s="1">
        <v>26</v>
      </c>
      <c r="C92" t="s">
        <v>35</v>
      </c>
      <c r="D92" s="1" t="s">
        <v>0</v>
      </c>
      <c r="E92" s="4">
        <v>1</v>
      </c>
      <c r="F92" s="4">
        <v>45</v>
      </c>
      <c r="G92" s="4">
        <v>0</v>
      </c>
      <c r="H92" s="4">
        <v>0</v>
      </c>
      <c r="I92" s="4">
        <v>2</v>
      </c>
      <c r="J92" s="4">
        <v>1</v>
      </c>
      <c r="K92" s="4">
        <v>0</v>
      </c>
      <c r="L92" s="4">
        <v>0</v>
      </c>
      <c r="M92" s="4">
        <v>0</v>
      </c>
      <c r="N92" s="4">
        <v>0</v>
      </c>
      <c r="O92" s="4">
        <v>5</v>
      </c>
      <c r="P92" s="4">
        <v>5</v>
      </c>
      <c r="Q92" s="4">
        <v>0</v>
      </c>
      <c r="R92" s="6">
        <v>1.8</v>
      </c>
    </row>
    <row r="93" spans="1:18" x14ac:dyDescent="0.25">
      <c r="A93" t="s">
        <v>6</v>
      </c>
      <c r="B93" s="1">
        <v>25</v>
      </c>
      <c r="C93" t="s">
        <v>34</v>
      </c>
      <c r="D93" s="1" t="s">
        <v>10</v>
      </c>
      <c r="E93" s="4">
        <v>1</v>
      </c>
      <c r="F93" s="4">
        <v>45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2</v>
      </c>
      <c r="N93" s="4">
        <v>5</v>
      </c>
      <c r="O93" s="4">
        <v>1</v>
      </c>
      <c r="P93" s="4">
        <v>9</v>
      </c>
      <c r="Q93" s="4">
        <v>2</v>
      </c>
      <c r="R93" s="6">
        <v>1.2809999999999999</v>
      </c>
    </row>
    <row r="94" spans="1:18" x14ac:dyDescent="0.25">
      <c r="A94" t="s">
        <v>6</v>
      </c>
      <c r="B94" s="1">
        <v>24</v>
      </c>
      <c r="C94" t="s">
        <v>33</v>
      </c>
      <c r="D94" s="1" t="s">
        <v>10</v>
      </c>
      <c r="E94" s="4">
        <v>1</v>
      </c>
      <c r="F94" s="4">
        <v>48</v>
      </c>
      <c r="G94" s="4">
        <v>0</v>
      </c>
      <c r="H94" s="4">
        <v>0</v>
      </c>
      <c r="I94" s="4">
        <v>0</v>
      </c>
      <c r="J94" s="4">
        <v>2</v>
      </c>
      <c r="K94" s="4">
        <v>1</v>
      </c>
      <c r="L94" s="4">
        <v>1</v>
      </c>
      <c r="M94" s="4">
        <v>4</v>
      </c>
      <c r="N94" s="4">
        <v>1</v>
      </c>
      <c r="O94" s="4">
        <v>3</v>
      </c>
      <c r="P94" s="4">
        <v>4</v>
      </c>
      <c r="Q94" s="4">
        <v>0</v>
      </c>
      <c r="R94" s="6">
        <v>-2.7810000000000001</v>
      </c>
    </row>
    <row r="99" spans="1:18" x14ac:dyDescent="0.25">
      <c r="A99" s="3" t="s">
        <v>15</v>
      </c>
      <c r="B99" s="2" t="s">
        <v>1</v>
      </c>
      <c r="C99" s="8" t="s">
        <v>2</v>
      </c>
      <c r="D99" s="2" t="s">
        <v>3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20</v>
      </c>
      <c r="J99" s="2" t="s">
        <v>21</v>
      </c>
      <c r="K99" s="2" t="s">
        <v>22</v>
      </c>
      <c r="L99" s="2" t="s">
        <v>23</v>
      </c>
      <c r="M99" s="2" t="s">
        <v>24</v>
      </c>
      <c r="N99" s="2" t="s">
        <v>25</v>
      </c>
      <c r="O99" s="2" t="s">
        <v>26</v>
      </c>
      <c r="P99" s="2" t="s">
        <v>27</v>
      </c>
      <c r="Q99" s="2" t="s">
        <v>29</v>
      </c>
      <c r="R99" s="5" t="s">
        <v>28</v>
      </c>
    </row>
    <row r="100" spans="1:18" x14ac:dyDescent="0.25">
      <c r="A100" t="s">
        <v>4</v>
      </c>
      <c r="B100" s="1">
        <v>26</v>
      </c>
      <c r="C100" t="s">
        <v>52</v>
      </c>
      <c r="D100" s="1" t="s">
        <v>0</v>
      </c>
      <c r="E100" s="4">
        <f t="shared" ref="E100:Q101" ca="1" si="0">SUMIF($C$4:$R$95, $C100, E$4:E$95)</f>
        <v>0</v>
      </c>
      <c r="F100" s="4">
        <f t="shared" ca="1" si="0"/>
        <v>0</v>
      </c>
      <c r="G100" s="4">
        <f t="shared" ca="1" si="0"/>
        <v>0</v>
      </c>
      <c r="H100" s="4">
        <f t="shared" ca="1" si="0"/>
        <v>0</v>
      </c>
      <c r="I100" s="4">
        <f t="shared" ca="1" si="0"/>
        <v>0</v>
      </c>
      <c r="J100" s="4">
        <f t="shared" ca="1" si="0"/>
        <v>0</v>
      </c>
      <c r="K100" s="4">
        <f t="shared" ca="1" si="0"/>
        <v>0</v>
      </c>
      <c r="L100" s="4">
        <f t="shared" ca="1" si="0"/>
        <v>0</v>
      </c>
      <c r="M100" s="4">
        <f t="shared" ca="1" si="0"/>
        <v>0</v>
      </c>
      <c r="N100" s="4">
        <f t="shared" ca="1" si="0"/>
        <v>0</v>
      </c>
      <c r="O100" s="4">
        <f t="shared" ca="1" si="0"/>
        <v>0</v>
      </c>
      <c r="P100" s="4">
        <f t="shared" ca="1" si="0"/>
        <v>0</v>
      </c>
      <c r="Q100" s="4">
        <f t="shared" ca="1" si="0"/>
        <v>0</v>
      </c>
      <c r="R100" s="6" t="e">
        <f ca="1">SUMIF($C$4:$R$95, $C100, R$4:R$95)/$E100</f>
        <v>#DIV/0!</v>
      </c>
    </row>
    <row r="101" spans="1:18" x14ac:dyDescent="0.25">
      <c r="A101" t="s">
        <v>4</v>
      </c>
      <c r="B101" s="1">
        <v>25</v>
      </c>
      <c r="C101" t="s">
        <v>53</v>
      </c>
      <c r="D101" s="1" t="s">
        <v>0</v>
      </c>
      <c r="E101" s="4">
        <f t="shared" ca="1" si="0"/>
        <v>3</v>
      </c>
      <c r="F101" s="4">
        <f t="shared" ca="1" si="0"/>
        <v>270</v>
      </c>
      <c r="G101" s="4">
        <f t="shared" ca="1" si="0"/>
        <v>7</v>
      </c>
      <c r="H101" s="4">
        <f t="shared" ca="1" si="0"/>
        <v>0</v>
      </c>
      <c r="I101" s="4">
        <f t="shared" ca="1" si="0"/>
        <v>14</v>
      </c>
      <c r="J101" s="4">
        <f t="shared" ca="1" si="0"/>
        <v>0</v>
      </c>
      <c r="K101" s="4">
        <f t="shared" ca="1" si="0"/>
        <v>0</v>
      </c>
      <c r="L101" s="4">
        <f t="shared" ca="1" si="0"/>
        <v>0</v>
      </c>
      <c r="M101" s="4">
        <f t="shared" ca="1" si="0"/>
        <v>0</v>
      </c>
      <c r="N101" s="4">
        <f t="shared" ca="1" si="0"/>
        <v>0</v>
      </c>
      <c r="O101" s="4">
        <f t="shared" ca="1" si="0"/>
        <v>1</v>
      </c>
      <c r="P101" s="4">
        <f t="shared" ca="1" si="0"/>
        <v>5</v>
      </c>
      <c r="Q101" s="4">
        <f t="shared" ca="1" si="0"/>
        <v>2</v>
      </c>
      <c r="R101" s="6">
        <f ca="1">SUMIF($C$4:$R$95, $C101, R$4:R$95)/$E101</f>
        <v>0.70600000000000007</v>
      </c>
    </row>
    <row r="102" spans="1:18" x14ac:dyDescent="0.25">
      <c r="B102" s="1"/>
      <c r="C102" s="1"/>
      <c r="D102" s="1"/>
    </row>
    <row r="103" spans="1:18" x14ac:dyDescent="0.25">
      <c r="A103" s="3" t="s">
        <v>15</v>
      </c>
      <c r="B103" s="2" t="s">
        <v>1</v>
      </c>
      <c r="C103" s="8" t="s">
        <v>2</v>
      </c>
      <c r="D103" s="2" t="s">
        <v>3</v>
      </c>
      <c r="E103" s="2" t="s">
        <v>16</v>
      </c>
      <c r="F103" s="2" t="s">
        <v>17</v>
      </c>
      <c r="G103" s="2" t="s">
        <v>18</v>
      </c>
      <c r="H103" s="2" t="s">
        <v>19</v>
      </c>
      <c r="I103" s="2" t="s">
        <v>20</v>
      </c>
      <c r="J103" s="2" t="s">
        <v>21</v>
      </c>
      <c r="K103" s="2" t="s">
        <v>22</v>
      </c>
      <c r="L103" s="2" t="s">
        <v>23</v>
      </c>
      <c r="M103" s="2" t="s">
        <v>24</v>
      </c>
      <c r="N103" s="2" t="s">
        <v>25</v>
      </c>
      <c r="O103" s="2" t="s">
        <v>26</v>
      </c>
      <c r="P103" s="2" t="s">
        <v>27</v>
      </c>
      <c r="Q103" s="2" t="s">
        <v>29</v>
      </c>
      <c r="R103" s="5" t="s">
        <v>28</v>
      </c>
    </row>
    <row r="104" spans="1:18" x14ac:dyDescent="0.25">
      <c r="A104" t="s">
        <v>5</v>
      </c>
      <c r="B104" s="1">
        <v>27</v>
      </c>
      <c r="C104" t="s">
        <v>46</v>
      </c>
      <c r="D104" s="1" t="s">
        <v>0</v>
      </c>
      <c r="E104" s="4">
        <f t="shared" ref="E104:Q109" ca="1" si="1">SUMIF($C$4:$R$95, $C104, E$4:E$95)</f>
        <v>0</v>
      </c>
      <c r="F104" s="4">
        <f t="shared" ca="1" si="1"/>
        <v>0</v>
      </c>
      <c r="G104" s="4">
        <f t="shared" ca="1" si="1"/>
        <v>0</v>
      </c>
      <c r="H104" s="4">
        <f t="shared" ca="1" si="1"/>
        <v>0</v>
      </c>
      <c r="I104" s="4">
        <f t="shared" ca="1" si="1"/>
        <v>0</v>
      </c>
      <c r="J104" s="4">
        <f t="shared" ca="1" si="1"/>
        <v>0</v>
      </c>
      <c r="K104" s="4">
        <f t="shared" ca="1" si="1"/>
        <v>0</v>
      </c>
      <c r="L104" s="4">
        <f t="shared" ca="1" si="1"/>
        <v>0</v>
      </c>
      <c r="M104" s="4">
        <f t="shared" ca="1" si="1"/>
        <v>0</v>
      </c>
      <c r="N104" s="4">
        <f t="shared" ca="1" si="1"/>
        <v>0</v>
      </c>
      <c r="O104" s="4">
        <f t="shared" ca="1" si="1"/>
        <v>0</v>
      </c>
      <c r="P104" s="4">
        <f t="shared" ca="1" si="1"/>
        <v>0</v>
      </c>
      <c r="Q104" s="4">
        <f t="shared" ca="1" si="1"/>
        <v>0</v>
      </c>
      <c r="R104" s="6" t="e">
        <f t="shared" ref="R104:R109" ca="1" si="2">SUMIF($C$4:$R$95, $C104, R$4:R$95)/$E104</f>
        <v>#DIV/0!</v>
      </c>
    </row>
    <row r="105" spans="1:18" x14ac:dyDescent="0.25">
      <c r="A105" t="s">
        <v>5</v>
      </c>
      <c r="B105" s="1">
        <v>26</v>
      </c>
      <c r="C105" t="s">
        <v>47</v>
      </c>
      <c r="D105" s="1" t="s">
        <v>0</v>
      </c>
      <c r="E105" s="4">
        <f t="shared" ca="1" si="1"/>
        <v>2</v>
      </c>
      <c r="F105" s="4">
        <f t="shared" ca="1" si="1"/>
        <v>135</v>
      </c>
      <c r="G105" s="4">
        <f t="shared" ca="1" si="1"/>
        <v>0</v>
      </c>
      <c r="H105" s="4">
        <f t="shared" ca="1" si="1"/>
        <v>0</v>
      </c>
      <c r="I105" s="4">
        <f t="shared" ca="1" si="1"/>
        <v>0</v>
      </c>
      <c r="J105" s="4">
        <f t="shared" ca="1" si="1"/>
        <v>0</v>
      </c>
      <c r="K105" s="4">
        <f t="shared" ca="1" si="1"/>
        <v>0</v>
      </c>
      <c r="L105" s="4">
        <f t="shared" ca="1" si="1"/>
        <v>0</v>
      </c>
      <c r="M105" s="4">
        <f t="shared" ca="1" si="1"/>
        <v>2</v>
      </c>
      <c r="N105" s="4">
        <f t="shared" ca="1" si="1"/>
        <v>2</v>
      </c>
      <c r="O105" s="4">
        <f t="shared" ca="1" si="1"/>
        <v>6</v>
      </c>
      <c r="P105" s="4">
        <f t="shared" ca="1" si="1"/>
        <v>13</v>
      </c>
      <c r="Q105" s="4">
        <f t="shared" ca="1" si="1"/>
        <v>4</v>
      </c>
      <c r="R105" s="6">
        <f t="shared" ca="1" si="2"/>
        <v>0.21250000000000002</v>
      </c>
    </row>
    <row r="106" spans="1:18" x14ac:dyDescent="0.25">
      <c r="A106" t="s">
        <v>5</v>
      </c>
      <c r="B106" s="1">
        <v>26</v>
      </c>
      <c r="C106" t="s">
        <v>48</v>
      </c>
      <c r="D106" s="1" t="s">
        <v>0</v>
      </c>
      <c r="E106" s="4">
        <f t="shared" ca="1" si="1"/>
        <v>2</v>
      </c>
      <c r="F106" s="4">
        <f t="shared" ca="1" si="1"/>
        <v>135</v>
      </c>
      <c r="G106" s="4">
        <f t="shared" ca="1" si="1"/>
        <v>0</v>
      </c>
      <c r="H106" s="4">
        <f t="shared" ca="1" si="1"/>
        <v>0</v>
      </c>
      <c r="I106" s="4">
        <f t="shared" ca="1" si="1"/>
        <v>0</v>
      </c>
      <c r="J106" s="4">
        <f t="shared" ca="1" si="1"/>
        <v>0</v>
      </c>
      <c r="K106" s="4">
        <f t="shared" ca="1" si="1"/>
        <v>0</v>
      </c>
      <c r="L106" s="4">
        <f t="shared" ca="1" si="1"/>
        <v>0</v>
      </c>
      <c r="M106" s="4">
        <f t="shared" ca="1" si="1"/>
        <v>1</v>
      </c>
      <c r="N106" s="4">
        <f t="shared" ca="1" si="1"/>
        <v>0</v>
      </c>
      <c r="O106" s="4">
        <f t="shared" ca="1" si="1"/>
        <v>7</v>
      </c>
      <c r="P106" s="4">
        <f t="shared" ca="1" si="1"/>
        <v>11</v>
      </c>
      <c r="Q106" s="4">
        <f t="shared" ca="1" si="1"/>
        <v>5</v>
      </c>
      <c r="R106" s="6">
        <f t="shared" ca="1" si="2"/>
        <v>-0.19950000000000001</v>
      </c>
    </row>
    <row r="107" spans="1:18" x14ac:dyDescent="0.25">
      <c r="A107" t="s">
        <v>5</v>
      </c>
      <c r="B107" s="1">
        <v>26</v>
      </c>
      <c r="C107" t="s">
        <v>49</v>
      </c>
      <c r="D107" s="1" t="s">
        <v>8</v>
      </c>
      <c r="E107" s="4">
        <f t="shared" ca="1" si="1"/>
        <v>3</v>
      </c>
      <c r="F107" s="4">
        <f t="shared" ca="1" si="1"/>
        <v>270</v>
      </c>
      <c r="G107" s="4">
        <f t="shared" ca="1" si="1"/>
        <v>0</v>
      </c>
      <c r="H107" s="4">
        <f t="shared" ca="1" si="1"/>
        <v>0</v>
      </c>
      <c r="I107" s="4">
        <f t="shared" ca="1" si="1"/>
        <v>0</v>
      </c>
      <c r="J107" s="4">
        <f t="shared" ca="1" si="1"/>
        <v>0</v>
      </c>
      <c r="K107" s="4">
        <f t="shared" ca="1" si="1"/>
        <v>0</v>
      </c>
      <c r="L107" s="4">
        <f t="shared" ca="1" si="1"/>
        <v>0</v>
      </c>
      <c r="M107" s="4">
        <f t="shared" ca="1" si="1"/>
        <v>1</v>
      </c>
      <c r="N107" s="4">
        <f t="shared" ca="1" si="1"/>
        <v>6</v>
      </c>
      <c r="O107" s="4">
        <f t="shared" ca="1" si="1"/>
        <v>18</v>
      </c>
      <c r="P107" s="4">
        <f t="shared" ca="1" si="1"/>
        <v>15</v>
      </c>
      <c r="Q107" s="4">
        <f t="shared" ca="1" si="1"/>
        <v>17</v>
      </c>
      <c r="R107" s="6">
        <f t="shared" ca="1" si="2"/>
        <v>2.5939999999999999</v>
      </c>
    </row>
    <row r="108" spans="1:18" x14ac:dyDescent="0.25">
      <c r="A108" t="s">
        <v>5</v>
      </c>
      <c r="B108" s="1">
        <v>25</v>
      </c>
      <c r="C108" t="s">
        <v>50</v>
      </c>
      <c r="D108" s="1" t="s">
        <v>0</v>
      </c>
      <c r="E108" s="4">
        <f t="shared" ca="1" si="1"/>
        <v>1</v>
      </c>
      <c r="F108" s="4">
        <f t="shared" ca="1" si="1"/>
        <v>90</v>
      </c>
      <c r="G108" s="4">
        <f t="shared" ca="1" si="1"/>
        <v>0</v>
      </c>
      <c r="H108" s="4">
        <f t="shared" ca="1" si="1"/>
        <v>0</v>
      </c>
      <c r="I108" s="4">
        <f t="shared" ca="1" si="1"/>
        <v>0</v>
      </c>
      <c r="J108" s="4">
        <f t="shared" ca="1" si="1"/>
        <v>0</v>
      </c>
      <c r="K108" s="4">
        <f t="shared" ca="1" si="1"/>
        <v>0</v>
      </c>
      <c r="L108" s="4">
        <f t="shared" ca="1" si="1"/>
        <v>0</v>
      </c>
      <c r="M108" s="4">
        <f t="shared" ca="1" si="1"/>
        <v>0</v>
      </c>
      <c r="N108" s="4">
        <f t="shared" ca="1" si="1"/>
        <v>0</v>
      </c>
      <c r="O108" s="4">
        <f t="shared" ca="1" si="1"/>
        <v>3</v>
      </c>
      <c r="P108" s="4">
        <f t="shared" ca="1" si="1"/>
        <v>2</v>
      </c>
      <c r="Q108" s="4">
        <f t="shared" ca="1" si="1"/>
        <v>3</v>
      </c>
      <c r="R108" s="6">
        <f t="shared" ca="1" si="2"/>
        <v>2.4380000000000002</v>
      </c>
    </row>
    <row r="109" spans="1:18" x14ac:dyDescent="0.25">
      <c r="A109" t="s">
        <v>5</v>
      </c>
      <c r="B109" s="1">
        <v>25</v>
      </c>
      <c r="C109" t="s">
        <v>51</v>
      </c>
      <c r="D109" s="1" t="s">
        <v>0</v>
      </c>
      <c r="E109" s="4">
        <f t="shared" ca="1" si="1"/>
        <v>3</v>
      </c>
      <c r="F109" s="4">
        <f t="shared" ca="1" si="1"/>
        <v>270</v>
      </c>
      <c r="G109" s="4">
        <f t="shared" ca="1" si="1"/>
        <v>0</v>
      </c>
      <c r="H109" s="4">
        <f t="shared" ca="1" si="1"/>
        <v>0</v>
      </c>
      <c r="I109" s="4">
        <f t="shared" ca="1" si="1"/>
        <v>0</v>
      </c>
      <c r="J109" s="4">
        <f t="shared" ca="1" si="1"/>
        <v>0</v>
      </c>
      <c r="K109" s="4">
        <f t="shared" ca="1" si="1"/>
        <v>0</v>
      </c>
      <c r="L109" s="4">
        <f t="shared" ca="1" si="1"/>
        <v>0</v>
      </c>
      <c r="M109" s="4">
        <f t="shared" ca="1" si="1"/>
        <v>3</v>
      </c>
      <c r="N109" s="4">
        <f t="shared" ca="1" si="1"/>
        <v>4</v>
      </c>
      <c r="O109" s="4">
        <f t="shared" ca="1" si="1"/>
        <v>22</v>
      </c>
      <c r="P109" s="4">
        <f t="shared" ca="1" si="1"/>
        <v>14</v>
      </c>
      <c r="Q109" s="4">
        <f t="shared" ca="1" si="1"/>
        <v>23</v>
      </c>
      <c r="R109" s="6">
        <f t="shared" ca="1" si="2"/>
        <v>2.6773333333333333</v>
      </c>
    </row>
    <row r="110" spans="1:18" x14ac:dyDescent="0.25">
      <c r="B110" s="1"/>
      <c r="C110" s="1"/>
      <c r="D110" s="1"/>
    </row>
    <row r="111" spans="1:18" x14ac:dyDescent="0.25">
      <c r="A111" s="3" t="s">
        <v>15</v>
      </c>
      <c r="B111" s="2" t="s">
        <v>1</v>
      </c>
      <c r="C111" s="8" t="s">
        <v>2</v>
      </c>
      <c r="D111" s="2" t="s">
        <v>3</v>
      </c>
      <c r="E111" s="2" t="s">
        <v>16</v>
      </c>
      <c r="F111" s="2" t="s">
        <v>17</v>
      </c>
      <c r="G111" s="2" t="s">
        <v>18</v>
      </c>
      <c r="H111" s="2" t="s">
        <v>19</v>
      </c>
      <c r="I111" s="2" t="s">
        <v>20</v>
      </c>
      <c r="J111" s="2" t="s">
        <v>21</v>
      </c>
      <c r="K111" s="2" t="s">
        <v>22</v>
      </c>
      <c r="L111" s="2" t="s">
        <v>23</v>
      </c>
      <c r="M111" s="2" t="s">
        <v>24</v>
      </c>
      <c r="N111" s="2" t="s">
        <v>25</v>
      </c>
      <c r="O111" s="2" t="s">
        <v>26</v>
      </c>
      <c r="P111" s="2" t="s">
        <v>27</v>
      </c>
      <c r="Q111" s="2" t="s">
        <v>29</v>
      </c>
      <c r="R111" s="5" t="s">
        <v>28</v>
      </c>
    </row>
    <row r="112" spans="1:18" x14ac:dyDescent="0.25">
      <c r="A112" t="s">
        <v>7</v>
      </c>
      <c r="B112" s="1">
        <v>27</v>
      </c>
      <c r="C112" t="s">
        <v>38</v>
      </c>
      <c r="D112" s="1" t="s">
        <v>9</v>
      </c>
      <c r="E112" s="4">
        <f t="shared" ref="E112:Q119" ca="1" si="3">SUMIF($C$4:$R$95, $C112, E$4:E$95)</f>
        <v>2</v>
      </c>
      <c r="F112" s="4">
        <f t="shared" ca="1" si="3"/>
        <v>90</v>
      </c>
      <c r="G112" s="4">
        <f t="shared" ca="1" si="3"/>
        <v>0</v>
      </c>
      <c r="H112" s="4">
        <f t="shared" ca="1" si="3"/>
        <v>0</v>
      </c>
      <c r="I112" s="4">
        <f t="shared" ca="1" si="3"/>
        <v>0</v>
      </c>
      <c r="J112" s="4">
        <f t="shared" ca="1" si="3"/>
        <v>2</v>
      </c>
      <c r="K112" s="4">
        <f t="shared" ca="1" si="3"/>
        <v>0</v>
      </c>
      <c r="L112" s="4">
        <f t="shared" ca="1" si="3"/>
        <v>0</v>
      </c>
      <c r="M112" s="4">
        <f t="shared" ca="1" si="3"/>
        <v>3</v>
      </c>
      <c r="N112" s="4">
        <f t="shared" ca="1" si="3"/>
        <v>2</v>
      </c>
      <c r="O112" s="4">
        <f t="shared" ca="1" si="3"/>
        <v>8</v>
      </c>
      <c r="P112" s="4">
        <f t="shared" ca="1" si="3"/>
        <v>12</v>
      </c>
      <c r="Q112" s="4">
        <f t="shared" ca="1" si="3"/>
        <v>10</v>
      </c>
      <c r="R112" s="6">
        <f t="shared" ref="R112:R119" ca="1" si="4">SUMIF($C$4:$R$95, $C112, R$4:R$95)/$E112</f>
        <v>5.1905000000000001</v>
      </c>
    </row>
    <row r="113" spans="1:18" x14ac:dyDescent="0.25">
      <c r="A113" t="s">
        <v>7</v>
      </c>
      <c r="B113" s="1">
        <v>26</v>
      </c>
      <c r="C113" t="s">
        <v>39</v>
      </c>
      <c r="D113" s="1" t="s">
        <v>10</v>
      </c>
      <c r="E113" s="4">
        <f t="shared" ca="1" si="3"/>
        <v>2</v>
      </c>
      <c r="F113" s="4">
        <f t="shared" ca="1" si="3"/>
        <v>180</v>
      </c>
      <c r="G113" s="4">
        <f t="shared" ca="1" si="3"/>
        <v>0</v>
      </c>
      <c r="H113" s="4">
        <f t="shared" ca="1" si="3"/>
        <v>0</v>
      </c>
      <c r="I113" s="4">
        <f t="shared" ca="1" si="3"/>
        <v>0</v>
      </c>
      <c r="J113" s="4">
        <f t="shared" ca="1" si="3"/>
        <v>3</v>
      </c>
      <c r="K113" s="4">
        <f t="shared" ca="1" si="3"/>
        <v>0</v>
      </c>
      <c r="L113" s="4">
        <f t="shared" ca="1" si="3"/>
        <v>0</v>
      </c>
      <c r="M113" s="4">
        <f t="shared" ca="1" si="3"/>
        <v>4</v>
      </c>
      <c r="N113" s="4">
        <f t="shared" ca="1" si="3"/>
        <v>3</v>
      </c>
      <c r="O113" s="4">
        <f t="shared" ca="1" si="3"/>
        <v>16</v>
      </c>
      <c r="P113" s="4">
        <f t="shared" ca="1" si="3"/>
        <v>13</v>
      </c>
      <c r="Q113" s="4">
        <f t="shared" ca="1" si="3"/>
        <v>11</v>
      </c>
      <c r="R113" s="6">
        <f t="shared" ca="1" si="4"/>
        <v>4.7874999999999996</v>
      </c>
    </row>
    <row r="114" spans="1:18" x14ac:dyDescent="0.25">
      <c r="A114" t="s">
        <v>7</v>
      </c>
      <c r="B114" s="1">
        <v>26</v>
      </c>
      <c r="C114" t="s">
        <v>40</v>
      </c>
      <c r="D114" s="1" t="s">
        <v>10</v>
      </c>
      <c r="E114" s="4">
        <f t="shared" ca="1" si="3"/>
        <v>2</v>
      </c>
      <c r="F114" s="4">
        <f t="shared" ca="1" si="3"/>
        <v>180</v>
      </c>
      <c r="G114" s="4">
        <f t="shared" ca="1" si="3"/>
        <v>0</v>
      </c>
      <c r="H114" s="4">
        <f t="shared" ca="1" si="3"/>
        <v>0</v>
      </c>
      <c r="I114" s="4">
        <f t="shared" ca="1" si="3"/>
        <v>0</v>
      </c>
      <c r="J114" s="4">
        <f t="shared" ca="1" si="3"/>
        <v>3</v>
      </c>
      <c r="K114" s="4">
        <f t="shared" ca="1" si="3"/>
        <v>1</v>
      </c>
      <c r="L114" s="4">
        <f t="shared" ca="1" si="3"/>
        <v>0</v>
      </c>
      <c r="M114" s="4">
        <f t="shared" ca="1" si="3"/>
        <v>6</v>
      </c>
      <c r="N114" s="4">
        <f t="shared" ca="1" si="3"/>
        <v>6</v>
      </c>
      <c r="O114" s="4">
        <f t="shared" ca="1" si="3"/>
        <v>22</v>
      </c>
      <c r="P114" s="4">
        <f t="shared" ca="1" si="3"/>
        <v>19</v>
      </c>
      <c r="Q114" s="4">
        <f t="shared" ca="1" si="3"/>
        <v>17</v>
      </c>
      <c r="R114" s="6">
        <f t="shared" ca="1" si="4"/>
        <v>4.7469999999999999</v>
      </c>
    </row>
    <row r="115" spans="1:18" x14ac:dyDescent="0.25">
      <c r="A115" t="s">
        <v>7</v>
      </c>
      <c r="B115" s="1">
        <v>25</v>
      </c>
      <c r="C115" t="s">
        <v>41</v>
      </c>
      <c r="D115" s="1" t="s">
        <v>11</v>
      </c>
      <c r="E115" s="4">
        <f t="shared" ca="1" si="3"/>
        <v>3</v>
      </c>
      <c r="F115" s="4">
        <f t="shared" ca="1" si="3"/>
        <v>135</v>
      </c>
      <c r="G115" s="4">
        <f t="shared" ca="1" si="3"/>
        <v>0</v>
      </c>
      <c r="H115" s="4">
        <f t="shared" ca="1" si="3"/>
        <v>0</v>
      </c>
      <c r="I115" s="4">
        <f t="shared" ca="1" si="3"/>
        <v>2</v>
      </c>
      <c r="J115" s="4">
        <f t="shared" ca="1" si="3"/>
        <v>3</v>
      </c>
      <c r="K115" s="4">
        <f t="shared" ca="1" si="3"/>
        <v>0</v>
      </c>
      <c r="L115" s="4">
        <f t="shared" ca="1" si="3"/>
        <v>0</v>
      </c>
      <c r="M115" s="4">
        <f t="shared" ca="1" si="3"/>
        <v>1</v>
      </c>
      <c r="N115" s="4">
        <f t="shared" ca="1" si="3"/>
        <v>2</v>
      </c>
      <c r="O115" s="4">
        <f t="shared" ca="1" si="3"/>
        <v>20</v>
      </c>
      <c r="P115" s="4">
        <f t="shared" ca="1" si="3"/>
        <v>14</v>
      </c>
      <c r="Q115" s="4">
        <f t="shared" ca="1" si="3"/>
        <v>17</v>
      </c>
      <c r="R115" s="6">
        <f t="shared" ca="1" si="4"/>
        <v>5.9956666666666658</v>
      </c>
    </row>
    <row r="116" spans="1:18" x14ac:dyDescent="0.25">
      <c r="A116" t="s">
        <v>7</v>
      </c>
      <c r="B116" s="1">
        <v>26</v>
      </c>
      <c r="C116" t="s">
        <v>42</v>
      </c>
      <c r="D116" s="1" t="s">
        <v>12</v>
      </c>
      <c r="E116" s="4">
        <f t="shared" ca="1" si="3"/>
        <v>0</v>
      </c>
      <c r="F116" s="4">
        <f t="shared" ca="1" si="3"/>
        <v>0</v>
      </c>
      <c r="G116" s="4">
        <f t="shared" ca="1" si="3"/>
        <v>0</v>
      </c>
      <c r="H116" s="4">
        <f t="shared" ca="1" si="3"/>
        <v>0</v>
      </c>
      <c r="I116" s="4">
        <f t="shared" ca="1" si="3"/>
        <v>0</v>
      </c>
      <c r="J116" s="4">
        <f t="shared" ca="1" si="3"/>
        <v>0</v>
      </c>
      <c r="K116" s="4">
        <f t="shared" ca="1" si="3"/>
        <v>0</v>
      </c>
      <c r="L116" s="4">
        <f t="shared" ca="1" si="3"/>
        <v>0</v>
      </c>
      <c r="M116" s="4">
        <f t="shared" ca="1" si="3"/>
        <v>0</v>
      </c>
      <c r="N116" s="4">
        <f t="shared" ca="1" si="3"/>
        <v>0</v>
      </c>
      <c r="O116" s="4">
        <f t="shared" ca="1" si="3"/>
        <v>0</v>
      </c>
      <c r="P116" s="4">
        <f t="shared" ca="1" si="3"/>
        <v>0</v>
      </c>
      <c r="Q116" s="4">
        <f t="shared" ca="1" si="3"/>
        <v>0</v>
      </c>
      <c r="R116" s="6" t="e">
        <f t="shared" ca="1" si="4"/>
        <v>#DIV/0!</v>
      </c>
    </row>
    <row r="117" spans="1:18" x14ac:dyDescent="0.25">
      <c r="A117" t="s">
        <v>7</v>
      </c>
      <c r="B117" s="1">
        <v>25</v>
      </c>
      <c r="C117" t="s">
        <v>43</v>
      </c>
      <c r="D117" s="1" t="s">
        <v>8</v>
      </c>
      <c r="E117" s="4">
        <f t="shared" ca="1" si="3"/>
        <v>2</v>
      </c>
      <c r="F117" s="4">
        <f t="shared" ca="1" si="3"/>
        <v>145</v>
      </c>
      <c r="G117" s="4">
        <f t="shared" ca="1" si="3"/>
        <v>0</v>
      </c>
      <c r="H117" s="4">
        <f t="shared" ca="1" si="3"/>
        <v>0</v>
      </c>
      <c r="I117" s="4">
        <f t="shared" ca="1" si="3"/>
        <v>0</v>
      </c>
      <c r="J117" s="4">
        <f t="shared" ca="1" si="3"/>
        <v>0</v>
      </c>
      <c r="K117" s="4">
        <f t="shared" ca="1" si="3"/>
        <v>1</v>
      </c>
      <c r="L117" s="4">
        <f t="shared" ca="1" si="3"/>
        <v>1</v>
      </c>
      <c r="M117" s="4">
        <f t="shared" ca="1" si="3"/>
        <v>5</v>
      </c>
      <c r="N117" s="4">
        <f t="shared" ca="1" si="3"/>
        <v>2</v>
      </c>
      <c r="O117" s="4">
        <f t="shared" ca="1" si="3"/>
        <v>8</v>
      </c>
      <c r="P117" s="4">
        <f t="shared" ca="1" si="3"/>
        <v>8</v>
      </c>
      <c r="Q117" s="4">
        <f t="shared" ca="1" si="3"/>
        <v>6</v>
      </c>
      <c r="R117" s="6">
        <f t="shared" ca="1" si="4"/>
        <v>2.2250000000000001</v>
      </c>
    </row>
    <row r="118" spans="1:18" x14ac:dyDescent="0.25">
      <c r="A118" t="s">
        <v>7</v>
      </c>
      <c r="B118" s="1">
        <v>24</v>
      </c>
      <c r="C118" t="s">
        <v>44</v>
      </c>
      <c r="D118" s="1" t="s">
        <v>10</v>
      </c>
      <c r="E118" s="4">
        <f t="shared" ca="1" si="3"/>
        <v>3</v>
      </c>
      <c r="F118" s="4">
        <f t="shared" ca="1" si="3"/>
        <v>270</v>
      </c>
      <c r="G118" s="4">
        <f t="shared" ca="1" si="3"/>
        <v>0</v>
      </c>
      <c r="H118" s="4">
        <f t="shared" ca="1" si="3"/>
        <v>0</v>
      </c>
      <c r="I118" s="4">
        <f t="shared" ca="1" si="3"/>
        <v>0</v>
      </c>
      <c r="J118" s="4">
        <f t="shared" ca="1" si="3"/>
        <v>1</v>
      </c>
      <c r="K118" s="4">
        <f t="shared" ca="1" si="3"/>
        <v>1</v>
      </c>
      <c r="L118" s="4">
        <f t="shared" ca="1" si="3"/>
        <v>0</v>
      </c>
      <c r="M118" s="4">
        <f t="shared" ca="1" si="3"/>
        <v>3</v>
      </c>
      <c r="N118" s="4">
        <f t="shared" ca="1" si="3"/>
        <v>3</v>
      </c>
      <c r="O118" s="4">
        <f t="shared" ca="1" si="3"/>
        <v>20</v>
      </c>
      <c r="P118" s="4">
        <f t="shared" ca="1" si="3"/>
        <v>24</v>
      </c>
      <c r="Q118" s="4">
        <f t="shared" ca="1" si="3"/>
        <v>35</v>
      </c>
      <c r="R118" s="6">
        <f t="shared" ca="1" si="4"/>
        <v>5.0436666666666659</v>
      </c>
    </row>
    <row r="119" spans="1:18" x14ac:dyDescent="0.25">
      <c r="A119" t="s">
        <v>7</v>
      </c>
      <c r="B119" s="1">
        <v>24</v>
      </c>
      <c r="C119" t="s">
        <v>45</v>
      </c>
      <c r="D119" s="1" t="s">
        <v>10</v>
      </c>
      <c r="E119" s="4">
        <f t="shared" ca="1" si="3"/>
        <v>3</v>
      </c>
      <c r="F119" s="4">
        <f t="shared" ca="1" si="3"/>
        <v>225</v>
      </c>
      <c r="G119" s="4">
        <f t="shared" ca="1" si="3"/>
        <v>0</v>
      </c>
      <c r="H119" s="4">
        <f t="shared" ca="1" si="3"/>
        <v>0</v>
      </c>
      <c r="I119" s="4">
        <f t="shared" ca="1" si="3"/>
        <v>1</v>
      </c>
      <c r="J119" s="4">
        <f t="shared" ca="1" si="3"/>
        <v>0</v>
      </c>
      <c r="K119" s="4">
        <f t="shared" ca="1" si="3"/>
        <v>0</v>
      </c>
      <c r="L119" s="4">
        <f t="shared" ca="1" si="3"/>
        <v>0</v>
      </c>
      <c r="M119" s="4">
        <f t="shared" ca="1" si="3"/>
        <v>4</v>
      </c>
      <c r="N119" s="4">
        <f t="shared" ca="1" si="3"/>
        <v>3</v>
      </c>
      <c r="O119" s="4">
        <f t="shared" ca="1" si="3"/>
        <v>29</v>
      </c>
      <c r="P119" s="4">
        <f t="shared" ca="1" si="3"/>
        <v>27</v>
      </c>
      <c r="Q119" s="4">
        <f t="shared" ca="1" si="3"/>
        <v>22</v>
      </c>
      <c r="R119" s="6">
        <f t="shared" ca="1" si="4"/>
        <v>4.9460000000000006</v>
      </c>
    </row>
    <row r="120" spans="1:18" x14ac:dyDescent="0.25">
      <c r="B120" s="1"/>
      <c r="C120" s="1"/>
      <c r="D120" s="1"/>
    </row>
    <row r="121" spans="1:18" x14ac:dyDescent="0.25">
      <c r="A121" s="3" t="s">
        <v>15</v>
      </c>
      <c r="B121" s="2" t="s">
        <v>1</v>
      </c>
      <c r="C121" s="8" t="s">
        <v>2</v>
      </c>
      <c r="D121" s="2" t="s">
        <v>3</v>
      </c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20</v>
      </c>
      <c r="J121" s="2" t="s">
        <v>21</v>
      </c>
      <c r="K121" s="2" t="s">
        <v>22</v>
      </c>
      <c r="L121" s="2" t="s">
        <v>23</v>
      </c>
      <c r="M121" s="2" t="s">
        <v>24</v>
      </c>
      <c r="N121" s="2" t="s">
        <v>25</v>
      </c>
      <c r="O121" s="2" t="s">
        <v>26</v>
      </c>
      <c r="P121" s="2" t="s">
        <v>27</v>
      </c>
      <c r="Q121" s="2" t="s">
        <v>29</v>
      </c>
      <c r="R121" s="5" t="s">
        <v>28</v>
      </c>
    </row>
    <row r="122" spans="1:18" x14ac:dyDescent="0.25">
      <c r="A122" t="s">
        <v>6</v>
      </c>
      <c r="B122" s="1">
        <v>27</v>
      </c>
      <c r="C122" t="s">
        <v>37</v>
      </c>
      <c r="D122" s="1" t="s">
        <v>13</v>
      </c>
      <c r="E122" s="4">
        <f ca="1">SUMIF($C$4:$R$95, $C122, E$4:E$95)</f>
        <v>1</v>
      </c>
      <c r="F122" s="4">
        <f t="shared" ref="F122:Q125" ca="1" si="5">SUMIF($C$4:$R$95, $C122, F$4:F$95)</f>
        <v>35</v>
      </c>
      <c r="G122" s="4">
        <f t="shared" ca="1" si="5"/>
        <v>0</v>
      </c>
      <c r="H122" s="4">
        <f t="shared" ca="1" si="5"/>
        <v>0</v>
      </c>
      <c r="I122" s="4">
        <f t="shared" ca="1" si="5"/>
        <v>0</v>
      </c>
      <c r="J122" s="4">
        <f t="shared" ca="1" si="5"/>
        <v>1</v>
      </c>
      <c r="K122" s="4">
        <f t="shared" ca="1" si="5"/>
        <v>0</v>
      </c>
      <c r="L122" s="4">
        <f t="shared" ca="1" si="5"/>
        <v>0</v>
      </c>
      <c r="M122" s="4">
        <f t="shared" ca="1" si="5"/>
        <v>0</v>
      </c>
      <c r="N122" s="4">
        <f t="shared" ca="1" si="5"/>
        <v>1</v>
      </c>
      <c r="O122" s="4">
        <f t="shared" ca="1" si="5"/>
        <v>2</v>
      </c>
      <c r="P122" s="4">
        <f t="shared" ca="1" si="5"/>
        <v>0</v>
      </c>
      <c r="Q122" s="4">
        <f t="shared" ca="1" si="5"/>
        <v>1</v>
      </c>
      <c r="R122" s="6">
        <f t="shared" ref="R122:R126" ca="1" si="6">SUMIF($C$4:$R$95, $C122, R$4:R$95)/$E122</f>
        <v>1.0309999999999999</v>
      </c>
    </row>
    <row r="123" spans="1:18" x14ac:dyDescent="0.25">
      <c r="A123" t="s">
        <v>6</v>
      </c>
      <c r="B123" s="1">
        <v>27</v>
      </c>
      <c r="C123" t="s">
        <v>36</v>
      </c>
      <c r="D123" s="1" t="s">
        <v>14</v>
      </c>
      <c r="E123" s="4">
        <f t="shared" ref="E123:E125" ca="1" si="7">SUMIF($C$4:$R$95, $C123, E$4:E$95)</f>
        <v>2</v>
      </c>
      <c r="F123" s="4">
        <f t="shared" ca="1" si="5"/>
        <v>90</v>
      </c>
      <c r="G123" s="4">
        <f t="shared" ca="1" si="5"/>
        <v>0</v>
      </c>
      <c r="H123" s="4">
        <f t="shared" ca="1" si="5"/>
        <v>0</v>
      </c>
      <c r="I123" s="4">
        <f t="shared" ca="1" si="5"/>
        <v>1</v>
      </c>
      <c r="J123" s="4">
        <f t="shared" ca="1" si="5"/>
        <v>1</v>
      </c>
      <c r="K123" s="4">
        <f t="shared" ca="1" si="5"/>
        <v>0</v>
      </c>
      <c r="L123" s="4">
        <f t="shared" ca="1" si="5"/>
        <v>0</v>
      </c>
      <c r="M123" s="4">
        <f t="shared" ca="1" si="5"/>
        <v>0</v>
      </c>
      <c r="N123" s="4">
        <f t="shared" ca="1" si="5"/>
        <v>5</v>
      </c>
      <c r="O123" s="4">
        <f t="shared" ca="1" si="5"/>
        <v>5</v>
      </c>
      <c r="P123" s="4">
        <f t="shared" ca="1" si="5"/>
        <v>8</v>
      </c>
      <c r="Q123" s="4">
        <f t="shared" ca="1" si="5"/>
        <v>3</v>
      </c>
      <c r="R123" s="6">
        <f t="shared" ca="1" si="6"/>
        <v>1.478</v>
      </c>
    </row>
    <row r="124" spans="1:18" x14ac:dyDescent="0.25">
      <c r="A124" t="s">
        <v>6</v>
      </c>
      <c r="B124" s="1">
        <v>26</v>
      </c>
      <c r="C124" t="s">
        <v>35</v>
      </c>
      <c r="D124" s="1" t="s">
        <v>0</v>
      </c>
      <c r="E124" s="4">
        <f t="shared" ca="1" si="7"/>
        <v>3</v>
      </c>
      <c r="F124" s="4">
        <f t="shared" ca="1" si="5"/>
        <v>120</v>
      </c>
      <c r="G124" s="4">
        <f t="shared" ca="1" si="5"/>
        <v>0</v>
      </c>
      <c r="H124" s="4">
        <f t="shared" ca="1" si="5"/>
        <v>0</v>
      </c>
      <c r="I124" s="4">
        <f t="shared" ca="1" si="5"/>
        <v>5</v>
      </c>
      <c r="J124" s="4">
        <f t="shared" ca="1" si="5"/>
        <v>5</v>
      </c>
      <c r="K124" s="4">
        <f t="shared" ca="1" si="5"/>
        <v>0</v>
      </c>
      <c r="L124" s="4">
        <f t="shared" ca="1" si="5"/>
        <v>0</v>
      </c>
      <c r="M124" s="4">
        <f t="shared" ca="1" si="5"/>
        <v>0</v>
      </c>
      <c r="N124" s="4">
        <f t="shared" ca="1" si="5"/>
        <v>1</v>
      </c>
      <c r="O124" s="4">
        <f t="shared" ca="1" si="5"/>
        <v>13</v>
      </c>
      <c r="P124" s="4">
        <f t="shared" ca="1" si="5"/>
        <v>15</v>
      </c>
      <c r="Q124" s="4">
        <f t="shared" ca="1" si="5"/>
        <v>6</v>
      </c>
      <c r="R124" s="6">
        <f t="shared" ca="1" si="6"/>
        <v>1.631</v>
      </c>
    </row>
    <row r="125" spans="1:18" x14ac:dyDescent="0.25">
      <c r="A125" t="s">
        <v>6</v>
      </c>
      <c r="B125" s="1">
        <v>25</v>
      </c>
      <c r="C125" t="s">
        <v>34</v>
      </c>
      <c r="D125" s="1" t="s">
        <v>10</v>
      </c>
      <c r="E125" s="4">
        <f t="shared" ca="1" si="7"/>
        <v>2</v>
      </c>
      <c r="F125" s="4">
        <f t="shared" ca="1" si="5"/>
        <v>90</v>
      </c>
      <c r="G125" s="4">
        <f t="shared" ca="1" si="5"/>
        <v>0</v>
      </c>
      <c r="H125" s="4">
        <f t="shared" ca="1" si="5"/>
        <v>0</v>
      </c>
      <c r="I125" s="4">
        <f t="shared" ca="1" si="5"/>
        <v>1</v>
      </c>
      <c r="J125" s="4">
        <f t="shared" ca="1" si="5"/>
        <v>0</v>
      </c>
      <c r="K125" s="4">
        <f t="shared" ca="1" si="5"/>
        <v>0</v>
      </c>
      <c r="L125" s="4">
        <f t="shared" ca="1" si="5"/>
        <v>0</v>
      </c>
      <c r="M125" s="4">
        <f t="shared" ca="1" si="5"/>
        <v>2</v>
      </c>
      <c r="N125" s="4">
        <f t="shared" ca="1" si="5"/>
        <v>5</v>
      </c>
      <c r="O125" s="4">
        <f t="shared" ca="1" si="5"/>
        <v>1</v>
      </c>
      <c r="P125" s="4">
        <f t="shared" ca="1" si="5"/>
        <v>17</v>
      </c>
      <c r="Q125" s="4">
        <f t="shared" ca="1" si="5"/>
        <v>2</v>
      </c>
      <c r="R125" s="6">
        <f t="shared" ca="1" si="6"/>
        <v>1.3494999999999999</v>
      </c>
    </row>
    <row r="126" spans="1:18" x14ac:dyDescent="0.25">
      <c r="A126" t="s">
        <v>6</v>
      </c>
      <c r="B126" s="1">
        <v>24</v>
      </c>
      <c r="C126" t="s">
        <v>33</v>
      </c>
      <c r="D126" s="1" t="s">
        <v>10</v>
      </c>
      <c r="E126" s="4">
        <f ca="1">SUMIF($C$4:$R$95, $C126, E$4:E$95)</f>
        <v>3</v>
      </c>
      <c r="F126" s="4">
        <f t="shared" ref="F126:Q126" ca="1" si="8">SUMIF($C$4:$R$95, $C126, F$4:F$95)</f>
        <v>163</v>
      </c>
      <c r="G126" s="4">
        <f t="shared" ca="1" si="8"/>
        <v>1</v>
      </c>
      <c r="H126" s="4">
        <f t="shared" ca="1" si="8"/>
        <v>0</v>
      </c>
      <c r="I126" s="4">
        <f t="shared" ca="1" si="8"/>
        <v>4</v>
      </c>
      <c r="J126" s="4">
        <f t="shared" ca="1" si="8"/>
        <v>4</v>
      </c>
      <c r="K126" s="4">
        <f t="shared" ca="1" si="8"/>
        <v>1</v>
      </c>
      <c r="L126" s="4">
        <f t="shared" ca="1" si="8"/>
        <v>1</v>
      </c>
      <c r="M126" s="4">
        <f t="shared" ca="1" si="8"/>
        <v>7</v>
      </c>
      <c r="N126" s="4">
        <f t="shared" ca="1" si="8"/>
        <v>4</v>
      </c>
      <c r="O126" s="4">
        <f t="shared" ca="1" si="8"/>
        <v>16</v>
      </c>
      <c r="P126" s="4">
        <f t="shared" ca="1" si="8"/>
        <v>16</v>
      </c>
      <c r="Q126" s="4">
        <f t="shared" ca="1" si="8"/>
        <v>10</v>
      </c>
      <c r="R126" s="6">
        <f t="shared" ca="1" si="6"/>
        <v>1.5116666666666667</v>
      </c>
    </row>
  </sheetData>
  <pageMargins left="0.7" right="0.7" top="0.75" bottom="0.75" header="0.3" footer="0.3"/>
  <pageSetup paperSize="9" orientation="portrait" horizontalDpi="4294967295" verticalDpi="4294967295" r:id="rId1"/>
  <webPublishItems count="1">
    <webPublishItem id="5146" divId="me_sco_stats_5146" sourceType="range" sourceRef="A99:R126" destinationFile="J:\data\brejk\clanky\me_40_sco\me_sco_stat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Votava</dc:creator>
  <cp:lastModifiedBy>Petr Votava</cp:lastModifiedBy>
  <dcterms:created xsi:type="dcterms:W3CDTF">2015-07-29T08:55:18Z</dcterms:created>
  <dcterms:modified xsi:type="dcterms:W3CDTF">2015-07-30T08:09:55Z</dcterms:modified>
</cp:coreProperties>
</file>