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6925"/>
  <workbookPr defaultThemeVersion="153222"/>
  <mc:AlternateContent xmlns:mc="http://schemas.openxmlformats.org/markup-compatibility/2006">
    <mc:Choice Requires="x15">
      <x15ac:absPath xmlns:x15ac="http://schemas.microsoft.com/office/spreadsheetml/2010/11/ac" url="K:\data\brejk\clanky\me_44\"/>
    </mc:Choice>
  </mc:AlternateContent>
  <bookViews>
    <workbookView xWindow="0" yWindow="0" windowWidth="28800" windowHeight="12435"/>
  </bookViews>
  <sheets>
    <sheet name="hraci" sheetId="1" r:id="rId1"/>
    <sheet name="tym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11" i="2" l="1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R110" i="1"/>
  <c r="Q110" i="1"/>
  <c r="P110" i="1"/>
  <c r="O110" i="1"/>
  <c r="R108" i="1"/>
  <c r="P108" i="1"/>
  <c r="Q108" i="1"/>
  <c r="O108" i="1"/>
  <c r="R80" i="1"/>
  <c r="Q80" i="1"/>
  <c r="P80" i="1"/>
  <c r="O80" i="1"/>
  <c r="R52" i="1"/>
  <c r="Q52" i="1"/>
  <c r="P52" i="1"/>
  <c r="O52" i="1"/>
  <c r="R26" i="1"/>
  <c r="Q26" i="1"/>
  <c r="P26" i="1"/>
  <c r="O26" i="1"/>
  <c r="Q144" i="1" l="1"/>
  <c r="P144" i="1"/>
  <c r="O144" i="1"/>
  <c r="N144" i="1"/>
  <c r="M144" i="1"/>
  <c r="L144" i="1"/>
  <c r="K144" i="1"/>
  <c r="J144" i="1"/>
  <c r="I144" i="1"/>
  <c r="H144" i="1"/>
  <c r="G144" i="1"/>
  <c r="F144" i="1"/>
  <c r="E144" i="1"/>
  <c r="R144" i="1" s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R143" i="1" s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R142" i="1" s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R141" i="1" s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R135" i="1" s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R134" i="1" s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R133" i="1" s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R132" i="1" s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R131" i="1" s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R130" i="1" s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R129" i="1" s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R125" i="1" s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R124" i="1" s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R123" i="1" s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R122" i="1" s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R121" i="1" s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R117" i="1" s="1"/>
</calcChain>
</file>

<file path=xl/sharedStrings.xml><?xml version="1.0" encoding="utf-8"?>
<sst xmlns="http://schemas.openxmlformats.org/spreadsheetml/2006/main" count="579" uniqueCount="95">
  <si>
    <t>V</t>
  </si>
  <si>
    <t>Jméno</t>
  </si>
  <si>
    <t>Tým</t>
  </si>
  <si>
    <t>G</t>
  </si>
  <si>
    <t>O</t>
  </si>
  <si>
    <t>U</t>
  </si>
  <si>
    <t>Z</t>
  </si>
  <si>
    <t>Post</t>
  </si>
  <si>
    <t>utk</t>
  </si>
  <si>
    <t>min</t>
  </si>
  <si>
    <t>goly</t>
  </si>
  <si>
    <t>asist</t>
  </si>
  <si>
    <t>střely +</t>
  </si>
  <si>
    <t>střely -</t>
  </si>
  <si>
    <t>žk</t>
  </si>
  <si>
    <t>čk</t>
  </si>
  <si>
    <t>fl</t>
  </si>
  <si>
    <t>fn</t>
  </si>
  <si>
    <t>souboj +</t>
  </si>
  <si>
    <t>souboj -</t>
  </si>
  <si>
    <t>znamka</t>
  </si>
  <si>
    <t>přihrávky</t>
  </si>
  <si>
    <t>TOTAL</t>
  </si>
  <si>
    <t>DANSKO</t>
  </si>
  <si>
    <t>NEMECKO</t>
  </si>
  <si>
    <t>datum</t>
  </si>
  <si>
    <t>souper</t>
  </si>
  <si>
    <t>gv</t>
  </si>
  <si>
    <t>go</t>
  </si>
  <si>
    <t>gvp</t>
  </si>
  <si>
    <t>gop</t>
  </si>
  <si>
    <t>7.6.2015</t>
  </si>
  <si>
    <t>Česká republika</t>
  </si>
  <si>
    <t>snbv</t>
  </si>
  <si>
    <t>snbi</t>
  </si>
  <si>
    <t>smv</t>
  </si>
  <si>
    <t>smi</t>
  </si>
  <si>
    <t>rkv</t>
  </si>
  <si>
    <t>rki</t>
  </si>
  <si>
    <t>zk</t>
  </si>
  <si>
    <t>ck</t>
  </si>
  <si>
    <t>dm</t>
  </si>
  <si>
    <t>navsteva</t>
  </si>
  <si>
    <t>prihravka</t>
  </si>
  <si>
    <t>sok</t>
  </si>
  <si>
    <t>sko</t>
  </si>
  <si>
    <t>pru znamka</t>
  </si>
  <si>
    <t>21.6.2015</t>
  </si>
  <si>
    <t>Itálie</t>
  </si>
  <si>
    <t>5.7.2015</t>
  </si>
  <si>
    <t>Turecko</t>
  </si>
  <si>
    <t>19.7.2015</t>
  </si>
  <si>
    <t>Anglie</t>
  </si>
  <si>
    <t>23.8.2015</t>
  </si>
  <si>
    <t>Dánsko</t>
  </si>
  <si>
    <t>6.9.2015</t>
  </si>
  <si>
    <t>Německo</t>
  </si>
  <si>
    <t>AVG</t>
  </si>
  <si>
    <t>Scott Cowan</t>
  </si>
  <si>
    <t>Nigel Geggan</t>
  </si>
  <si>
    <t>Howard Boyd</t>
  </si>
  <si>
    <t>Alistair Caldwell</t>
  </si>
  <si>
    <t>Ian Campbell</t>
  </si>
  <si>
    <t>Peter McAulay</t>
  </si>
  <si>
    <t>Barry McCay</t>
  </si>
  <si>
    <t>Maurice Harty</t>
  </si>
  <si>
    <t>Colin Meldrum</t>
  </si>
  <si>
    <t>Billy McNeill</t>
  </si>
  <si>
    <t>Maurice Aitken</t>
  </si>
  <si>
    <t>James Urquart</t>
  </si>
  <si>
    <t>Mathew McKenzie</t>
  </si>
  <si>
    <t>POLSKO</t>
  </si>
  <si>
    <t>Sean Robb</t>
  </si>
  <si>
    <t>Colin Kinniburgh</t>
  </si>
  <si>
    <t>Sean Duffy</t>
  </si>
  <si>
    <t>Eric Pattison</t>
  </si>
  <si>
    <t>FRANCIE</t>
  </si>
  <si>
    <t>FC Casterly Rock</t>
  </si>
  <si>
    <t>Charles Soutar</t>
  </si>
  <si>
    <t>FC Petrov</t>
  </si>
  <si>
    <t>FC Protein</t>
  </si>
  <si>
    <t>FC Nazobaní hoši</t>
  </si>
  <si>
    <t>Ac Vainqueurs Hradec Králové</t>
  </si>
  <si>
    <t>Billy Taylor</t>
  </si>
  <si>
    <t>Targaryen Dragons</t>
  </si>
  <si>
    <t>FC Lego Kodaň</t>
  </si>
  <si>
    <t>Gremio de Porto Alegre</t>
  </si>
  <si>
    <t>Guarani</t>
  </si>
  <si>
    <t>Ivor Caldwell</t>
  </si>
  <si>
    <t>FC Stuttgarter Kickers</t>
  </si>
  <si>
    <t>Graeme Bale</t>
  </si>
  <si>
    <t>ACS Caledonia Glasgow.dpc</t>
  </si>
  <si>
    <t>FC Nová Ves</t>
  </si>
  <si>
    <t>FC Baníček</t>
  </si>
  <si>
    <t>1. FC Myšáci Hradec Králové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</si>
</sst>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49" fontId="3" fillId="0" borderId="0" xfId="0" applyNumberFormat="1" applyFont="1"/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144"/>
  <sheetViews>
    <sheetView tabSelected="1" topLeftCell="A112" zoomScale="90" zoomScaleNormal="90" workbookViewId="0">
      <selection activeCell="A114" sqref="A114"/>
    </sheetView>
  </sheetViews>
  <sheetFormatPr defaultRowHeight="15" x14ac:dyDescent="0.25"/>
  <cols>
    <col min="1" max="1" width="4.85546875" bestFit="1" customWidth="1"/>
    <col min="2" max="2" width="3" bestFit="1" customWidth="1"/>
    <col min="3" max="3" width="18.140625" style="9" bestFit="1" customWidth="1"/>
    <col min="4" max="4" width="28.140625" customWidth="1"/>
    <col min="5" max="16" width="9.140625" style="4"/>
    <col min="17" max="17" width="12.42578125" style="4" customWidth="1"/>
    <col min="18" max="18" width="9.140625" style="6"/>
  </cols>
  <sheetData>
    <row r="2" spans="1:18" ht="23.25" x14ac:dyDescent="0.35">
      <c r="C2" s="7" t="s">
        <v>23</v>
      </c>
    </row>
    <row r="3" spans="1:18" x14ac:dyDescent="0.25">
      <c r="A3" s="3" t="s">
        <v>7</v>
      </c>
      <c r="B3" s="2" t="s">
        <v>0</v>
      </c>
      <c r="C3" s="8" t="s">
        <v>1</v>
      </c>
      <c r="D3" s="2" t="s">
        <v>2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  <c r="K3" s="2" t="s">
        <v>14</v>
      </c>
      <c r="L3" s="2" t="s">
        <v>15</v>
      </c>
      <c r="M3" s="2" t="s">
        <v>16</v>
      </c>
      <c r="N3" s="2" t="s">
        <v>17</v>
      </c>
      <c r="O3" s="2" t="s">
        <v>18</v>
      </c>
      <c r="P3" s="2" t="s">
        <v>19</v>
      </c>
      <c r="Q3" s="2" t="s">
        <v>21</v>
      </c>
      <c r="R3" s="5" t="s">
        <v>20</v>
      </c>
    </row>
    <row r="4" spans="1:18" x14ac:dyDescent="0.25">
      <c r="A4" t="s">
        <v>3</v>
      </c>
      <c r="B4" s="1"/>
      <c r="C4" t="s">
        <v>58</v>
      </c>
      <c r="D4" s="1"/>
      <c r="E4" s="4">
        <v>1</v>
      </c>
      <c r="F4" s="4">
        <v>90</v>
      </c>
      <c r="G4" s="4">
        <v>0</v>
      </c>
      <c r="H4" s="4">
        <v>0</v>
      </c>
      <c r="I4" s="4">
        <v>3</v>
      </c>
      <c r="J4" s="4">
        <v>3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1</v>
      </c>
      <c r="R4" s="6">
        <v>14.688000000000001</v>
      </c>
    </row>
    <row r="5" spans="1:18" ht="15" customHeight="1" x14ac:dyDescent="0.25">
      <c r="B5" s="1"/>
      <c r="C5" s="1"/>
      <c r="D5" s="1"/>
    </row>
    <row r="6" spans="1:18" x14ac:dyDescent="0.25">
      <c r="A6" s="3" t="s">
        <v>7</v>
      </c>
      <c r="B6" s="2" t="s">
        <v>0</v>
      </c>
      <c r="C6" s="8" t="s">
        <v>1</v>
      </c>
      <c r="D6" s="2" t="s">
        <v>2</v>
      </c>
      <c r="E6" s="2" t="s">
        <v>8</v>
      </c>
      <c r="F6" s="2" t="s">
        <v>9</v>
      </c>
      <c r="G6" s="2" t="s">
        <v>10</v>
      </c>
      <c r="H6" s="2" t="s">
        <v>11</v>
      </c>
      <c r="I6" s="2" t="s">
        <v>12</v>
      </c>
      <c r="J6" s="2" t="s">
        <v>13</v>
      </c>
      <c r="K6" s="2" t="s">
        <v>14</v>
      </c>
      <c r="L6" s="2" t="s">
        <v>15</v>
      </c>
      <c r="M6" s="2" t="s">
        <v>16</v>
      </c>
      <c r="N6" s="2" t="s">
        <v>17</v>
      </c>
      <c r="O6" s="2" t="s">
        <v>18</v>
      </c>
      <c r="P6" s="2" t="s">
        <v>19</v>
      </c>
      <c r="Q6" s="2" t="s">
        <v>21</v>
      </c>
      <c r="R6" s="5" t="s">
        <v>20</v>
      </c>
    </row>
    <row r="7" spans="1:18" x14ac:dyDescent="0.25">
      <c r="A7" t="s">
        <v>4</v>
      </c>
      <c r="B7" s="1"/>
      <c r="C7" t="s">
        <v>59</v>
      </c>
      <c r="D7" s="1"/>
      <c r="E7" s="4">
        <v>1</v>
      </c>
      <c r="F7" s="4">
        <v>90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1</v>
      </c>
      <c r="P7" s="4">
        <v>3</v>
      </c>
      <c r="Q7" s="4">
        <v>1</v>
      </c>
      <c r="R7" s="6">
        <v>7.335</v>
      </c>
    </row>
    <row r="8" spans="1:18" x14ac:dyDescent="0.25">
      <c r="A8" t="s">
        <v>4</v>
      </c>
      <c r="B8" s="1"/>
      <c r="C8" t="s">
        <v>60</v>
      </c>
      <c r="D8" s="1"/>
      <c r="E8" s="4">
        <v>1</v>
      </c>
      <c r="F8" s="4">
        <v>45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1</v>
      </c>
      <c r="N8" s="4">
        <v>1</v>
      </c>
      <c r="O8" s="4">
        <v>4</v>
      </c>
      <c r="P8" s="4">
        <v>1</v>
      </c>
      <c r="Q8" s="4">
        <v>2</v>
      </c>
      <c r="R8" s="6">
        <v>7.718</v>
      </c>
    </row>
    <row r="9" spans="1:18" x14ac:dyDescent="0.25">
      <c r="A9" t="s">
        <v>4</v>
      </c>
      <c r="B9" s="1"/>
      <c r="C9" t="s">
        <v>61</v>
      </c>
      <c r="D9" s="1"/>
      <c r="E9" s="4">
        <v>1</v>
      </c>
      <c r="F9" s="4">
        <v>90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1</v>
      </c>
      <c r="O9" s="4">
        <v>3</v>
      </c>
      <c r="P9" s="4">
        <v>1</v>
      </c>
      <c r="Q9" s="4">
        <v>3</v>
      </c>
      <c r="R9" s="6">
        <v>8.2629999999999999</v>
      </c>
    </row>
    <row r="10" spans="1:18" x14ac:dyDescent="0.25">
      <c r="A10" t="s">
        <v>4</v>
      </c>
      <c r="B10" s="1"/>
      <c r="C10" t="s">
        <v>62</v>
      </c>
      <c r="D10" s="1"/>
      <c r="E10" s="4">
        <v>1</v>
      </c>
      <c r="F10" s="4">
        <v>45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3</v>
      </c>
      <c r="N10" s="4">
        <v>1</v>
      </c>
      <c r="O10" s="4">
        <v>7</v>
      </c>
      <c r="P10" s="4">
        <v>5</v>
      </c>
      <c r="Q10" s="4">
        <v>3</v>
      </c>
      <c r="R10" s="6">
        <v>7.8369999999999997</v>
      </c>
    </row>
    <row r="11" spans="1:18" x14ac:dyDescent="0.25">
      <c r="B11" s="1"/>
      <c r="C11"/>
      <c r="D11" s="1"/>
    </row>
    <row r="12" spans="1:18" x14ac:dyDescent="0.25">
      <c r="B12" s="1"/>
      <c r="C12"/>
      <c r="D12" s="1"/>
    </row>
    <row r="13" spans="1:18" x14ac:dyDescent="0.25">
      <c r="A13" s="3" t="s">
        <v>7</v>
      </c>
      <c r="B13" s="2" t="s">
        <v>0</v>
      </c>
      <c r="C13" s="8" t="s">
        <v>1</v>
      </c>
      <c r="D13" s="2" t="s">
        <v>2</v>
      </c>
      <c r="E13" s="2" t="s">
        <v>8</v>
      </c>
      <c r="F13" s="2" t="s">
        <v>9</v>
      </c>
      <c r="G13" s="2" t="s">
        <v>10</v>
      </c>
      <c r="H13" s="2" t="s">
        <v>11</v>
      </c>
      <c r="I13" s="2" t="s">
        <v>12</v>
      </c>
      <c r="J13" s="2" t="s">
        <v>13</v>
      </c>
      <c r="K13" s="2" t="s">
        <v>14</v>
      </c>
      <c r="L13" s="2" t="s">
        <v>15</v>
      </c>
      <c r="M13" s="2" t="s">
        <v>16</v>
      </c>
      <c r="N13" s="2" t="s">
        <v>17</v>
      </c>
      <c r="O13" s="2" t="s">
        <v>18</v>
      </c>
      <c r="P13" s="2" t="s">
        <v>19</v>
      </c>
      <c r="Q13" s="2" t="s">
        <v>21</v>
      </c>
      <c r="R13" s="5" t="s">
        <v>20</v>
      </c>
    </row>
    <row r="14" spans="1:18" x14ac:dyDescent="0.25">
      <c r="A14" t="s">
        <v>6</v>
      </c>
      <c r="B14" s="1"/>
      <c r="C14" t="s">
        <v>63</v>
      </c>
      <c r="D14" s="1"/>
      <c r="E14" s="4">
        <v>1</v>
      </c>
      <c r="F14" s="4">
        <v>90</v>
      </c>
      <c r="G14" s="4">
        <v>0</v>
      </c>
      <c r="H14" s="4">
        <v>0</v>
      </c>
      <c r="I14" s="4">
        <v>0</v>
      </c>
      <c r="J14" s="4">
        <v>1</v>
      </c>
      <c r="K14" s="4">
        <v>0</v>
      </c>
      <c r="L14" s="4">
        <v>0</v>
      </c>
      <c r="M14" s="4">
        <v>1</v>
      </c>
      <c r="N14" s="4">
        <v>0</v>
      </c>
      <c r="O14" s="4">
        <v>9</v>
      </c>
      <c r="P14" s="4">
        <v>7</v>
      </c>
      <c r="Q14" s="4">
        <v>10</v>
      </c>
      <c r="R14" s="6">
        <v>11.387</v>
      </c>
    </row>
    <row r="15" spans="1:18" x14ac:dyDescent="0.25">
      <c r="A15" t="s">
        <v>6</v>
      </c>
      <c r="B15" s="1"/>
      <c r="C15" t="s">
        <v>64</v>
      </c>
      <c r="D15" s="1"/>
      <c r="E15" s="4">
        <v>1</v>
      </c>
      <c r="F15" s="4">
        <v>90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2</v>
      </c>
      <c r="N15" s="4">
        <v>1</v>
      </c>
      <c r="O15" s="4">
        <v>11</v>
      </c>
      <c r="P15" s="4">
        <v>4</v>
      </c>
      <c r="Q15" s="4">
        <v>8</v>
      </c>
      <c r="R15" s="6">
        <v>8.2780000000000005</v>
      </c>
    </row>
    <row r="16" spans="1:18" x14ac:dyDescent="0.25">
      <c r="A16" t="s">
        <v>6</v>
      </c>
      <c r="B16" s="1"/>
      <c r="C16" t="s">
        <v>65</v>
      </c>
      <c r="D16" s="1"/>
      <c r="E16" s="4">
        <v>1</v>
      </c>
      <c r="F16" s="4">
        <v>90</v>
      </c>
      <c r="G16" s="4">
        <v>0</v>
      </c>
      <c r="H16" s="4">
        <v>0</v>
      </c>
      <c r="I16" s="4">
        <v>0</v>
      </c>
      <c r="J16" s="4">
        <v>1</v>
      </c>
      <c r="K16" s="4">
        <v>1</v>
      </c>
      <c r="L16" s="4">
        <v>0</v>
      </c>
      <c r="M16" s="4">
        <v>2</v>
      </c>
      <c r="N16" s="4">
        <v>1</v>
      </c>
      <c r="O16" s="4">
        <v>7</v>
      </c>
      <c r="P16" s="4">
        <v>7</v>
      </c>
      <c r="Q16" s="4">
        <v>9</v>
      </c>
      <c r="R16" s="6">
        <v>9.4870000000000001</v>
      </c>
    </row>
    <row r="17" spans="1:18" x14ac:dyDescent="0.25">
      <c r="A17" t="s">
        <v>6</v>
      </c>
      <c r="B17" s="1"/>
      <c r="C17" t="s">
        <v>66</v>
      </c>
      <c r="D17" s="1"/>
      <c r="E17" s="4">
        <v>1</v>
      </c>
      <c r="F17" s="4">
        <v>90</v>
      </c>
      <c r="G17" s="4">
        <v>0</v>
      </c>
      <c r="H17" s="4">
        <v>0</v>
      </c>
      <c r="I17" s="4">
        <v>0</v>
      </c>
      <c r="J17" s="4">
        <v>1</v>
      </c>
      <c r="K17" s="4">
        <v>0</v>
      </c>
      <c r="L17" s="4">
        <v>0</v>
      </c>
      <c r="M17" s="4">
        <v>1</v>
      </c>
      <c r="N17" s="4">
        <v>1</v>
      </c>
      <c r="O17" s="4">
        <v>14</v>
      </c>
      <c r="P17" s="4">
        <v>9</v>
      </c>
      <c r="Q17" s="4">
        <v>10</v>
      </c>
      <c r="R17" s="6">
        <v>9.1869999999999994</v>
      </c>
    </row>
    <row r="18" spans="1:18" x14ac:dyDescent="0.25">
      <c r="A18" t="s">
        <v>6</v>
      </c>
      <c r="B18" s="1"/>
      <c r="C18" t="s">
        <v>67</v>
      </c>
      <c r="D18" s="1"/>
      <c r="E18" s="4">
        <v>1</v>
      </c>
      <c r="F18" s="4">
        <v>90</v>
      </c>
      <c r="G18" s="4">
        <v>0</v>
      </c>
      <c r="H18" s="4">
        <v>0</v>
      </c>
      <c r="I18" s="4">
        <v>0</v>
      </c>
      <c r="J18" s="4">
        <v>1</v>
      </c>
      <c r="K18" s="4">
        <v>0</v>
      </c>
      <c r="L18" s="4">
        <v>0</v>
      </c>
      <c r="M18" s="4">
        <v>2</v>
      </c>
      <c r="N18" s="4">
        <v>3</v>
      </c>
      <c r="O18" s="4">
        <v>9</v>
      </c>
      <c r="P18" s="4">
        <v>9</v>
      </c>
      <c r="Q18" s="4">
        <v>15</v>
      </c>
      <c r="R18" s="6">
        <v>9.9879999999999995</v>
      </c>
    </row>
    <row r="19" spans="1:18" x14ac:dyDescent="0.25">
      <c r="B19" s="1"/>
      <c r="C19"/>
      <c r="D19" s="1"/>
    </row>
    <row r="20" spans="1:18" x14ac:dyDescent="0.25">
      <c r="B20" s="1"/>
      <c r="C20"/>
      <c r="D20" s="1"/>
    </row>
    <row r="21" spans="1:18" x14ac:dyDescent="0.25">
      <c r="A21" s="3" t="s">
        <v>7</v>
      </c>
      <c r="B21" s="2" t="s">
        <v>0</v>
      </c>
      <c r="C21" s="8" t="s">
        <v>1</v>
      </c>
      <c r="D21" s="2" t="s">
        <v>2</v>
      </c>
      <c r="E21" s="2" t="s">
        <v>8</v>
      </c>
      <c r="F21" s="2" t="s">
        <v>9</v>
      </c>
      <c r="G21" s="2" t="s">
        <v>10</v>
      </c>
      <c r="H21" s="2" t="s">
        <v>11</v>
      </c>
      <c r="I21" s="2" t="s">
        <v>12</v>
      </c>
      <c r="J21" s="2" t="s">
        <v>13</v>
      </c>
      <c r="K21" s="2" t="s">
        <v>14</v>
      </c>
      <c r="L21" s="2" t="s">
        <v>15</v>
      </c>
      <c r="M21" s="2" t="s">
        <v>16</v>
      </c>
      <c r="N21" s="2" t="s">
        <v>17</v>
      </c>
      <c r="O21" s="2" t="s">
        <v>18</v>
      </c>
      <c r="P21" s="2" t="s">
        <v>19</v>
      </c>
      <c r="Q21" s="2" t="s">
        <v>21</v>
      </c>
      <c r="R21" s="5" t="s">
        <v>20</v>
      </c>
    </row>
    <row r="22" spans="1:18" x14ac:dyDescent="0.25">
      <c r="A22" t="s">
        <v>5</v>
      </c>
      <c r="B22" s="1"/>
      <c r="C22" t="s">
        <v>68</v>
      </c>
      <c r="D22" s="1"/>
      <c r="E22" s="4">
        <v>1</v>
      </c>
      <c r="F22" s="4">
        <v>45</v>
      </c>
      <c r="G22" s="4">
        <v>0</v>
      </c>
      <c r="H22" s="4">
        <v>0</v>
      </c>
      <c r="I22" s="4">
        <v>0</v>
      </c>
      <c r="J22" s="4">
        <v>1</v>
      </c>
      <c r="K22" s="4">
        <v>0</v>
      </c>
      <c r="L22" s="4">
        <v>0</v>
      </c>
      <c r="M22" s="4">
        <v>3</v>
      </c>
      <c r="N22" s="4">
        <v>0</v>
      </c>
      <c r="O22" s="4">
        <v>6</v>
      </c>
      <c r="P22" s="4">
        <v>3</v>
      </c>
      <c r="Q22" s="4">
        <v>7</v>
      </c>
      <c r="R22" s="6">
        <v>1.05</v>
      </c>
    </row>
    <row r="23" spans="1:18" x14ac:dyDescent="0.25">
      <c r="A23" t="s">
        <v>5</v>
      </c>
      <c r="B23" s="1"/>
      <c r="C23" t="s">
        <v>69</v>
      </c>
      <c r="D23" s="1"/>
      <c r="E23" s="4">
        <v>1</v>
      </c>
      <c r="F23" s="4">
        <v>90</v>
      </c>
      <c r="G23" s="4">
        <v>2</v>
      </c>
      <c r="H23" s="4">
        <v>1</v>
      </c>
      <c r="I23" s="4">
        <v>2</v>
      </c>
      <c r="J23" s="4">
        <v>0</v>
      </c>
      <c r="K23" s="4">
        <v>0</v>
      </c>
      <c r="L23" s="4">
        <v>0</v>
      </c>
      <c r="M23" s="4">
        <v>1</v>
      </c>
      <c r="N23" s="4">
        <v>1</v>
      </c>
      <c r="O23" s="4">
        <v>10</v>
      </c>
      <c r="P23" s="4">
        <v>10</v>
      </c>
      <c r="Q23" s="4">
        <v>5</v>
      </c>
      <c r="R23" s="6">
        <v>9.7880000000000003</v>
      </c>
    </row>
    <row r="24" spans="1:18" x14ac:dyDescent="0.25">
      <c r="A24" t="s">
        <v>5</v>
      </c>
      <c r="B24" s="1"/>
      <c r="C24" t="s">
        <v>70</v>
      </c>
      <c r="D24" s="1"/>
      <c r="E24" s="4">
        <v>1</v>
      </c>
      <c r="F24" s="4">
        <v>45</v>
      </c>
      <c r="G24" s="4">
        <v>1</v>
      </c>
      <c r="H24" s="4">
        <v>0</v>
      </c>
      <c r="I24" s="4">
        <v>1</v>
      </c>
      <c r="J24" s="4">
        <v>2</v>
      </c>
      <c r="K24" s="4">
        <v>0</v>
      </c>
      <c r="L24" s="4">
        <v>0</v>
      </c>
      <c r="M24" s="4">
        <v>1</v>
      </c>
      <c r="N24" s="4">
        <v>1</v>
      </c>
      <c r="O24" s="4">
        <v>5</v>
      </c>
      <c r="P24" s="4">
        <v>4</v>
      </c>
      <c r="Q24" s="4">
        <v>2</v>
      </c>
      <c r="R24" s="6">
        <v>4.5810000000000004</v>
      </c>
    </row>
    <row r="25" spans="1:18" x14ac:dyDescent="0.25">
      <c r="B25" s="1"/>
      <c r="C25"/>
      <c r="D25" s="1"/>
    </row>
    <row r="26" spans="1:18" x14ac:dyDescent="0.25">
      <c r="A26" t="s">
        <v>22</v>
      </c>
      <c r="O26" s="10">
        <f>SUM(O4:O25)</f>
        <v>86</v>
      </c>
      <c r="P26" s="10">
        <f>SUM(P4:P25)</f>
        <v>63</v>
      </c>
      <c r="Q26" s="10">
        <f>SUM(Q4:Q25)</f>
        <v>76</v>
      </c>
      <c r="R26" s="11">
        <f>AVERAGE(R4:R25)</f>
        <v>8.4297692307692298</v>
      </c>
    </row>
    <row r="28" spans="1:18" ht="23.25" x14ac:dyDescent="0.35">
      <c r="C28" s="7" t="s">
        <v>71</v>
      </c>
    </row>
    <row r="29" spans="1:18" x14ac:dyDescent="0.25">
      <c r="A29" s="3" t="s">
        <v>7</v>
      </c>
      <c r="B29" s="2" t="s">
        <v>0</v>
      </c>
      <c r="C29" s="8" t="s">
        <v>1</v>
      </c>
      <c r="D29" s="2" t="s">
        <v>2</v>
      </c>
      <c r="E29" s="2" t="s">
        <v>8</v>
      </c>
      <c r="F29" s="2" t="s">
        <v>9</v>
      </c>
      <c r="G29" s="2" t="s">
        <v>10</v>
      </c>
      <c r="H29" s="2" t="s">
        <v>11</v>
      </c>
      <c r="I29" s="2" t="s">
        <v>12</v>
      </c>
      <c r="J29" s="2" t="s">
        <v>13</v>
      </c>
      <c r="K29" s="2" t="s">
        <v>14</v>
      </c>
      <c r="L29" s="2" t="s">
        <v>15</v>
      </c>
      <c r="M29" s="2" t="s">
        <v>16</v>
      </c>
      <c r="N29" s="2" t="s">
        <v>17</v>
      </c>
      <c r="O29" s="2" t="s">
        <v>18</v>
      </c>
      <c r="P29" s="2" t="s">
        <v>19</v>
      </c>
      <c r="Q29" s="2" t="s">
        <v>21</v>
      </c>
      <c r="R29" s="5" t="s">
        <v>20</v>
      </c>
    </row>
    <row r="30" spans="1:18" x14ac:dyDescent="0.25">
      <c r="A30" t="s">
        <v>3</v>
      </c>
      <c r="B30" s="1"/>
      <c r="C30" t="s">
        <v>58</v>
      </c>
      <c r="D30" s="1"/>
      <c r="E30" s="4">
        <v>1</v>
      </c>
      <c r="F30" s="4">
        <v>90</v>
      </c>
      <c r="G30" s="4">
        <v>3</v>
      </c>
      <c r="H30" s="4">
        <v>0</v>
      </c>
      <c r="I30" s="4">
        <v>6</v>
      </c>
      <c r="J30" s="4">
        <v>2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2</v>
      </c>
      <c r="Q30" s="4">
        <v>0</v>
      </c>
      <c r="R30" s="6">
        <v>-0.77500000000000002</v>
      </c>
    </row>
    <row r="31" spans="1:18" x14ac:dyDescent="0.25">
      <c r="B31" s="1"/>
      <c r="C31"/>
      <c r="D31" s="1"/>
    </row>
    <row r="32" spans="1:18" x14ac:dyDescent="0.25">
      <c r="A32" s="3" t="s">
        <v>7</v>
      </c>
      <c r="B32" s="2" t="s">
        <v>0</v>
      </c>
      <c r="C32" s="8" t="s">
        <v>1</v>
      </c>
      <c r="D32" s="2" t="s">
        <v>2</v>
      </c>
      <c r="E32" s="2" t="s">
        <v>8</v>
      </c>
      <c r="F32" s="2" t="s">
        <v>9</v>
      </c>
      <c r="G32" s="2" t="s">
        <v>10</v>
      </c>
      <c r="H32" s="2" t="s">
        <v>11</v>
      </c>
      <c r="I32" s="2" t="s">
        <v>12</v>
      </c>
      <c r="J32" s="2" t="s">
        <v>13</v>
      </c>
      <c r="K32" s="2" t="s">
        <v>14</v>
      </c>
      <c r="L32" s="2" t="s">
        <v>15</v>
      </c>
      <c r="M32" s="2" t="s">
        <v>16</v>
      </c>
      <c r="N32" s="2" t="s">
        <v>17</v>
      </c>
      <c r="O32" s="2" t="s">
        <v>18</v>
      </c>
      <c r="P32" s="2" t="s">
        <v>19</v>
      </c>
      <c r="Q32" s="2" t="s">
        <v>21</v>
      </c>
      <c r="R32" s="5" t="s">
        <v>20</v>
      </c>
    </row>
    <row r="33" spans="1:18" x14ac:dyDescent="0.25">
      <c r="A33" t="s">
        <v>4</v>
      </c>
      <c r="B33" s="1"/>
      <c r="C33" t="s">
        <v>60</v>
      </c>
      <c r="D33" s="1"/>
      <c r="E33" s="4">
        <v>1</v>
      </c>
      <c r="F33" s="4">
        <v>45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1</v>
      </c>
      <c r="P33" s="4">
        <v>2</v>
      </c>
      <c r="Q33" s="4">
        <v>1</v>
      </c>
      <c r="R33" s="6">
        <v>-1.587</v>
      </c>
    </row>
    <row r="34" spans="1:18" x14ac:dyDescent="0.25">
      <c r="A34" t="s">
        <v>4</v>
      </c>
      <c r="B34" s="1"/>
      <c r="C34" t="s">
        <v>61</v>
      </c>
      <c r="D34" s="1"/>
      <c r="E34" s="4">
        <v>1</v>
      </c>
      <c r="F34" s="4">
        <v>45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4</v>
      </c>
      <c r="P34" s="4">
        <v>2</v>
      </c>
      <c r="Q34" s="4">
        <v>6</v>
      </c>
      <c r="R34" s="6">
        <v>-0.69299999999999995</v>
      </c>
    </row>
    <row r="35" spans="1:18" x14ac:dyDescent="0.25">
      <c r="A35" t="s">
        <v>4</v>
      </c>
      <c r="B35" s="1"/>
      <c r="C35" t="s">
        <v>62</v>
      </c>
      <c r="D35" s="1"/>
      <c r="E35" s="4">
        <v>1</v>
      </c>
      <c r="F35" s="4">
        <v>90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1</v>
      </c>
      <c r="P35" s="4">
        <v>2</v>
      </c>
      <c r="Q35" s="4">
        <v>1</v>
      </c>
      <c r="R35" s="6">
        <v>-0.47499999999999998</v>
      </c>
    </row>
    <row r="36" spans="1:18" x14ac:dyDescent="0.25">
      <c r="A36" t="s">
        <v>4</v>
      </c>
      <c r="B36" s="1"/>
      <c r="C36" s="9" t="s">
        <v>72</v>
      </c>
      <c r="D36" s="1"/>
      <c r="E36" s="4">
        <v>1</v>
      </c>
      <c r="F36" s="4">
        <v>90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2</v>
      </c>
      <c r="N36" s="4">
        <v>1</v>
      </c>
      <c r="O36" s="4">
        <v>10</v>
      </c>
      <c r="P36" s="4">
        <v>12</v>
      </c>
      <c r="Q36" s="4">
        <v>12</v>
      </c>
      <c r="R36" s="6">
        <v>1.7250000000000001</v>
      </c>
    </row>
    <row r="37" spans="1:18" x14ac:dyDescent="0.25">
      <c r="B37" s="1"/>
      <c r="C37"/>
      <c r="D37" s="1"/>
    </row>
    <row r="38" spans="1:18" x14ac:dyDescent="0.25">
      <c r="B38" s="1"/>
      <c r="C38" s="1"/>
      <c r="D38" s="1"/>
    </row>
    <row r="39" spans="1:18" x14ac:dyDescent="0.25">
      <c r="A39" s="3" t="s">
        <v>7</v>
      </c>
      <c r="B39" s="2" t="s">
        <v>0</v>
      </c>
      <c r="C39" s="8" t="s">
        <v>1</v>
      </c>
      <c r="D39" s="2" t="s">
        <v>2</v>
      </c>
      <c r="E39" s="2" t="s">
        <v>8</v>
      </c>
      <c r="F39" s="2" t="s">
        <v>9</v>
      </c>
      <c r="G39" s="2" t="s">
        <v>10</v>
      </c>
      <c r="H39" s="2" t="s">
        <v>11</v>
      </c>
      <c r="I39" s="2" t="s">
        <v>12</v>
      </c>
      <c r="J39" s="2" t="s">
        <v>13</v>
      </c>
      <c r="K39" s="2" t="s">
        <v>14</v>
      </c>
      <c r="L39" s="2" t="s">
        <v>15</v>
      </c>
      <c r="M39" s="2" t="s">
        <v>16</v>
      </c>
      <c r="N39" s="2" t="s">
        <v>17</v>
      </c>
      <c r="O39" s="2" t="s">
        <v>18</v>
      </c>
      <c r="P39" s="2" t="s">
        <v>19</v>
      </c>
      <c r="Q39" s="2" t="s">
        <v>21</v>
      </c>
      <c r="R39" s="5" t="s">
        <v>20</v>
      </c>
    </row>
    <row r="40" spans="1:18" x14ac:dyDescent="0.25">
      <c r="A40" t="s">
        <v>6</v>
      </c>
      <c r="B40" s="1"/>
      <c r="C40" t="s">
        <v>64</v>
      </c>
      <c r="D40" s="1"/>
      <c r="E40" s="4">
        <v>1</v>
      </c>
      <c r="F40" s="4">
        <v>90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2</v>
      </c>
      <c r="O40" s="4">
        <v>10</v>
      </c>
      <c r="P40" s="4">
        <v>10</v>
      </c>
      <c r="Q40" s="4">
        <v>7</v>
      </c>
      <c r="R40" s="6">
        <v>1.125</v>
      </c>
    </row>
    <row r="41" spans="1:18" x14ac:dyDescent="0.25">
      <c r="A41" t="s">
        <v>6</v>
      </c>
      <c r="B41" s="1"/>
      <c r="C41" t="s">
        <v>74</v>
      </c>
      <c r="D41" s="1"/>
      <c r="E41" s="4">
        <v>1</v>
      </c>
      <c r="F41" s="4">
        <v>90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3</v>
      </c>
      <c r="O41" s="4">
        <v>6</v>
      </c>
      <c r="P41" s="4">
        <v>16</v>
      </c>
      <c r="Q41" s="4">
        <v>3</v>
      </c>
      <c r="R41" s="6">
        <v>-2.2749999999999999</v>
      </c>
    </row>
    <row r="42" spans="1:18" x14ac:dyDescent="0.25">
      <c r="A42" t="s">
        <v>6</v>
      </c>
      <c r="B42" s="1"/>
      <c r="C42" t="s">
        <v>73</v>
      </c>
      <c r="D42" s="1"/>
      <c r="E42" s="4">
        <v>1</v>
      </c>
      <c r="F42" s="4">
        <v>75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2</v>
      </c>
      <c r="O42" s="4">
        <v>3</v>
      </c>
      <c r="P42" s="4">
        <v>4</v>
      </c>
      <c r="Q42" s="4">
        <v>4</v>
      </c>
      <c r="R42" s="6">
        <v>0.156</v>
      </c>
    </row>
    <row r="43" spans="1:18" x14ac:dyDescent="0.25">
      <c r="A43" t="s">
        <v>6</v>
      </c>
      <c r="B43" s="1"/>
      <c r="C43" t="s">
        <v>67</v>
      </c>
      <c r="D43" s="1"/>
      <c r="E43" s="4">
        <v>1</v>
      </c>
      <c r="F43" s="4">
        <v>90</v>
      </c>
      <c r="G43" s="4">
        <v>0</v>
      </c>
      <c r="H43" s="4">
        <v>1</v>
      </c>
      <c r="I43" s="4">
        <v>2</v>
      </c>
      <c r="J43" s="4">
        <v>0</v>
      </c>
      <c r="K43" s="4">
        <v>1</v>
      </c>
      <c r="L43" s="4">
        <v>1</v>
      </c>
      <c r="M43" s="4">
        <v>3</v>
      </c>
      <c r="N43" s="4">
        <v>0</v>
      </c>
      <c r="O43" s="4">
        <v>6</v>
      </c>
      <c r="P43" s="4">
        <v>6</v>
      </c>
      <c r="Q43" s="4">
        <v>8</v>
      </c>
      <c r="R43" s="6">
        <v>-1.4930000000000001</v>
      </c>
    </row>
    <row r="44" spans="1:18" x14ac:dyDescent="0.25">
      <c r="A44" t="s">
        <v>6</v>
      </c>
      <c r="B44" s="1"/>
      <c r="C44" t="s">
        <v>65</v>
      </c>
      <c r="E44" s="4">
        <v>1</v>
      </c>
      <c r="F44" s="4">
        <v>90</v>
      </c>
      <c r="G44" s="4">
        <v>0</v>
      </c>
      <c r="H44" s="4">
        <v>0</v>
      </c>
      <c r="I44" s="4">
        <v>0</v>
      </c>
      <c r="J44" s="4">
        <v>2</v>
      </c>
      <c r="K44" s="4">
        <v>0</v>
      </c>
      <c r="L44" s="4">
        <v>0</v>
      </c>
      <c r="M44" s="4">
        <v>2</v>
      </c>
      <c r="N44" s="4">
        <v>1</v>
      </c>
      <c r="O44" s="4">
        <v>6</v>
      </c>
      <c r="P44" s="4">
        <v>7</v>
      </c>
      <c r="Q44" s="4">
        <v>5</v>
      </c>
      <c r="R44" s="6">
        <v>2.625</v>
      </c>
    </row>
    <row r="45" spans="1:18" x14ac:dyDescent="0.25">
      <c r="A45" t="s">
        <v>6</v>
      </c>
      <c r="B45" s="1"/>
      <c r="C45" t="s">
        <v>66</v>
      </c>
      <c r="D45" s="1"/>
      <c r="E45" s="4">
        <v>1</v>
      </c>
      <c r="F45" s="4">
        <v>90</v>
      </c>
      <c r="G45" s="4">
        <v>0</v>
      </c>
      <c r="H45" s="4">
        <v>0</v>
      </c>
      <c r="I45" s="4">
        <v>2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11</v>
      </c>
      <c r="P45" s="4">
        <v>8</v>
      </c>
      <c r="Q45" s="4">
        <v>8</v>
      </c>
      <c r="R45" s="6">
        <v>5.0250000000000004</v>
      </c>
    </row>
    <row r="46" spans="1:18" x14ac:dyDescent="0.25">
      <c r="B46" s="1"/>
      <c r="C46"/>
      <c r="D46" s="1"/>
    </row>
    <row r="47" spans="1:18" x14ac:dyDescent="0.25">
      <c r="A47" s="3" t="s">
        <v>7</v>
      </c>
      <c r="B47" s="2" t="s">
        <v>0</v>
      </c>
      <c r="C47" s="8" t="s">
        <v>1</v>
      </c>
      <c r="D47" s="2" t="s">
        <v>2</v>
      </c>
      <c r="E47" s="2" t="s">
        <v>8</v>
      </c>
      <c r="F47" s="2" t="s">
        <v>9</v>
      </c>
      <c r="G47" s="2" t="s">
        <v>10</v>
      </c>
      <c r="H47" s="2" t="s">
        <v>11</v>
      </c>
      <c r="I47" s="2" t="s">
        <v>12</v>
      </c>
      <c r="J47" s="2" t="s">
        <v>13</v>
      </c>
      <c r="K47" s="2" t="s">
        <v>14</v>
      </c>
      <c r="L47" s="2" t="s">
        <v>15</v>
      </c>
      <c r="M47" s="2" t="s">
        <v>16</v>
      </c>
      <c r="N47" s="2" t="s">
        <v>17</v>
      </c>
      <c r="O47" s="2" t="s">
        <v>18</v>
      </c>
      <c r="P47" s="2" t="s">
        <v>19</v>
      </c>
      <c r="Q47" s="2" t="s">
        <v>21</v>
      </c>
      <c r="R47" s="5" t="s">
        <v>20</v>
      </c>
    </row>
    <row r="48" spans="1:18" x14ac:dyDescent="0.25">
      <c r="A48" t="s">
        <v>5</v>
      </c>
      <c r="B48" s="1"/>
      <c r="C48" t="s">
        <v>68</v>
      </c>
      <c r="D48" s="1"/>
      <c r="E48" s="4">
        <v>1</v>
      </c>
      <c r="F48" s="4">
        <v>30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1</v>
      </c>
      <c r="N48" s="4">
        <v>0</v>
      </c>
      <c r="O48" s="4">
        <v>1</v>
      </c>
      <c r="P48" s="4">
        <v>6</v>
      </c>
      <c r="Q48" s="4">
        <v>0</v>
      </c>
      <c r="R48" s="6">
        <v>0.68100000000000005</v>
      </c>
    </row>
    <row r="49" spans="1:18" x14ac:dyDescent="0.25">
      <c r="A49" t="s">
        <v>5</v>
      </c>
      <c r="B49" s="1"/>
      <c r="C49" t="s">
        <v>69</v>
      </c>
      <c r="D49" s="1"/>
      <c r="E49" s="4">
        <v>1</v>
      </c>
      <c r="F49" s="4">
        <v>60</v>
      </c>
      <c r="G49" s="4">
        <v>1</v>
      </c>
      <c r="H49" s="4">
        <v>0</v>
      </c>
      <c r="I49" s="4">
        <v>1</v>
      </c>
      <c r="J49" s="4">
        <v>2</v>
      </c>
      <c r="K49" s="4">
        <v>0</v>
      </c>
      <c r="L49" s="4">
        <v>0</v>
      </c>
      <c r="M49" s="4">
        <v>0</v>
      </c>
      <c r="N49" s="4">
        <v>1</v>
      </c>
      <c r="O49" s="4">
        <v>12</v>
      </c>
      <c r="P49" s="4">
        <v>9</v>
      </c>
      <c r="Q49" s="4">
        <v>5</v>
      </c>
      <c r="R49" s="6">
        <v>5.0380000000000003</v>
      </c>
    </row>
    <row r="50" spans="1:18" x14ac:dyDescent="0.25">
      <c r="A50" t="s">
        <v>5</v>
      </c>
      <c r="B50" s="1"/>
      <c r="C50" t="s">
        <v>70</v>
      </c>
      <c r="D50" s="1"/>
      <c r="E50" s="4">
        <v>1</v>
      </c>
      <c r="F50" s="4">
        <v>15</v>
      </c>
      <c r="G50" s="4">
        <v>0</v>
      </c>
      <c r="H50" s="4">
        <v>0</v>
      </c>
      <c r="I50" s="4">
        <v>1</v>
      </c>
      <c r="J50" s="4">
        <v>0</v>
      </c>
      <c r="K50" s="4">
        <v>1</v>
      </c>
      <c r="L50" s="4">
        <v>0</v>
      </c>
      <c r="M50" s="4">
        <v>3</v>
      </c>
      <c r="N50" s="4">
        <v>0</v>
      </c>
      <c r="O50" s="4">
        <v>1</v>
      </c>
      <c r="P50" s="4">
        <v>1</v>
      </c>
      <c r="Q50" s="4">
        <v>0</v>
      </c>
      <c r="R50" s="6">
        <v>-0.48699999999999999</v>
      </c>
    </row>
    <row r="51" spans="1:18" x14ac:dyDescent="0.25">
      <c r="A51" t="s">
        <v>5</v>
      </c>
      <c r="B51" s="1"/>
      <c r="C51"/>
      <c r="D51" s="1"/>
    </row>
    <row r="52" spans="1:18" x14ac:dyDescent="0.25">
      <c r="A52" t="s">
        <v>22</v>
      </c>
      <c r="B52" s="1"/>
      <c r="C52"/>
      <c r="D52" s="1"/>
      <c r="O52" s="10">
        <f>SUM(O30:O51)</f>
        <v>72</v>
      </c>
      <c r="P52" s="10">
        <f>SUM(P30:P51)</f>
        <v>87</v>
      </c>
      <c r="Q52" s="10">
        <f>SUM(Q30:Q51)</f>
        <v>60</v>
      </c>
      <c r="R52" s="11">
        <f>AVERAGE(R30:R51)</f>
        <v>0.61357142857142866</v>
      </c>
    </row>
    <row r="53" spans="1:18" x14ac:dyDescent="0.25">
      <c r="D53" s="1"/>
    </row>
    <row r="55" spans="1:18" ht="23.25" x14ac:dyDescent="0.35">
      <c r="C55" s="7" t="s">
        <v>24</v>
      </c>
    </row>
    <row r="56" spans="1:18" x14ac:dyDescent="0.25">
      <c r="A56" s="3" t="s">
        <v>7</v>
      </c>
      <c r="B56" s="2" t="s">
        <v>0</v>
      </c>
      <c r="C56" s="8" t="s">
        <v>1</v>
      </c>
      <c r="D56" s="2" t="s">
        <v>2</v>
      </c>
      <c r="E56" s="2" t="s">
        <v>8</v>
      </c>
      <c r="F56" s="2" t="s">
        <v>9</v>
      </c>
      <c r="G56" s="2" t="s">
        <v>10</v>
      </c>
      <c r="H56" s="2" t="s">
        <v>11</v>
      </c>
      <c r="I56" s="2" t="s">
        <v>12</v>
      </c>
      <c r="J56" s="2" t="s">
        <v>13</v>
      </c>
      <c r="K56" s="2" t="s">
        <v>14</v>
      </c>
      <c r="L56" s="2" t="s">
        <v>15</v>
      </c>
      <c r="M56" s="2" t="s">
        <v>16</v>
      </c>
      <c r="N56" s="2" t="s">
        <v>17</v>
      </c>
      <c r="O56" s="2" t="s">
        <v>18</v>
      </c>
      <c r="P56" s="2" t="s">
        <v>19</v>
      </c>
      <c r="Q56" s="2" t="s">
        <v>21</v>
      </c>
      <c r="R56" s="5" t="s">
        <v>20</v>
      </c>
    </row>
    <row r="57" spans="1:18" x14ac:dyDescent="0.25">
      <c r="A57" t="s">
        <v>3</v>
      </c>
      <c r="B57" s="1"/>
      <c r="C57" t="s">
        <v>58</v>
      </c>
      <c r="D57" s="1"/>
      <c r="E57" s="4">
        <v>1</v>
      </c>
      <c r="F57" s="4">
        <v>90</v>
      </c>
      <c r="G57" s="4">
        <v>0</v>
      </c>
      <c r="H57" s="4">
        <v>0</v>
      </c>
      <c r="I57" s="4">
        <v>3</v>
      </c>
      <c r="J57" s="4">
        <v>6</v>
      </c>
      <c r="K57" s="4">
        <v>0</v>
      </c>
      <c r="L57" s="4">
        <v>0</v>
      </c>
      <c r="M57" s="4">
        <v>0</v>
      </c>
      <c r="N57" s="4">
        <v>0</v>
      </c>
      <c r="O57" s="4">
        <v>1</v>
      </c>
      <c r="P57" s="4">
        <v>2</v>
      </c>
      <c r="Q57" s="4">
        <v>0</v>
      </c>
      <c r="R57" s="6">
        <v>22.218</v>
      </c>
    </row>
    <row r="58" spans="1:18" x14ac:dyDescent="0.25">
      <c r="B58" s="1"/>
      <c r="C58" s="1"/>
      <c r="D58" s="1"/>
    </row>
    <row r="59" spans="1:18" x14ac:dyDescent="0.25">
      <c r="A59" s="3" t="s">
        <v>7</v>
      </c>
      <c r="B59" s="2" t="s">
        <v>0</v>
      </c>
      <c r="C59" s="8" t="s">
        <v>1</v>
      </c>
      <c r="D59" s="2" t="s">
        <v>2</v>
      </c>
      <c r="E59" s="2" t="s">
        <v>8</v>
      </c>
      <c r="F59" s="2" t="s">
        <v>9</v>
      </c>
      <c r="G59" s="2" t="s">
        <v>10</v>
      </c>
      <c r="H59" s="2" t="s">
        <v>11</v>
      </c>
      <c r="I59" s="2" t="s">
        <v>12</v>
      </c>
      <c r="J59" s="2" t="s">
        <v>13</v>
      </c>
      <c r="K59" s="2" t="s">
        <v>14</v>
      </c>
      <c r="L59" s="2" t="s">
        <v>15</v>
      </c>
      <c r="M59" s="2" t="s">
        <v>16</v>
      </c>
      <c r="N59" s="2" t="s">
        <v>17</v>
      </c>
      <c r="O59" s="2" t="s">
        <v>18</v>
      </c>
      <c r="P59" s="2" t="s">
        <v>19</v>
      </c>
      <c r="Q59" s="2" t="s">
        <v>21</v>
      </c>
      <c r="R59" s="5" t="s">
        <v>20</v>
      </c>
    </row>
    <row r="60" spans="1:18" x14ac:dyDescent="0.25">
      <c r="A60" t="s">
        <v>4</v>
      </c>
      <c r="B60" s="1"/>
      <c r="C60" t="s">
        <v>59</v>
      </c>
      <c r="D60" s="1"/>
      <c r="E60" s="4">
        <v>1</v>
      </c>
      <c r="F60" s="4">
        <v>46</v>
      </c>
      <c r="G60" s="4">
        <v>0</v>
      </c>
      <c r="H60" s="4">
        <v>0</v>
      </c>
      <c r="I60" s="4">
        <v>0</v>
      </c>
      <c r="J60" s="4">
        <v>0</v>
      </c>
      <c r="K60" s="4">
        <v>1</v>
      </c>
      <c r="L60" s="4">
        <v>0</v>
      </c>
      <c r="M60" s="4">
        <v>0</v>
      </c>
      <c r="N60" s="4">
        <v>2</v>
      </c>
      <c r="O60" s="4">
        <v>4</v>
      </c>
      <c r="P60" s="4">
        <v>7</v>
      </c>
      <c r="Q60" s="4">
        <v>5</v>
      </c>
      <c r="R60" s="6">
        <v>7.9130000000000003</v>
      </c>
    </row>
    <row r="61" spans="1:18" x14ac:dyDescent="0.25">
      <c r="A61" t="s">
        <v>4</v>
      </c>
      <c r="B61" s="1"/>
      <c r="C61" t="s">
        <v>60</v>
      </c>
      <c r="D61" s="1"/>
      <c r="E61" s="4">
        <v>1</v>
      </c>
      <c r="F61" s="4">
        <v>45</v>
      </c>
      <c r="G61" s="4">
        <v>0</v>
      </c>
      <c r="H61" s="4">
        <v>0</v>
      </c>
      <c r="I61" s="4">
        <v>0</v>
      </c>
      <c r="J61" s="4">
        <v>0</v>
      </c>
      <c r="K61" s="4">
        <v>1</v>
      </c>
      <c r="L61" s="4">
        <v>0</v>
      </c>
      <c r="M61" s="4">
        <v>0</v>
      </c>
      <c r="N61" s="4">
        <v>0</v>
      </c>
      <c r="O61" s="4">
        <v>3</v>
      </c>
      <c r="P61" s="4">
        <v>4</v>
      </c>
      <c r="Q61" s="4">
        <v>3</v>
      </c>
      <c r="R61" s="6">
        <v>7.0179999999999998</v>
      </c>
    </row>
    <row r="62" spans="1:18" x14ac:dyDescent="0.25">
      <c r="A62" t="s">
        <v>4</v>
      </c>
      <c r="B62" s="1"/>
      <c r="C62" t="s">
        <v>61</v>
      </c>
      <c r="D62" s="1"/>
      <c r="E62" s="4">
        <v>1</v>
      </c>
      <c r="F62" s="4">
        <v>45</v>
      </c>
      <c r="G62" s="4">
        <v>0</v>
      </c>
      <c r="H62" s="4">
        <v>0</v>
      </c>
      <c r="I62" s="4">
        <v>0</v>
      </c>
      <c r="J62" s="4">
        <v>0</v>
      </c>
      <c r="K62" s="4">
        <v>1</v>
      </c>
      <c r="L62" s="4">
        <v>0</v>
      </c>
      <c r="M62" s="4">
        <v>0</v>
      </c>
      <c r="N62" s="4">
        <v>1</v>
      </c>
      <c r="O62" s="4">
        <v>3</v>
      </c>
      <c r="P62" s="4">
        <v>3</v>
      </c>
      <c r="Q62" s="4">
        <v>2</v>
      </c>
      <c r="R62" s="6">
        <v>7.343</v>
      </c>
    </row>
    <row r="63" spans="1:18" x14ac:dyDescent="0.25">
      <c r="A63" t="s">
        <v>4</v>
      </c>
      <c r="B63" s="1"/>
      <c r="C63" t="s">
        <v>62</v>
      </c>
      <c r="D63" s="1"/>
      <c r="E63" s="4">
        <v>1</v>
      </c>
      <c r="F63" s="4">
        <v>90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1</v>
      </c>
      <c r="N63" s="4">
        <v>0</v>
      </c>
      <c r="O63" s="4">
        <v>5</v>
      </c>
      <c r="P63" s="4">
        <v>5</v>
      </c>
      <c r="Q63" s="4">
        <v>7</v>
      </c>
      <c r="R63" s="6">
        <v>8.0679999999999996</v>
      </c>
    </row>
    <row r="64" spans="1:18" x14ac:dyDescent="0.25">
      <c r="A64" t="s">
        <v>4</v>
      </c>
      <c r="B64" s="1"/>
      <c r="C64" s="9" t="s">
        <v>72</v>
      </c>
      <c r="D64" s="1"/>
      <c r="E64" s="4">
        <v>1</v>
      </c>
      <c r="F64" s="4">
        <v>44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1</v>
      </c>
      <c r="O64" s="4">
        <v>4</v>
      </c>
      <c r="P64" s="4">
        <v>5</v>
      </c>
      <c r="Q64" s="4">
        <v>2</v>
      </c>
      <c r="R64" s="6">
        <v>7.6</v>
      </c>
    </row>
    <row r="65" spans="1:18" x14ac:dyDescent="0.25">
      <c r="B65" s="1"/>
      <c r="D65" s="1"/>
    </row>
    <row r="66" spans="1:18" x14ac:dyDescent="0.25">
      <c r="B66" s="1"/>
      <c r="C66" s="1"/>
      <c r="D66" s="1"/>
    </row>
    <row r="67" spans="1:18" x14ac:dyDescent="0.25">
      <c r="A67" s="3" t="s">
        <v>7</v>
      </c>
      <c r="B67" s="2" t="s">
        <v>0</v>
      </c>
      <c r="C67" s="8" t="s">
        <v>1</v>
      </c>
      <c r="D67" s="2" t="s">
        <v>2</v>
      </c>
      <c r="E67" s="2" t="s">
        <v>8</v>
      </c>
      <c r="F67" s="2" t="s">
        <v>9</v>
      </c>
      <c r="G67" s="2" t="s">
        <v>10</v>
      </c>
      <c r="H67" s="2" t="s">
        <v>11</v>
      </c>
      <c r="I67" s="2" t="s">
        <v>12</v>
      </c>
      <c r="J67" s="2" t="s">
        <v>13</v>
      </c>
      <c r="K67" s="2" t="s">
        <v>14</v>
      </c>
      <c r="L67" s="2" t="s">
        <v>15</v>
      </c>
      <c r="M67" s="2" t="s">
        <v>16</v>
      </c>
      <c r="N67" s="2" t="s">
        <v>17</v>
      </c>
      <c r="O67" s="2" t="s">
        <v>18</v>
      </c>
      <c r="P67" s="2" t="s">
        <v>19</v>
      </c>
      <c r="Q67" s="2" t="s">
        <v>21</v>
      </c>
      <c r="R67" s="5" t="s">
        <v>20</v>
      </c>
    </row>
    <row r="68" spans="1:18" x14ac:dyDescent="0.25">
      <c r="A68" t="s">
        <v>6</v>
      </c>
      <c r="B68" s="1"/>
      <c r="C68" t="s">
        <v>74</v>
      </c>
      <c r="D68" s="1"/>
      <c r="E68" s="4">
        <v>1</v>
      </c>
      <c r="F68" s="4">
        <v>90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1</v>
      </c>
      <c r="N68" s="4">
        <v>1</v>
      </c>
      <c r="O68" s="4">
        <v>4</v>
      </c>
      <c r="P68" s="4">
        <v>12</v>
      </c>
      <c r="Q68" s="4">
        <v>5</v>
      </c>
      <c r="R68" s="6">
        <v>-2.2810000000000001</v>
      </c>
    </row>
    <row r="69" spans="1:18" x14ac:dyDescent="0.25">
      <c r="A69" t="s">
        <v>6</v>
      </c>
      <c r="B69" s="1"/>
      <c r="C69" t="s">
        <v>73</v>
      </c>
      <c r="D69" s="1"/>
      <c r="E69" s="4">
        <v>1</v>
      </c>
      <c r="F69" s="4">
        <v>90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1</v>
      </c>
      <c r="N69" s="4">
        <v>0</v>
      </c>
      <c r="O69" s="4">
        <v>8</v>
      </c>
      <c r="P69" s="4">
        <v>9</v>
      </c>
      <c r="Q69" s="4">
        <v>8</v>
      </c>
      <c r="R69" s="6">
        <v>0.219</v>
      </c>
    </row>
    <row r="70" spans="1:18" x14ac:dyDescent="0.25">
      <c r="A70" t="s">
        <v>6</v>
      </c>
      <c r="B70" s="1"/>
      <c r="C70" t="s">
        <v>63</v>
      </c>
      <c r="D70" s="1"/>
      <c r="E70" s="4">
        <v>1</v>
      </c>
      <c r="F70" s="4">
        <v>90</v>
      </c>
      <c r="G70" s="4">
        <v>0</v>
      </c>
      <c r="H70" s="4">
        <v>0</v>
      </c>
      <c r="I70" s="4">
        <v>1</v>
      </c>
      <c r="J70" s="4">
        <v>1</v>
      </c>
      <c r="K70" s="4">
        <v>0</v>
      </c>
      <c r="L70" s="4">
        <v>0</v>
      </c>
      <c r="M70" s="4">
        <v>4</v>
      </c>
      <c r="N70" s="4">
        <v>2</v>
      </c>
      <c r="O70" s="4">
        <v>11</v>
      </c>
      <c r="P70" s="4">
        <v>14</v>
      </c>
      <c r="Q70" s="4">
        <v>6</v>
      </c>
      <c r="R70" s="6">
        <v>1.218</v>
      </c>
    </row>
    <row r="71" spans="1:18" x14ac:dyDescent="0.25">
      <c r="A71" t="s">
        <v>6</v>
      </c>
      <c r="B71" s="1"/>
      <c r="C71" t="s">
        <v>65</v>
      </c>
      <c r="D71" s="1"/>
      <c r="E71" s="4">
        <v>1</v>
      </c>
      <c r="F71" s="4">
        <v>90</v>
      </c>
      <c r="G71" s="4">
        <v>0</v>
      </c>
      <c r="H71" s="4">
        <v>0</v>
      </c>
      <c r="I71" s="4">
        <v>0</v>
      </c>
      <c r="J71" s="4">
        <v>1</v>
      </c>
      <c r="K71" s="4">
        <v>0</v>
      </c>
      <c r="L71" s="4">
        <v>0</v>
      </c>
      <c r="M71" s="4">
        <v>0</v>
      </c>
      <c r="N71" s="4">
        <v>0</v>
      </c>
      <c r="O71" s="4">
        <v>2</v>
      </c>
      <c r="P71" s="4">
        <v>5</v>
      </c>
      <c r="Q71" s="4">
        <v>12</v>
      </c>
      <c r="R71" s="6">
        <v>1.7190000000000001</v>
      </c>
    </row>
    <row r="72" spans="1:18" x14ac:dyDescent="0.25">
      <c r="A72" t="s">
        <v>6</v>
      </c>
      <c r="B72" s="1"/>
      <c r="C72" t="s">
        <v>66</v>
      </c>
      <c r="D72" s="1"/>
      <c r="E72" s="4">
        <v>1</v>
      </c>
      <c r="F72" s="4">
        <v>90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1</v>
      </c>
      <c r="O72" s="4">
        <v>7</v>
      </c>
      <c r="P72" s="4">
        <v>8</v>
      </c>
      <c r="Q72" s="4">
        <v>10</v>
      </c>
      <c r="R72" s="6">
        <v>0.61899999999999999</v>
      </c>
    </row>
    <row r="73" spans="1:18" x14ac:dyDescent="0.25">
      <c r="B73" s="1"/>
      <c r="C73"/>
      <c r="D73" s="1"/>
    </row>
    <row r="74" spans="1:18" x14ac:dyDescent="0.25">
      <c r="B74" s="1"/>
      <c r="C74" s="1"/>
      <c r="D74" s="1"/>
    </row>
    <row r="75" spans="1:18" x14ac:dyDescent="0.25">
      <c r="A75" s="3" t="s">
        <v>7</v>
      </c>
      <c r="B75" s="2" t="s">
        <v>0</v>
      </c>
      <c r="C75" s="8" t="s">
        <v>1</v>
      </c>
      <c r="D75" s="2" t="s">
        <v>2</v>
      </c>
      <c r="E75" s="2" t="s">
        <v>8</v>
      </c>
      <c r="F75" s="2" t="s">
        <v>9</v>
      </c>
      <c r="G75" s="2" t="s">
        <v>10</v>
      </c>
      <c r="H75" s="2" t="s">
        <v>11</v>
      </c>
      <c r="I75" s="2" t="s">
        <v>12</v>
      </c>
      <c r="J75" s="2" t="s">
        <v>13</v>
      </c>
      <c r="K75" s="2" t="s">
        <v>14</v>
      </c>
      <c r="L75" s="2" t="s">
        <v>15</v>
      </c>
      <c r="M75" s="2" t="s">
        <v>16</v>
      </c>
      <c r="N75" s="2" t="s">
        <v>17</v>
      </c>
      <c r="O75" s="2" t="s">
        <v>18</v>
      </c>
      <c r="P75" s="2" t="s">
        <v>19</v>
      </c>
      <c r="Q75" s="2" t="s">
        <v>21</v>
      </c>
      <c r="R75" s="5" t="s">
        <v>20</v>
      </c>
    </row>
    <row r="76" spans="1:18" x14ac:dyDescent="0.25">
      <c r="A76" t="s">
        <v>5</v>
      </c>
      <c r="B76" s="1"/>
      <c r="C76" t="s">
        <v>69</v>
      </c>
      <c r="D76" s="1"/>
      <c r="E76" s="4">
        <v>1</v>
      </c>
      <c r="F76" s="4">
        <v>90</v>
      </c>
      <c r="G76" s="4">
        <v>1</v>
      </c>
      <c r="H76" s="4">
        <v>0</v>
      </c>
      <c r="I76" s="4">
        <v>2</v>
      </c>
      <c r="J76" s="4">
        <v>1</v>
      </c>
      <c r="K76" s="4">
        <v>0</v>
      </c>
      <c r="L76" s="4">
        <v>0</v>
      </c>
      <c r="M76" s="4">
        <v>1</v>
      </c>
      <c r="N76" s="4">
        <v>0</v>
      </c>
      <c r="O76" s="4">
        <v>10</v>
      </c>
      <c r="P76" s="4">
        <v>6</v>
      </c>
      <c r="Q76" s="4">
        <v>6</v>
      </c>
      <c r="R76" s="6">
        <v>5.8689999999999998</v>
      </c>
    </row>
    <row r="77" spans="1:18" x14ac:dyDescent="0.25">
      <c r="A77" t="s">
        <v>5</v>
      </c>
      <c r="B77" s="1"/>
      <c r="C77" t="s">
        <v>70</v>
      </c>
      <c r="D77" s="1"/>
      <c r="E77" s="4">
        <v>1</v>
      </c>
      <c r="F77" s="4">
        <v>46</v>
      </c>
      <c r="G77" s="4">
        <v>0</v>
      </c>
      <c r="H77" s="4">
        <v>1</v>
      </c>
      <c r="I77" s="4">
        <v>0</v>
      </c>
      <c r="J77" s="4">
        <v>1</v>
      </c>
      <c r="K77" s="4">
        <v>0</v>
      </c>
      <c r="L77" s="4">
        <v>0</v>
      </c>
      <c r="M77" s="4">
        <v>0</v>
      </c>
      <c r="N77" s="4">
        <v>1</v>
      </c>
      <c r="O77" s="4">
        <v>5</v>
      </c>
      <c r="P77" s="4">
        <v>4</v>
      </c>
      <c r="Q77" s="4">
        <v>3</v>
      </c>
      <c r="R77" s="6">
        <v>2.2999999999999998</v>
      </c>
    </row>
    <row r="78" spans="1:18" x14ac:dyDescent="0.25">
      <c r="A78" t="s">
        <v>5</v>
      </c>
      <c r="B78" s="1"/>
      <c r="C78" s="9" t="s">
        <v>75</v>
      </c>
      <c r="D78" s="1"/>
      <c r="E78" s="4">
        <v>1</v>
      </c>
      <c r="F78" s="4">
        <v>44</v>
      </c>
      <c r="G78" s="4">
        <v>0</v>
      </c>
      <c r="H78" s="4">
        <v>0</v>
      </c>
      <c r="I78" s="4">
        <v>0</v>
      </c>
      <c r="J78" s="4">
        <v>2</v>
      </c>
      <c r="K78" s="4">
        <v>0</v>
      </c>
      <c r="L78" s="4">
        <v>0</v>
      </c>
      <c r="M78" s="4">
        <v>0</v>
      </c>
      <c r="N78" s="4">
        <v>2</v>
      </c>
      <c r="O78" s="4">
        <v>2</v>
      </c>
      <c r="P78" s="4">
        <v>1</v>
      </c>
      <c r="Q78" s="4">
        <v>1</v>
      </c>
      <c r="R78" s="6">
        <v>1.363</v>
      </c>
    </row>
    <row r="79" spans="1:18" x14ac:dyDescent="0.25">
      <c r="B79" s="1"/>
      <c r="C79"/>
      <c r="D79" s="1"/>
    </row>
    <row r="80" spans="1:18" x14ac:dyDescent="0.25">
      <c r="A80" t="s">
        <v>22</v>
      </c>
      <c r="B80" s="1"/>
      <c r="C80"/>
      <c r="D80" s="1"/>
      <c r="O80" s="10">
        <f>SUM(O57:O79)</f>
        <v>69</v>
      </c>
      <c r="P80" s="10">
        <f>SUM(P57:P79)</f>
        <v>85</v>
      </c>
      <c r="Q80" s="10">
        <f>SUM(Q57:Q79)</f>
        <v>70</v>
      </c>
      <c r="R80" s="11">
        <f>AVERAGE(R57:R79)</f>
        <v>5.0847142857142851</v>
      </c>
    </row>
    <row r="83" spans="1:18" ht="23.25" x14ac:dyDescent="0.35">
      <c r="C83" s="7" t="s">
        <v>76</v>
      </c>
    </row>
    <row r="84" spans="1:18" x14ac:dyDescent="0.25">
      <c r="A84" s="3" t="s">
        <v>7</v>
      </c>
      <c r="B84" s="2" t="s">
        <v>0</v>
      </c>
      <c r="C84" s="8" t="s">
        <v>1</v>
      </c>
      <c r="D84" s="2" t="s">
        <v>2</v>
      </c>
      <c r="E84" s="2" t="s">
        <v>8</v>
      </c>
      <c r="F84" s="2" t="s">
        <v>9</v>
      </c>
      <c r="G84" s="2" t="s">
        <v>10</v>
      </c>
      <c r="H84" s="2" t="s">
        <v>11</v>
      </c>
      <c r="I84" s="2" t="s">
        <v>12</v>
      </c>
      <c r="J84" s="2" t="s">
        <v>13</v>
      </c>
      <c r="K84" s="2" t="s">
        <v>14</v>
      </c>
      <c r="L84" s="2" t="s">
        <v>15</v>
      </c>
      <c r="M84" s="2" t="s">
        <v>16</v>
      </c>
      <c r="N84" s="2" t="s">
        <v>17</v>
      </c>
      <c r="O84" s="2" t="s">
        <v>18</v>
      </c>
      <c r="P84" s="2" t="s">
        <v>19</v>
      </c>
      <c r="Q84" s="2" t="s">
        <v>21</v>
      </c>
      <c r="R84" s="5" t="s">
        <v>20</v>
      </c>
    </row>
    <row r="85" spans="1:18" x14ac:dyDescent="0.25">
      <c r="A85" t="s">
        <v>3</v>
      </c>
      <c r="B85" s="1"/>
      <c r="C85" t="s">
        <v>58</v>
      </c>
      <c r="D85" s="1"/>
      <c r="E85" s="4">
        <v>1</v>
      </c>
      <c r="F85" s="4">
        <v>90</v>
      </c>
      <c r="G85" s="4">
        <v>2</v>
      </c>
      <c r="H85" s="4">
        <v>0</v>
      </c>
      <c r="I85" s="4">
        <v>9</v>
      </c>
      <c r="J85" s="4">
        <v>7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5</v>
      </c>
      <c r="Q85" s="4">
        <v>0</v>
      </c>
      <c r="R85" s="6">
        <v>12.731</v>
      </c>
    </row>
    <row r="86" spans="1:18" x14ac:dyDescent="0.25">
      <c r="B86" s="1"/>
      <c r="C86" s="1"/>
      <c r="D86" s="1"/>
    </row>
    <row r="87" spans="1:18" x14ac:dyDescent="0.25">
      <c r="A87" s="3" t="s">
        <v>7</v>
      </c>
      <c r="B87" s="2" t="s">
        <v>0</v>
      </c>
      <c r="C87" s="8" t="s">
        <v>1</v>
      </c>
      <c r="D87" s="2" t="s">
        <v>2</v>
      </c>
      <c r="E87" s="2" t="s">
        <v>8</v>
      </c>
      <c r="F87" s="2" t="s">
        <v>9</v>
      </c>
      <c r="G87" s="2" t="s">
        <v>10</v>
      </c>
      <c r="H87" s="2" t="s">
        <v>11</v>
      </c>
      <c r="I87" s="2" t="s">
        <v>12</v>
      </c>
      <c r="J87" s="2" t="s">
        <v>13</v>
      </c>
      <c r="K87" s="2" t="s">
        <v>14</v>
      </c>
      <c r="L87" s="2" t="s">
        <v>15</v>
      </c>
      <c r="M87" s="2" t="s">
        <v>16</v>
      </c>
      <c r="N87" s="2" t="s">
        <v>17</v>
      </c>
      <c r="O87" s="2" t="s">
        <v>18</v>
      </c>
      <c r="P87" s="2" t="s">
        <v>19</v>
      </c>
      <c r="Q87" s="2" t="s">
        <v>21</v>
      </c>
      <c r="R87" s="5" t="s">
        <v>20</v>
      </c>
    </row>
    <row r="88" spans="1:18" x14ac:dyDescent="0.25">
      <c r="A88" t="s">
        <v>4</v>
      </c>
      <c r="B88" s="1"/>
      <c r="C88" t="s">
        <v>59</v>
      </c>
      <c r="D88" s="1"/>
      <c r="E88" s="4">
        <v>1</v>
      </c>
      <c r="F88" s="4">
        <v>46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1</v>
      </c>
      <c r="O88" s="4">
        <v>5</v>
      </c>
      <c r="P88" s="4">
        <v>6</v>
      </c>
      <c r="Q88" s="4">
        <v>3</v>
      </c>
      <c r="R88" s="6">
        <v>0.85</v>
      </c>
    </row>
    <row r="89" spans="1:18" x14ac:dyDescent="0.25">
      <c r="A89" t="s">
        <v>4</v>
      </c>
      <c r="B89" s="1"/>
      <c r="C89" t="s">
        <v>60</v>
      </c>
      <c r="D89" s="1"/>
      <c r="E89" s="4">
        <v>1</v>
      </c>
      <c r="F89" s="4">
        <v>60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4</v>
      </c>
      <c r="P89" s="4">
        <v>3</v>
      </c>
      <c r="Q89" s="4">
        <v>4</v>
      </c>
      <c r="R89" s="6">
        <v>0.86199999999999999</v>
      </c>
    </row>
    <row r="90" spans="1:18" x14ac:dyDescent="0.25">
      <c r="A90" t="s">
        <v>4</v>
      </c>
      <c r="B90" s="1"/>
      <c r="C90" t="s">
        <v>61</v>
      </c>
      <c r="D90" s="1"/>
      <c r="E90" s="4">
        <v>1</v>
      </c>
      <c r="F90" s="4">
        <v>44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1</v>
      </c>
      <c r="O90" s="4">
        <v>8</v>
      </c>
      <c r="P90" s="4">
        <v>4</v>
      </c>
      <c r="Q90" s="4">
        <v>5</v>
      </c>
      <c r="R90" s="6">
        <v>1.675</v>
      </c>
    </row>
    <row r="91" spans="1:18" x14ac:dyDescent="0.25">
      <c r="A91" t="s">
        <v>4</v>
      </c>
      <c r="B91" s="1"/>
      <c r="C91" t="s">
        <v>62</v>
      </c>
      <c r="D91" s="1"/>
      <c r="E91" s="4">
        <v>1</v>
      </c>
      <c r="F91" s="4">
        <v>90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1</v>
      </c>
      <c r="O91" s="4">
        <v>3</v>
      </c>
      <c r="P91" s="4">
        <v>4</v>
      </c>
      <c r="Q91" s="4">
        <v>3</v>
      </c>
      <c r="R91" s="6">
        <v>1.331</v>
      </c>
    </row>
    <row r="92" spans="1:18" x14ac:dyDescent="0.25">
      <c r="A92" t="s">
        <v>4</v>
      </c>
      <c r="B92" s="1"/>
      <c r="C92" s="9" t="s">
        <v>72</v>
      </c>
      <c r="D92" s="1"/>
      <c r="E92" s="4">
        <v>1</v>
      </c>
      <c r="F92" s="4">
        <v>30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1</v>
      </c>
      <c r="N92" s="4">
        <v>0</v>
      </c>
      <c r="O92" s="4">
        <v>1</v>
      </c>
      <c r="P92" s="4">
        <v>1</v>
      </c>
      <c r="Q92" s="4">
        <v>0</v>
      </c>
      <c r="R92" s="6">
        <v>-1.6379999999999999</v>
      </c>
    </row>
    <row r="93" spans="1:18" x14ac:dyDescent="0.25">
      <c r="B93" s="1"/>
      <c r="C93"/>
      <c r="D93" s="1"/>
    </row>
    <row r="94" spans="1:18" x14ac:dyDescent="0.25">
      <c r="B94" s="1"/>
      <c r="C94" s="1"/>
      <c r="D94" s="1"/>
    </row>
    <row r="95" spans="1:18" x14ac:dyDescent="0.25">
      <c r="A95" s="3" t="s">
        <v>7</v>
      </c>
      <c r="B95" s="2" t="s">
        <v>0</v>
      </c>
      <c r="C95" s="8" t="s">
        <v>1</v>
      </c>
      <c r="D95" s="2" t="s">
        <v>2</v>
      </c>
      <c r="E95" s="2" t="s">
        <v>8</v>
      </c>
      <c r="F95" s="2" t="s">
        <v>9</v>
      </c>
      <c r="G95" s="2" t="s">
        <v>10</v>
      </c>
      <c r="H95" s="2" t="s">
        <v>11</v>
      </c>
      <c r="I95" s="2" t="s">
        <v>12</v>
      </c>
      <c r="J95" s="2" t="s">
        <v>13</v>
      </c>
      <c r="K95" s="2" t="s">
        <v>14</v>
      </c>
      <c r="L95" s="2" t="s">
        <v>15</v>
      </c>
      <c r="M95" s="2" t="s">
        <v>16</v>
      </c>
      <c r="N95" s="2" t="s">
        <v>17</v>
      </c>
      <c r="O95" s="2" t="s">
        <v>18</v>
      </c>
      <c r="P95" s="2" t="s">
        <v>19</v>
      </c>
      <c r="Q95" s="2" t="s">
        <v>21</v>
      </c>
      <c r="R95" s="5" t="s">
        <v>20</v>
      </c>
    </row>
    <row r="96" spans="1:18" x14ac:dyDescent="0.25">
      <c r="A96" t="s">
        <v>6</v>
      </c>
      <c r="B96" s="1"/>
      <c r="C96" t="s">
        <v>63</v>
      </c>
      <c r="D96" s="1"/>
      <c r="E96" s="4">
        <v>1</v>
      </c>
      <c r="F96" s="4">
        <v>90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2</v>
      </c>
      <c r="N96" s="4">
        <v>0</v>
      </c>
      <c r="O96" s="4">
        <v>9</v>
      </c>
      <c r="P96" s="4">
        <v>11</v>
      </c>
      <c r="Q96" s="4">
        <v>5</v>
      </c>
      <c r="R96" s="6">
        <v>-1.468</v>
      </c>
    </row>
    <row r="97" spans="1:18" x14ac:dyDescent="0.25">
      <c r="A97" t="s">
        <v>6</v>
      </c>
      <c r="B97" s="1"/>
      <c r="C97" t="s">
        <v>64</v>
      </c>
      <c r="D97" s="1"/>
      <c r="E97" s="4">
        <v>1</v>
      </c>
      <c r="F97" s="4">
        <v>90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1</v>
      </c>
      <c r="N97" s="4">
        <v>2</v>
      </c>
      <c r="O97" s="4">
        <v>10</v>
      </c>
      <c r="P97" s="4">
        <v>9</v>
      </c>
      <c r="Q97" s="4">
        <v>7</v>
      </c>
      <c r="R97" s="6">
        <v>1.831</v>
      </c>
    </row>
    <row r="98" spans="1:18" x14ac:dyDescent="0.25">
      <c r="A98" t="s">
        <v>6</v>
      </c>
      <c r="B98" s="1"/>
      <c r="C98" t="s">
        <v>65</v>
      </c>
      <c r="D98" s="1"/>
      <c r="E98" s="4">
        <v>1</v>
      </c>
      <c r="F98" s="4">
        <v>90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1</v>
      </c>
      <c r="N98" s="4">
        <v>2</v>
      </c>
      <c r="O98" s="4">
        <v>6</v>
      </c>
      <c r="P98" s="4">
        <v>7</v>
      </c>
      <c r="Q98" s="4">
        <v>6</v>
      </c>
      <c r="R98" s="6">
        <v>0.33100000000000002</v>
      </c>
    </row>
    <row r="99" spans="1:18" x14ac:dyDescent="0.25">
      <c r="A99" t="s">
        <v>6</v>
      </c>
      <c r="B99" s="1"/>
      <c r="C99" t="s">
        <v>66</v>
      </c>
      <c r="D99" s="1"/>
      <c r="E99" s="4">
        <v>1</v>
      </c>
      <c r="F99" s="4">
        <v>90</v>
      </c>
      <c r="G99" s="4">
        <v>0</v>
      </c>
      <c r="H99" s="4">
        <v>0</v>
      </c>
      <c r="I99" s="4">
        <v>0</v>
      </c>
      <c r="J99" s="4">
        <v>1</v>
      </c>
      <c r="K99" s="4">
        <v>0</v>
      </c>
      <c r="L99" s="4">
        <v>0</v>
      </c>
      <c r="M99" s="4">
        <v>1</v>
      </c>
      <c r="N99" s="4">
        <v>3</v>
      </c>
      <c r="O99" s="4">
        <v>7</v>
      </c>
      <c r="P99" s="4">
        <v>6</v>
      </c>
      <c r="Q99" s="4">
        <v>6</v>
      </c>
      <c r="R99" s="6">
        <v>2.1309999999999998</v>
      </c>
    </row>
    <row r="100" spans="1:18" x14ac:dyDescent="0.25">
      <c r="A100" t="s">
        <v>6</v>
      </c>
      <c r="B100" s="1"/>
      <c r="C100" t="s">
        <v>67</v>
      </c>
      <c r="D100" s="1"/>
      <c r="E100" s="4">
        <v>1</v>
      </c>
      <c r="F100" s="4">
        <v>90</v>
      </c>
      <c r="G100" s="4">
        <v>0</v>
      </c>
      <c r="H100" s="4">
        <v>0</v>
      </c>
      <c r="I100" s="4">
        <v>1</v>
      </c>
      <c r="J100" s="4">
        <v>0</v>
      </c>
      <c r="K100" s="4">
        <v>0</v>
      </c>
      <c r="L100" s="4">
        <v>0</v>
      </c>
      <c r="M100" s="4">
        <v>0</v>
      </c>
      <c r="N100" s="4">
        <v>1</v>
      </c>
      <c r="O100" s="4">
        <v>8</v>
      </c>
      <c r="P100" s="4">
        <v>13</v>
      </c>
      <c r="Q100" s="4">
        <v>11</v>
      </c>
      <c r="R100" s="6">
        <v>2.6309999999999998</v>
      </c>
    </row>
    <row r="101" spans="1:18" x14ac:dyDescent="0.25">
      <c r="B101" s="1"/>
      <c r="C101"/>
      <c r="D101" s="1"/>
    </row>
    <row r="102" spans="1:18" x14ac:dyDescent="0.25">
      <c r="B102" s="1"/>
      <c r="C102" s="1"/>
      <c r="D102" s="1"/>
    </row>
    <row r="103" spans="1:18" x14ac:dyDescent="0.25">
      <c r="A103" s="3" t="s">
        <v>7</v>
      </c>
      <c r="B103" s="2" t="s">
        <v>0</v>
      </c>
      <c r="C103" s="8" t="s">
        <v>1</v>
      </c>
      <c r="D103" s="2" t="s">
        <v>2</v>
      </c>
      <c r="E103" s="2" t="s">
        <v>8</v>
      </c>
      <c r="F103" s="2" t="s">
        <v>9</v>
      </c>
      <c r="G103" s="2" t="s">
        <v>10</v>
      </c>
      <c r="H103" s="2" t="s">
        <v>11</v>
      </c>
      <c r="I103" s="2" t="s">
        <v>12</v>
      </c>
      <c r="J103" s="2" t="s">
        <v>13</v>
      </c>
      <c r="K103" s="2" t="s">
        <v>14</v>
      </c>
      <c r="L103" s="2" t="s">
        <v>15</v>
      </c>
      <c r="M103" s="2" t="s">
        <v>16</v>
      </c>
      <c r="N103" s="2" t="s">
        <v>17</v>
      </c>
      <c r="O103" s="2" t="s">
        <v>18</v>
      </c>
      <c r="P103" s="2" t="s">
        <v>19</v>
      </c>
      <c r="Q103" s="2" t="s">
        <v>21</v>
      </c>
      <c r="R103" s="5" t="s">
        <v>20</v>
      </c>
    </row>
    <row r="104" spans="1:18" x14ac:dyDescent="0.25">
      <c r="A104" t="s">
        <v>5</v>
      </c>
      <c r="B104" s="1"/>
      <c r="C104" s="9" t="s">
        <v>68</v>
      </c>
      <c r="D104" s="1"/>
      <c r="E104" s="4">
        <v>1</v>
      </c>
      <c r="F104" s="4">
        <v>44</v>
      </c>
      <c r="G104" s="4">
        <v>0</v>
      </c>
      <c r="H104" s="4">
        <v>0</v>
      </c>
      <c r="I104" s="4">
        <v>2</v>
      </c>
      <c r="J104" s="4">
        <v>0</v>
      </c>
      <c r="K104" s="4">
        <v>0</v>
      </c>
      <c r="L104" s="4">
        <v>0</v>
      </c>
      <c r="M104" s="4">
        <v>1</v>
      </c>
      <c r="N104" s="4">
        <v>0</v>
      </c>
      <c r="O104" s="4">
        <v>4</v>
      </c>
      <c r="P104" s="4">
        <v>3</v>
      </c>
      <c r="Q104" s="4">
        <v>3</v>
      </c>
      <c r="R104" s="6">
        <v>1.613</v>
      </c>
    </row>
    <row r="105" spans="1:18" x14ac:dyDescent="0.25">
      <c r="A105" t="s">
        <v>5</v>
      </c>
      <c r="B105" s="1"/>
      <c r="C105" t="s">
        <v>69</v>
      </c>
      <c r="D105" s="1"/>
      <c r="E105" s="4">
        <v>1</v>
      </c>
      <c r="F105" s="4">
        <v>90</v>
      </c>
      <c r="G105" s="4">
        <v>1</v>
      </c>
      <c r="H105" s="4">
        <v>0</v>
      </c>
      <c r="I105" s="4">
        <v>1</v>
      </c>
      <c r="J105" s="4">
        <v>4</v>
      </c>
      <c r="K105" s="4">
        <v>0</v>
      </c>
      <c r="L105" s="4">
        <v>0</v>
      </c>
      <c r="M105" s="4">
        <v>3</v>
      </c>
      <c r="N105" s="4">
        <v>0</v>
      </c>
      <c r="O105" s="4">
        <v>7</v>
      </c>
      <c r="P105" s="4">
        <v>5</v>
      </c>
      <c r="Q105" s="4">
        <v>4</v>
      </c>
      <c r="R105" s="6">
        <v>5.7809999999999997</v>
      </c>
    </row>
    <row r="106" spans="1:18" x14ac:dyDescent="0.25">
      <c r="A106" t="s">
        <v>5</v>
      </c>
      <c r="B106" s="1"/>
      <c r="C106" t="s">
        <v>70</v>
      </c>
      <c r="D106" s="1"/>
      <c r="E106" s="4">
        <v>1</v>
      </c>
      <c r="F106" s="4">
        <v>46</v>
      </c>
      <c r="G106" s="4">
        <v>0</v>
      </c>
      <c r="H106" s="4">
        <v>0</v>
      </c>
      <c r="I106" s="4">
        <v>2</v>
      </c>
      <c r="J106" s="4">
        <v>0</v>
      </c>
      <c r="K106" s="4">
        <v>0</v>
      </c>
      <c r="L106" s="4">
        <v>0</v>
      </c>
      <c r="M106" s="4">
        <v>1</v>
      </c>
      <c r="N106" s="4">
        <v>1</v>
      </c>
      <c r="O106" s="4">
        <v>4</v>
      </c>
      <c r="P106" s="4">
        <v>8</v>
      </c>
      <c r="Q106" s="4">
        <v>5</v>
      </c>
      <c r="R106" s="6">
        <v>1.7629999999999999</v>
      </c>
    </row>
    <row r="107" spans="1:18" x14ac:dyDescent="0.25">
      <c r="B107" s="1"/>
      <c r="C107"/>
      <c r="D107" s="1"/>
    </row>
    <row r="108" spans="1:18" x14ac:dyDescent="0.25">
      <c r="A108" t="s">
        <v>22</v>
      </c>
      <c r="O108" s="10">
        <f>SUM(O85:O107)</f>
        <v>76</v>
      </c>
      <c r="P108" s="10">
        <f>SUM(P85:P107)</f>
        <v>85</v>
      </c>
      <c r="Q108" s="10">
        <f>SUM(Q85:Q107)</f>
        <v>62</v>
      </c>
      <c r="R108" s="11">
        <f>AVERAGE(R85:R107)</f>
        <v>2.173142857142857</v>
      </c>
    </row>
    <row r="110" spans="1:18" x14ac:dyDescent="0.25">
      <c r="O110" s="10" t="e">
        <f>SUM(#REF!)</f>
        <v>#REF!</v>
      </c>
      <c r="P110" s="10" t="e">
        <f>SUM(#REF!)</f>
        <v>#REF!</v>
      </c>
      <c r="Q110" s="10" t="e">
        <f>SUM(#REF!)</f>
        <v>#REF!</v>
      </c>
      <c r="R110" s="11" t="e">
        <f>AVERAGE(#REF!)</f>
        <v>#REF!</v>
      </c>
    </row>
    <row r="115" spans="1:18" ht="23.25" x14ac:dyDescent="0.35">
      <c r="C115" s="7" t="s">
        <v>22</v>
      </c>
    </row>
    <row r="116" spans="1:18" x14ac:dyDescent="0.25">
      <c r="A116" s="3" t="s">
        <v>7</v>
      </c>
      <c r="B116" s="2" t="s">
        <v>0</v>
      </c>
      <c r="C116" s="8" t="s">
        <v>1</v>
      </c>
      <c r="D116" s="2" t="s">
        <v>2</v>
      </c>
      <c r="E116" s="2" t="s">
        <v>8</v>
      </c>
      <c r="F116" s="2" t="s">
        <v>9</v>
      </c>
      <c r="G116" s="2" t="s">
        <v>10</v>
      </c>
      <c r="H116" s="2" t="s">
        <v>11</v>
      </c>
      <c r="I116" s="2" t="s">
        <v>12</v>
      </c>
      <c r="J116" s="2" t="s">
        <v>13</v>
      </c>
      <c r="K116" s="2" t="s">
        <v>14</v>
      </c>
      <c r="L116" s="2" t="s">
        <v>15</v>
      </c>
      <c r="M116" s="2" t="s">
        <v>16</v>
      </c>
      <c r="N116" s="2" t="s">
        <v>17</v>
      </c>
      <c r="O116" s="2" t="s">
        <v>18</v>
      </c>
      <c r="P116" s="2" t="s">
        <v>19</v>
      </c>
      <c r="Q116" s="2" t="s">
        <v>21</v>
      </c>
      <c r="R116" s="5" t="s">
        <v>20</v>
      </c>
    </row>
    <row r="117" spans="1:18" x14ac:dyDescent="0.25">
      <c r="A117" t="s">
        <v>3</v>
      </c>
      <c r="B117" s="1"/>
      <c r="C117" t="s">
        <v>58</v>
      </c>
      <c r="D117" s="1" t="s">
        <v>77</v>
      </c>
      <c r="E117" s="4">
        <f t="shared" ref="E117:Q118" ca="1" si="0">SUMIF($C$4:$R$112, $C117, E$4:E$112)</f>
        <v>4</v>
      </c>
      <c r="F117" s="4">
        <f t="shared" ca="1" si="0"/>
        <v>360</v>
      </c>
      <c r="G117" s="4">
        <f t="shared" ca="1" si="0"/>
        <v>5</v>
      </c>
      <c r="H117" s="4">
        <f t="shared" ca="1" si="0"/>
        <v>0</v>
      </c>
      <c r="I117" s="4">
        <f t="shared" ca="1" si="0"/>
        <v>21</v>
      </c>
      <c r="J117" s="4">
        <f t="shared" ca="1" si="0"/>
        <v>18</v>
      </c>
      <c r="K117" s="4">
        <f t="shared" ca="1" si="0"/>
        <v>0</v>
      </c>
      <c r="L117" s="4">
        <f t="shared" ca="1" si="0"/>
        <v>0</v>
      </c>
      <c r="M117" s="4">
        <f t="shared" ca="1" si="0"/>
        <v>0</v>
      </c>
      <c r="N117" s="4">
        <f t="shared" ca="1" si="0"/>
        <v>0</v>
      </c>
      <c r="O117" s="4">
        <f t="shared" ca="1" si="0"/>
        <v>1</v>
      </c>
      <c r="P117" s="4">
        <f t="shared" ca="1" si="0"/>
        <v>9</v>
      </c>
      <c r="Q117" s="4">
        <f t="shared" ca="1" si="0"/>
        <v>1</v>
      </c>
      <c r="R117" s="13">
        <f ca="1">SUMIF($C$4:$R$112, $C117, R$4:R$112)/$E117</f>
        <v>12.2155</v>
      </c>
    </row>
    <row r="118" spans="1:18" x14ac:dyDescent="0.25">
      <c r="A118" t="s">
        <v>3</v>
      </c>
      <c r="B118" s="1"/>
      <c r="C118" t="s">
        <v>78</v>
      </c>
      <c r="D118" s="1" t="s">
        <v>79</v>
      </c>
      <c r="E118" s="4">
        <f t="shared" ca="1" si="0"/>
        <v>0</v>
      </c>
      <c r="F118" s="4">
        <f t="shared" ca="1" si="0"/>
        <v>0</v>
      </c>
      <c r="G118" s="4">
        <f t="shared" ca="1" si="0"/>
        <v>0</v>
      </c>
      <c r="H118" s="4">
        <f t="shared" ca="1" si="0"/>
        <v>0</v>
      </c>
      <c r="I118" s="4">
        <f t="shared" ca="1" si="0"/>
        <v>0</v>
      </c>
      <c r="J118" s="4">
        <f t="shared" ca="1" si="0"/>
        <v>0</v>
      </c>
      <c r="K118" s="4">
        <f t="shared" ca="1" si="0"/>
        <v>0</v>
      </c>
      <c r="L118" s="4">
        <f t="shared" ca="1" si="0"/>
        <v>0</v>
      </c>
      <c r="M118" s="4">
        <f t="shared" ca="1" si="0"/>
        <v>0</v>
      </c>
      <c r="N118" s="4">
        <f t="shared" ca="1" si="0"/>
        <v>0</v>
      </c>
      <c r="O118" s="4">
        <f t="shared" ca="1" si="0"/>
        <v>0</v>
      </c>
      <c r="P118" s="4">
        <f t="shared" ca="1" si="0"/>
        <v>0</v>
      </c>
      <c r="Q118" s="4">
        <f t="shared" ca="1" si="0"/>
        <v>0</v>
      </c>
    </row>
    <row r="119" spans="1:18" x14ac:dyDescent="0.25">
      <c r="B119" s="1"/>
      <c r="C119" s="1"/>
      <c r="D119" s="1"/>
    </row>
    <row r="120" spans="1:18" x14ac:dyDescent="0.25">
      <c r="A120" s="3" t="s">
        <v>7</v>
      </c>
      <c r="B120" s="2" t="s">
        <v>0</v>
      </c>
      <c r="C120" s="8" t="s">
        <v>1</v>
      </c>
      <c r="D120" s="2" t="s">
        <v>2</v>
      </c>
      <c r="E120" s="2" t="s">
        <v>8</v>
      </c>
      <c r="F120" s="2" t="s">
        <v>9</v>
      </c>
      <c r="G120" s="2" t="s">
        <v>10</v>
      </c>
      <c r="H120" s="2" t="s">
        <v>11</v>
      </c>
      <c r="I120" s="2" t="s">
        <v>12</v>
      </c>
      <c r="J120" s="2" t="s">
        <v>13</v>
      </c>
      <c r="K120" s="2" t="s">
        <v>14</v>
      </c>
      <c r="L120" s="2" t="s">
        <v>15</v>
      </c>
      <c r="M120" s="2" t="s">
        <v>16</v>
      </c>
      <c r="N120" s="2" t="s">
        <v>17</v>
      </c>
      <c r="O120" s="2" t="s">
        <v>18</v>
      </c>
      <c r="P120" s="2" t="s">
        <v>19</v>
      </c>
      <c r="Q120" s="2" t="s">
        <v>21</v>
      </c>
      <c r="R120" s="5" t="s">
        <v>20</v>
      </c>
    </row>
    <row r="121" spans="1:18" x14ac:dyDescent="0.25">
      <c r="A121" t="s">
        <v>4</v>
      </c>
      <c r="B121" s="1"/>
      <c r="C121" t="s">
        <v>59</v>
      </c>
      <c r="D121" s="1" t="s">
        <v>80</v>
      </c>
      <c r="E121" s="4">
        <f t="shared" ref="E121:Q126" ca="1" si="1">SUMIF($C$4:$R$112, $C121, E$4:E$112)</f>
        <v>3</v>
      </c>
      <c r="F121" s="4">
        <f t="shared" ca="1" si="1"/>
        <v>182</v>
      </c>
      <c r="G121" s="4">
        <f t="shared" ca="1" si="1"/>
        <v>0</v>
      </c>
      <c r="H121" s="4">
        <f t="shared" ca="1" si="1"/>
        <v>0</v>
      </c>
      <c r="I121" s="4">
        <f t="shared" ca="1" si="1"/>
        <v>0</v>
      </c>
      <c r="J121" s="4">
        <f t="shared" ca="1" si="1"/>
        <v>0</v>
      </c>
      <c r="K121" s="4">
        <f t="shared" ca="1" si="1"/>
        <v>1</v>
      </c>
      <c r="L121" s="4">
        <f t="shared" ca="1" si="1"/>
        <v>0</v>
      </c>
      <c r="M121" s="4">
        <f t="shared" ca="1" si="1"/>
        <v>0</v>
      </c>
      <c r="N121" s="4">
        <f t="shared" ca="1" si="1"/>
        <v>3</v>
      </c>
      <c r="O121" s="4">
        <f t="shared" ca="1" si="1"/>
        <v>10</v>
      </c>
      <c r="P121" s="4">
        <f t="shared" ca="1" si="1"/>
        <v>16</v>
      </c>
      <c r="Q121" s="4">
        <f t="shared" ca="1" si="1"/>
        <v>9</v>
      </c>
      <c r="R121" s="6">
        <f t="shared" ref="R121:R126" ca="1" si="2">SUMIF($C$4:$R$112, $C121, R$4:R$112)/$E121</f>
        <v>5.3660000000000005</v>
      </c>
    </row>
    <row r="122" spans="1:18" x14ac:dyDescent="0.25">
      <c r="A122" t="s">
        <v>4</v>
      </c>
      <c r="B122" s="1"/>
      <c r="C122" t="s">
        <v>60</v>
      </c>
      <c r="D122" s="1" t="s">
        <v>80</v>
      </c>
      <c r="E122" s="4">
        <f t="shared" ca="1" si="1"/>
        <v>4</v>
      </c>
      <c r="F122" s="4">
        <f t="shared" ca="1" si="1"/>
        <v>195</v>
      </c>
      <c r="G122" s="4">
        <f t="shared" ca="1" si="1"/>
        <v>0</v>
      </c>
      <c r="H122" s="4">
        <f t="shared" ca="1" si="1"/>
        <v>0</v>
      </c>
      <c r="I122" s="4">
        <f t="shared" ca="1" si="1"/>
        <v>0</v>
      </c>
      <c r="J122" s="4">
        <f t="shared" ca="1" si="1"/>
        <v>0</v>
      </c>
      <c r="K122" s="4">
        <f t="shared" ca="1" si="1"/>
        <v>1</v>
      </c>
      <c r="L122" s="4">
        <f t="shared" ca="1" si="1"/>
        <v>0</v>
      </c>
      <c r="M122" s="4">
        <f t="shared" ca="1" si="1"/>
        <v>1</v>
      </c>
      <c r="N122" s="4">
        <f t="shared" ca="1" si="1"/>
        <v>1</v>
      </c>
      <c r="O122" s="4">
        <f t="shared" ca="1" si="1"/>
        <v>12</v>
      </c>
      <c r="P122" s="4">
        <f t="shared" ca="1" si="1"/>
        <v>10</v>
      </c>
      <c r="Q122" s="4">
        <f t="shared" ca="1" si="1"/>
        <v>10</v>
      </c>
      <c r="R122" s="6">
        <f t="shared" ca="1" si="2"/>
        <v>3.5027500000000003</v>
      </c>
    </row>
    <row r="123" spans="1:18" x14ac:dyDescent="0.25">
      <c r="A123" t="s">
        <v>4</v>
      </c>
      <c r="B123" s="1"/>
      <c r="C123" t="s">
        <v>61</v>
      </c>
      <c r="D123" s="1" t="s">
        <v>80</v>
      </c>
      <c r="E123" s="4">
        <f t="shared" ca="1" si="1"/>
        <v>4</v>
      </c>
      <c r="F123" s="4">
        <f t="shared" ca="1" si="1"/>
        <v>224</v>
      </c>
      <c r="G123" s="4">
        <f t="shared" ca="1" si="1"/>
        <v>0</v>
      </c>
      <c r="H123" s="4">
        <f t="shared" ca="1" si="1"/>
        <v>0</v>
      </c>
      <c r="I123" s="4">
        <f t="shared" ca="1" si="1"/>
        <v>0</v>
      </c>
      <c r="J123" s="4">
        <f t="shared" ca="1" si="1"/>
        <v>0</v>
      </c>
      <c r="K123" s="4">
        <f t="shared" ca="1" si="1"/>
        <v>1</v>
      </c>
      <c r="L123" s="4">
        <f t="shared" ca="1" si="1"/>
        <v>0</v>
      </c>
      <c r="M123" s="4">
        <f t="shared" ca="1" si="1"/>
        <v>0</v>
      </c>
      <c r="N123" s="4">
        <f t="shared" ca="1" si="1"/>
        <v>3</v>
      </c>
      <c r="O123" s="4">
        <f t="shared" ca="1" si="1"/>
        <v>18</v>
      </c>
      <c r="P123" s="4">
        <f t="shared" ca="1" si="1"/>
        <v>10</v>
      </c>
      <c r="Q123" s="4">
        <f t="shared" ca="1" si="1"/>
        <v>16</v>
      </c>
      <c r="R123" s="6">
        <f t="shared" ca="1" si="2"/>
        <v>4.1470000000000002</v>
      </c>
    </row>
    <row r="124" spans="1:18" x14ac:dyDescent="0.25">
      <c r="A124" t="s">
        <v>4</v>
      </c>
      <c r="B124" s="1"/>
      <c r="C124" t="s">
        <v>62</v>
      </c>
      <c r="D124" s="1" t="s">
        <v>81</v>
      </c>
      <c r="E124" s="4">
        <f t="shared" ca="1" si="1"/>
        <v>4</v>
      </c>
      <c r="F124" s="4">
        <f t="shared" ca="1" si="1"/>
        <v>315</v>
      </c>
      <c r="G124" s="4">
        <f t="shared" ca="1" si="1"/>
        <v>0</v>
      </c>
      <c r="H124" s="4">
        <f t="shared" ca="1" si="1"/>
        <v>0</v>
      </c>
      <c r="I124" s="4">
        <f t="shared" ca="1" si="1"/>
        <v>0</v>
      </c>
      <c r="J124" s="4">
        <f t="shared" ca="1" si="1"/>
        <v>0</v>
      </c>
      <c r="K124" s="4">
        <f t="shared" ca="1" si="1"/>
        <v>0</v>
      </c>
      <c r="L124" s="4">
        <f t="shared" ca="1" si="1"/>
        <v>0</v>
      </c>
      <c r="M124" s="4">
        <f t="shared" ca="1" si="1"/>
        <v>4</v>
      </c>
      <c r="N124" s="4">
        <f t="shared" ca="1" si="1"/>
        <v>2</v>
      </c>
      <c r="O124" s="4">
        <f t="shared" ca="1" si="1"/>
        <v>16</v>
      </c>
      <c r="P124" s="4">
        <f t="shared" ca="1" si="1"/>
        <v>16</v>
      </c>
      <c r="Q124" s="4">
        <f t="shared" ca="1" si="1"/>
        <v>14</v>
      </c>
      <c r="R124" s="6">
        <f t="shared" ca="1" si="2"/>
        <v>4.1902499999999998</v>
      </c>
    </row>
    <row r="125" spans="1:18" x14ac:dyDescent="0.25">
      <c r="A125" t="s">
        <v>4</v>
      </c>
      <c r="B125" s="1"/>
      <c r="C125" s="9" t="s">
        <v>72</v>
      </c>
      <c r="D125" s="1" t="s">
        <v>82</v>
      </c>
      <c r="E125" s="4">
        <f t="shared" ca="1" si="1"/>
        <v>3</v>
      </c>
      <c r="F125" s="4">
        <f t="shared" ca="1" si="1"/>
        <v>164</v>
      </c>
      <c r="G125" s="4">
        <f t="shared" ca="1" si="1"/>
        <v>0</v>
      </c>
      <c r="H125" s="4">
        <f t="shared" ca="1" si="1"/>
        <v>0</v>
      </c>
      <c r="I125" s="4">
        <f t="shared" ca="1" si="1"/>
        <v>0</v>
      </c>
      <c r="J125" s="4">
        <f t="shared" ca="1" si="1"/>
        <v>0</v>
      </c>
      <c r="K125" s="4">
        <f t="shared" ca="1" si="1"/>
        <v>0</v>
      </c>
      <c r="L125" s="4">
        <f t="shared" ca="1" si="1"/>
        <v>0</v>
      </c>
      <c r="M125" s="4">
        <f t="shared" ca="1" si="1"/>
        <v>3</v>
      </c>
      <c r="N125" s="4">
        <f t="shared" ca="1" si="1"/>
        <v>2</v>
      </c>
      <c r="O125" s="4">
        <f t="shared" ca="1" si="1"/>
        <v>15</v>
      </c>
      <c r="P125" s="4">
        <f t="shared" ca="1" si="1"/>
        <v>18</v>
      </c>
      <c r="Q125" s="4">
        <f t="shared" ca="1" si="1"/>
        <v>14</v>
      </c>
      <c r="R125" s="6">
        <f t="shared" ca="1" si="2"/>
        <v>2.5623333333333331</v>
      </c>
    </row>
    <row r="126" spans="1:18" x14ac:dyDescent="0.25">
      <c r="A126" t="s">
        <v>4</v>
      </c>
      <c r="B126" s="1"/>
      <c r="C126" t="s">
        <v>83</v>
      </c>
      <c r="D126" s="1" t="s">
        <v>84</v>
      </c>
      <c r="E126" s="4">
        <f t="shared" ca="1" si="1"/>
        <v>0</v>
      </c>
      <c r="F126" s="4">
        <f t="shared" ca="1" si="1"/>
        <v>0</v>
      </c>
      <c r="G126" s="4">
        <f t="shared" ca="1" si="1"/>
        <v>0</v>
      </c>
      <c r="H126" s="4">
        <f t="shared" ca="1" si="1"/>
        <v>0</v>
      </c>
      <c r="I126" s="4">
        <f t="shared" ca="1" si="1"/>
        <v>0</v>
      </c>
      <c r="J126" s="4">
        <f t="shared" ca="1" si="1"/>
        <v>0</v>
      </c>
      <c r="K126" s="4">
        <f t="shared" ca="1" si="1"/>
        <v>0</v>
      </c>
      <c r="L126" s="4">
        <f t="shared" ca="1" si="1"/>
        <v>0</v>
      </c>
      <c r="M126" s="4">
        <f t="shared" ca="1" si="1"/>
        <v>0</v>
      </c>
      <c r="N126" s="4">
        <f t="shared" ca="1" si="1"/>
        <v>0</v>
      </c>
      <c r="O126" s="4">
        <f t="shared" ca="1" si="1"/>
        <v>0</v>
      </c>
      <c r="P126" s="4">
        <f t="shared" ca="1" si="1"/>
        <v>0</v>
      </c>
      <c r="Q126" s="4">
        <f t="shared" ca="1" si="1"/>
        <v>0</v>
      </c>
    </row>
    <row r="127" spans="1:18" x14ac:dyDescent="0.25">
      <c r="B127" s="1"/>
      <c r="C127" s="1"/>
      <c r="D127" s="1"/>
    </row>
    <row r="128" spans="1:18" x14ac:dyDescent="0.25">
      <c r="A128" s="3" t="s">
        <v>7</v>
      </c>
      <c r="B128" s="2" t="s">
        <v>0</v>
      </c>
      <c r="C128" s="8" t="s">
        <v>1</v>
      </c>
      <c r="D128" s="2" t="s">
        <v>2</v>
      </c>
      <c r="E128" s="2" t="s">
        <v>8</v>
      </c>
      <c r="F128" s="2" t="s">
        <v>9</v>
      </c>
      <c r="G128" s="2" t="s">
        <v>10</v>
      </c>
      <c r="H128" s="2" t="s">
        <v>11</v>
      </c>
      <c r="I128" s="2" t="s">
        <v>12</v>
      </c>
      <c r="J128" s="2" t="s">
        <v>13</v>
      </c>
      <c r="K128" s="2" t="s">
        <v>14</v>
      </c>
      <c r="L128" s="2" t="s">
        <v>15</v>
      </c>
      <c r="M128" s="2" t="s">
        <v>16</v>
      </c>
      <c r="N128" s="2" t="s">
        <v>17</v>
      </c>
      <c r="O128" s="2" t="s">
        <v>18</v>
      </c>
      <c r="P128" s="2" t="s">
        <v>19</v>
      </c>
      <c r="Q128" s="2" t="s">
        <v>21</v>
      </c>
      <c r="R128" s="5" t="s">
        <v>20</v>
      </c>
    </row>
    <row r="129" spans="1:18" x14ac:dyDescent="0.25">
      <c r="A129" t="s">
        <v>6</v>
      </c>
      <c r="B129" s="1"/>
      <c r="C129" t="s">
        <v>64</v>
      </c>
      <c r="D129" s="1" t="s">
        <v>81</v>
      </c>
      <c r="E129" s="4">
        <f t="shared" ref="E129:Q137" ca="1" si="3">SUMIF($C$4:$R$112, $C129, E$4:E$112)</f>
        <v>3</v>
      </c>
      <c r="F129" s="4">
        <f t="shared" ca="1" si="3"/>
        <v>270</v>
      </c>
      <c r="G129" s="4">
        <f t="shared" ca="1" si="3"/>
        <v>0</v>
      </c>
      <c r="H129" s="4">
        <f t="shared" ca="1" si="3"/>
        <v>0</v>
      </c>
      <c r="I129" s="4">
        <f t="shared" ca="1" si="3"/>
        <v>0</v>
      </c>
      <c r="J129" s="4">
        <f t="shared" ca="1" si="3"/>
        <v>0</v>
      </c>
      <c r="K129" s="4">
        <f t="shared" ca="1" si="3"/>
        <v>0</v>
      </c>
      <c r="L129" s="4">
        <f t="shared" ca="1" si="3"/>
        <v>0</v>
      </c>
      <c r="M129" s="4">
        <f t="shared" ca="1" si="3"/>
        <v>3</v>
      </c>
      <c r="N129" s="14">
        <f t="shared" ca="1" si="3"/>
        <v>5</v>
      </c>
      <c r="O129" s="4">
        <f t="shared" ca="1" si="3"/>
        <v>31</v>
      </c>
      <c r="P129" s="4">
        <f t="shared" ca="1" si="3"/>
        <v>23</v>
      </c>
      <c r="Q129" s="4">
        <f t="shared" ca="1" si="3"/>
        <v>22</v>
      </c>
      <c r="R129" s="6">
        <f t="shared" ref="R129:R137" ca="1" si="4">SUMIF($C$4:$R$112, $C129, R$4:R$112)/$E129</f>
        <v>3.7446666666666668</v>
      </c>
    </row>
    <row r="130" spans="1:18" x14ac:dyDescent="0.25">
      <c r="A130" t="s">
        <v>6</v>
      </c>
      <c r="B130" s="1"/>
      <c r="C130" t="s">
        <v>74</v>
      </c>
      <c r="D130" s="1" t="s">
        <v>84</v>
      </c>
      <c r="E130" s="4">
        <f t="shared" ca="1" si="3"/>
        <v>2</v>
      </c>
      <c r="F130" s="4">
        <f t="shared" ca="1" si="3"/>
        <v>180</v>
      </c>
      <c r="G130" s="4">
        <f t="shared" ca="1" si="3"/>
        <v>0</v>
      </c>
      <c r="H130" s="4">
        <f t="shared" ca="1" si="3"/>
        <v>0</v>
      </c>
      <c r="I130" s="4">
        <f t="shared" ca="1" si="3"/>
        <v>0</v>
      </c>
      <c r="J130" s="4">
        <f t="shared" ca="1" si="3"/>
        <v>0</v>
      </c>
      <c r="K130" s="4">
        <f t="shared" ca="1" si="3"/>
        <v>0</v>
      </c>
      <c r="L130" s="4">
        <f t="shared" ca="1" si="3"/>
        <v>0</v>
      </c>
      <c r="M130" s="4">
        <f t="shared" ca="1" si="3"/>
        <v>1</v>
      </c>
      <c r="N130" s="4">
        <f t="shared" ca="1" si="3"/>
        <v>4</v>
      </c>
      <c r="O130" s="4">
        <f t="shared" ca="1" si="3"/>
        <v>10</v>
      </c>
      <c r="P130" s="4">
        <f t="shared" ca="1" si="3"/>
        <v>28</v>
      </c>
      <c r="Q130" s="4">
        <f t="shared" ca="1" si="3"/>
        <v>8</v>
      </c>
      <c r="R130" s="15">
        <f t="shared" ca="1" si="4"/>
        <v>-2.278</v>
      </c>
    </row>
    <row r="131" spans="1:18" x14ac:dyDescent="0.25">
      <c r="A131" t="s">
        <v>6</v>
      </c>
      <c r="B131" s="1"/>
      <c r="C131" t="s">
        <v>73</v>
      </c>
      <c r="D131" s="1" t="s">
        <v>85</v>
      </c>
      <c r="E131" s="4">
        <f t="shared" ca="1" si="3"/>
        <v>2</v>
      </c>
      <c r="F131" s="4">
        <f t="shared" ca="1" si="3"/>
        <v>165</v>
      </c>
      <c r="G131" s="4">
        <f t="shared" ca="1" si="3"/>
        <v>0</v>
      </c>
      <c r="H131" s="4">
        <f t="shared" ca="1" si="3"/>
        <v>0</v>
      </c>
      <c r="I131" s="4">
        <f t="shared" ca="1" si="3"/>
        <v>0</v>
      </c>
      <c r="J131" s="4">
        <f t="shared" ca="1" si="3"/>
        <v>0</v>
      </c>
      <c r="K131" s="4">
        <f t="shared" ca="1" si="3"/>
        <v>0</v>
      </c>
      <c r="L131" s="4">
        <f t="shared" ca="1" si="3"/>
        <v>0</v>
      </c>
      <c r="M131" s="4">
        <f t="shared" ca="1" si="3"/>
        <v>1</v>
      </c>
      <c r="N131" s="4">
        <f t="shared" ca="1" si="3"/>
        <v>2</v>
      </c>
      <c r="O131" s="4">
        <f t="shared" ca="1" si="3"/>
        <v>11</v>
      </c>
      <c r="P131" s="4">
        <f t="shared" ca="1" si="3"/>
        <v>13</v>
      </c>
      <c r="Q131" s="4">
        <f t="shared" ca="1" si="3"/>
        <v>12</v>
      </c>
      <c r="R131" s="6">
        <f t="shared" ca="1" si="4"/>
        <v>0.1875</v>
      </c>
    </row>
    <row r="132" spans="1:18" x14ac:dyDescent="0.25">
      <c r="A132" t="s">
        <v>6</v>
      </c>
      <c r="B132" s="1"/>
      <c r="C132" t="s">
        <v>67</v>
      </c>
      <c r="D132" s="1" t="s">
        <v>80</v>
      </c>
      <c r="E132" s="4">
        <f t="shared" ca="1" si="3"/>
        <v>3</v>
      </c>
      <c r="F132" s="4">
        <f t="shared" ca="1" si="3"/>
        <v>270</v>
      </c>
      <c r="G132" s="4">
        <f t="shared" ca="1" si="3"/>
        <v>0</v>
      </c>
      <c r="H132" s="4">
        <f t="shared" ca="1" si="3"/>
        <v>1</v>
      </c>
      <c r="I132" s="4">
        <f t="shared" ca="1" si="3"/>
        <v>3</v>
      </c>
      <c r="J132" s="4">
        <f t="shared" ca="1" si="3"/>
        <v>1</v>
      </c>
      <c r="K132" s="4">
        <f t="shared" ca="1" si="3"/>
        <v>1</v>
      </c>
      <c r="L132" s="4">
        <f t="shared" ca="1" si="3"/>
        <v>1</v>
      </c>
      <c r="M132" s="4">
        <f t="shared" ca="1" si="3"/>
        <v>5</v>
      </c>
      <c r="N132" s="4">
        <f t="shared" ca="1" si="3"/>
        <v>4</v>
      </c>
      <c r="O132" s="4">
        <f t="shared" ca="1" si="3"/>
        <v>23</v>
      </c>
      <c r="P132" s="4">
        <f t="shared" ca="1" si="3"/>
        <v>28</v>
      </c>
      <c r="Q132" s="14">
        <f t="shared" ca="1" si="3"/>
        <v>34</v>
      </c>
      <c r="R132" s="6">
        <f t="shared" ca="1" si="4"/>
        <v>3.7086666666666663</v>
      </c>
    </row>
    <row r="133" spans="1:18" x14ac:dyDescent="0.25">
      <c r="A133" t="s">
        <v>6</v>
      </c>
      <c r="B133" s="1"/>
      <c r="C133" t="s">
        <v>65</v>
      </c>
      <c r="D133" s="1" t="s">
        <v>86</v>
      </c>
      <c r="E133" s="4">
        <f t="shared" ca="1" si="3"/>
        <v>4</v>
      </c>
      <c r="F133" s="4">
        <f t="shared" ca="1" si="3"/>
        <v>360</v>
      </c>
      <c r="G133" s="4">
        <f t="shared" ca="1" si="3"/>
        <v>0</v>
      </c>
      <c r="H133" s="4">
        <f t="shared" ca="1" si="3"/>
        <v>0</v>
      </c>
      <c r="I133" s="4">
        <f t="shared" ca="1" si="3"/>
        <v>0</v>
      </c>
      <c r="J133" s="4">
        <f t="shared" ca="1" si="3"/>
        <v>4</v>
      </c>
      <c r="K133" s="4">
        <f t="shared" ca="1" si="3"/>
        <v>1</v>
      </c>
      <c r="L133" s="4">
        <f t="shared" ca="1" si="3"/>
        <v>0</v>
      </c>
      <c r="M133" s="4">
        <f t="shared" ca="1" si="3"/>
        <v>5</v>
      </c>
      <c r="N133" s="4">
        <f t="shared" ca="1" si="3"/>
        <v>4</v>
      </c>
      <c r="O133" s="4">
        <f t="shared" ca="1" si="3"/>
        <v>21</v>
      </c>
      <c r="P133" s="4">
        <f t="shared" ca="1" si="3"/>
        <v>26</v>
      </c>
      <c r="Q133" s="4">
        <f t="shared" ca="1" si="3"/>
        <v>32</v>
      </c>
      <c r="R133" s="6">
        <f t="shared" ca="1" si="4"/>
        <v>3.5404999999999998</v>
      </c>
    </row>
    <row r="134" spans="1:18" x14ac:dyDescent="0.25">
      <c r="A134" t="s">
        <v>6</v>
      </c>
      <c r="B134" s="1"/>
      <c r="C134" t="s">
        <v>66</v>
      </c>
      <c r="D134" s="1" t="s">
        <v>80</v>
      </c>
      <c r="E134" s="4">
        <f t="shared" ca="1" si="3"/>
        <v>4</v>
      </c>
      <c r="F134" s="4">
        <f t="shared" ca="1" si="3"/>
        <v>360</v>
      </c>
      <c r="G134" s="4">
        <f t="shared" ca="1" si="3"/>
        <v>0</v>
      </c>
      <c r="H134" s="4">
        <f t="shared" ca="1" si="3"/>
        <v>0</v>
      </c>
      <c r="I134" s="4">
        <f t="shared" ca="1" si="3"/>
        <v>2</v>
      </c>
      <c r="J134" s="4">
        <f t="shared" ca="1" si="3"/>
        <v>2</v>
      </c>
      <c r="K134" s="4">
        <f t="shared" ca="1" si="3"/>
        <v>0</v>
      </c>
      <c r="L134" s="4">
        <f t="shared" ca="1" si="3"/>
        <v>0</v>
      </c>
      <c r="M134" s="4">
        <f t="shared" ca="1" si="3"/>
        <v>2</v>
      </c>
      <c r="N134" s="14">
        <f t="shared" ca="1" si="3"/>
        <v>5</v>
      </c>
      <c r="O134" s="14">
        <f t="shared" ca="1" si="3"/>
        <v>39</v>
      </c>
      <c r="P134" s="4">
        <f t="shared" ca="1" si="3"/>
        <v>31</v>
      </c>
      <c r="Q134" s="14">
        <f t="shared" ca="1" si="3"/>
        <v>34</v>
      </c>
      <c r="R134" s="6">
        <f t="shared" ca="1" si="4"/>
        <v>4.2404999999999999</v>
      </c>
    </row>
    <row r="135" spans="1:18" x14ac:dyDescent="0.25">
      <c r="A135" t="s">
        <v>6</v>
      </c>
      <c r="B135" s="1"/>
      <c r="C135" t="s">
        <v>63</v>
      </c>
      <c r="D135" s="1" t="s">
        <v>87</v>
      </c>
      <c r="E135" s="4">
        <f t="shared" ca="1" si="3"/>
        <v>3</v>
      </c>
      <c r="F135" s="4">
        <f t="shared" ca="1" si="3"/>
        <v>270</v>
      </c>
      <c r="G135" s="4">
        <f t="shared" ca="1" si="3"/>
        <v>0</v>
      </c>
      <c r="H135" s="4">
        <f t="shared" ca="1" si="3"/>
        <v>0</v>
      </c>
      <c r="I135" s="4">
        <f t="shared" ca="1" si="3"/>
        <v>1</v>
      </c>
      <c r="J135" s="4">
        <f t="shared" ca="1" si="3"/>
        <v>2</v>
      </c>
      <c r="K135" s="4">
        <f t="shared" ca="1" si="3"/>
        <v>0</v>
      </c>
      <c r="L135" s="4">
        <f t="shared" ca="1" si="3"/>
        <v>0</v>
      </c>
      <c r="M135" s="16">
        <f t="shared" ca="1" si="3"/>
        <v>7</v>
      </c>
      <c r="N135" s="4">
        <f t="shared" ca="1" si="3"/>
        <v>2</v>
      </c>
      <c r="O135" s="4">
        <f t="shared" ca="1" si="3"/>
        <v>29</v>
      </c>
      <c r="P135" s="16">
        <f t="shared" ca="1" si="3"/>
        <v>32</v>
      </c>
      <c r="Q135" s="4">
        <f t="shared" ca="1" si="3"/>
        <v>21</v>
      </c>
      <c r="R135" s="6">
        <f t="shared" ca="1" si="4"/>
        <v>3.7123333333333335</v>
      </c>
    </row>
    <row r="136" spans="1:18" x14ac:dyDescent="0.25">
      <c r="A136" t="s">
        <v>6</v>
      </c>
      <c r="B136" s="1"/>
      <c r="C136" t="s">
        <v>88</v>
      </c>
      <c r="D136" s="1" t="s">
        <v>89</v>
      </c>
      <c r="E136" s="4">
        <f t="shared" ca="1" si="3"/>
        <v>0</v>
      </c>
      <c r="F136" s="4">
        <f t="shared" ca="1" si="3"/>
        <v>0</v>
      </c>
      <c r="G136" s="4">
        <f t="shared" ca="1" si="3"/>
        <v>0</v>
      </c>
      <c r="H136" s="4">
        <f t="shared" ca="1" si="3"/>
        <v>0</v>
      </c>
      <c r="I136" s="4">
        <f t="shared" ca="1" si="3"/>
        <v>0</v>
      </c>
      <c r="J136" s="4">
        <f t="shared" ca="1" si="3"/>
        <v>0</v>
      </c>
      <c r="K136" s="4">
        <f t="shared" ca="1" si="3"/>
        <v>0</v>
      </c>
      <c r="L136" s="4">
        <f t="shared" ca="1" si="3"/>
        <v>0</v>
      </c>
      <c r="M136" s="4">
        <f t="shared" ca="1" si="3"/>
        <v>0</v>
      </c>
      <c r="N136" s="4">
        <f t="shared" ca="1" si="3"/>
        <v>0</v>
      </c>
      <c r="O136" s="4">
        <f t="shared" ca="1" si="3"/>
        <v>0</v>
      </c>
      <c r="P136" s="4">
        <f t="shared" ca="1" si="3"/>
        <v>0</v>
      </c>
      <c r="Q136" s="4">
        <f t="shared" ca="1" si="3"/>
        <v>0</v>
      </c>
    </row>
    <row r="137" spans="1:18" x14ac:dyDescent="0.25">
      <c r="A137" t="s">
        <v>6</v>
      </c>
      <c r="B137" s="1"/>
      <c r="C137" t="s">
        <v>90</v>
      </c>
      <c r="D137" s="1" t="s">
        <v>91</v>
      </c>
      <c r="E137" s="4">
        <f t="shared" ca="1" si="3"/>
        <v>0</v>
      </c>
      <c r="F137" s="4">
        <f t="shared" ca="1" si="3"/>
        <v>0</v>
      </c>
      <c r="G137" s="4">
        <f t="shared" ca="1" si="3"/>
        <v>0</v>
      </c>
      <c r="H137" s="4">
        <f t="shared" ca="1" si="3"/>
        <v>0</v>
      </c>
      <c r="I137" s="4">
        <f t="shared" ca="1" si="3"/>
        <v>0</v>
      </c>
      <c r="J137" s="4">
        <f t="shared" ca="1" si="3"/>
        <v>0</v>
      </c>
      <c r="K137" s="4">
        <f t="shared" ca="1" si="3"/>
        <v>0</v>
      </c>
      <c r="L137" s="4">
        <f t="shared" ca="1" si="3"/>
        <v>0</v>
      </c>
      <c r="M137" s="4">
        <f t="shared" ca="1" si="3"/>
        <v>0</v>
      </c>
      <c r="N137" s="4">
        <f t="shared" ca="1" si="3"/>
        <v>0</v>
      </c>
      <c r="O137" s="4">
        <f t="shared" ca="1" si="3"/>
        <v>0</v>
      </c>
      <c r="P137" s="4">
        <f t="shared" ca="1" si="3"/>
        <v>0</v>
      </c>
      <c r="Q137" s="4">
        <f t="shared" ca="1" si="3"/>
        <v>0</v>
      </c>
    </row>
    <row r="138" spans="1:18" x14ac:dyDescent="0.25">
      <c r="B138" s="1"/>
      <c r="D138" s="1"/>
    </row>
    <row r="139" spans="1:18" x14ac:dyDescent="0.25">
      <c r="B139" s="1"/>
      <c r="C139"/>
      <c r="D139" s="1"/>
    </row>
    <row r="140" spans="1:18" x14ac:dyDescent="0.25">
      <c r="A140" s="3" t="s">
        <v>7</v>
      </c>
      <c r="B140" s="2" t="s">
        <v>0</v>
      </c>
      <c r="C140" s="8" t="s">
        <v>1</v>
      </c>
      <c r="D140" s="2" t="s">
        <v>2</v>
      </c>
      <c r="E140" s="2" t="s">
        <v>8</v>
      </c>
      <c r="F140" s="2" t="s">
        <v>9</v>
      </c>
      <c r="G140" s="2" t="s">
        <v>10</v>
      </c>
      <c r="H140" s="2" t="s">
        <v>11</v>
      </c>
      <c r="I140" s="2" t="s">
        <v>12</v>
      </c>
      <c r="J140" s="2" t="s">
        <v>13</v>
      </c>
      <c r="K140" s="2" t="s">
        <v>14</v>
      </c>
      <c r="L140" s="2" t="s">
        <v>15</v>
      </c>
      <c r="M140" s="2" t="s">
        <v>16</v>
      </c>
      <c r="N140" s="2" t="s">
        <v>17</v>
      </c>
      <c r="O140" s="2" t="s">
        <v>18</v>
      </c>
      <c r="P140" s="2" t="s">
        <v>19</v>
      </c>
      <c r="Q140" s="2" t="s">
        <v>21</v>
      </c>
      <c r="R140" s="5" t="s">
        <v>20</v>
      </c>
    </row>
    <row r="141" spans="1:18" x14ac:dyDescent="0.25">
      <c r="A141" t="s">
        <v>5</v>
      </c>
      <c r="B141" s="1"/>
      <c r="C141" t="s">
        <v>69</v>
      </c>
      <c r="D141" s="1" t="s">
        <v>94</v>
      </c>
      <c r="E141" s="4">
        <f t="shared" ref="E141:Q144" ca="1" si="5">SUMIF($C$4:$R$112, $C141, E$4:E$112)</f>
        <v>4</v>
      </c>
      <c r="F141" s="4">
        <f t="shared" ca="1" si="5"/>
        <v>330</v>
      </c>
      <c r="G141" s="4">
        <f t="shared" ca="1" si="5"/>
        <v>5</v>
      </c>
      <c r="H141" s="4">
        <f t="shared" ca="1" si="5"/>
        <v>1</v>
      </c>
      <c r="I141" s="4">
        <f t="shared" ca="1" si="5"/>
        <v>6</v>
      </c>
      <c r="J141" s="4">
        <f t="shared" ca="1" si="5"/>
        <v>7</v>
      </c>
      <c r="K141" s="4">
        <f t="shared" ca="1" si="5"/>
        <v>0</v>
      </c>
      <c r="L141" s="4">
        <f t="shared" ca="1" si="5"/>
        <v>0</v>
      </c>
      <c r="M141" s="4">
        <f t="shared" ca="1" si="5"/>
        <v>5</v>
      </c>
      <c r="N141" s="4">
        <f t="shared" ca="1" si="5"/>
        <v>2</v>
      </c>
      <c r="O141" s="14">
        <f t="shared" ca="1" si="5"/>
        <v>39</v>
      </c>
      <c r="P141" s="4">
        <f t="shared" ca="1" si="5"/>
        <v>30</v>
      </c>
      <c r="Q141" s="4">
        <f t="shared" ca="1" si="5"/>
        <v>20</v>
      </c>
      <c r="R141" s="6">
        <f ca="1">SUMIF($C$4:$R$112, $C141, R$4:R$112)/$E141</f>
        <v>6.6189999999999998</v>
      </c>
    </row>
    <row r="142" spans="1:18" x14ac:dyDescent="0.25">
      <c r="A142" t="s">
        <v>5</v>
      </c>
      <c r="B142" s="1"/>
      <c r="C142" t="s">
        <v>70</v>
      </c>
      <c r="D142" s="1" t="s">
        <v>92</v>
      </c>
      <c r="E142" s="4">
        <f t="shared" ca="1" si="5"/>
        <v>4</v>
      </c>
      <c r="F142" s="4">
        <f t="shared" ca="1" si="5"/>
        <v>152</v>
      </c>
      <c r="G142" s="4">
        <f t="shared" ca="1" si="5"/>
        <v>1</v>
      </c>
      <c r="H142" s="4">
        <f t="shared" ca="1" si="5"/>
        <v>1</v>
      </c>
      <c r="I142" s="4">
        <f t="shared" ca="1" si="5"/>
        <v>4</v>
      </c>
      <c r="J142" s="4">
        <f t="shared" ca="1" si="5"/>
        <v>3</v>
      </c>
      <c r="K142" s="4">
        <f t="shared" ca="1" si="5"/>
        <v>1</v>
      </c>
      <c r="L142" s="4">
        <f t="shared" ca="1" si="5"/>
        <v>0</v>
      </c>
      <c r="M142" s="4">
        <f t="shared" ca="1" si="5"/>
        <v>5</v>
      </c>
      <c r="N142" s="4">
        <f t="shared" ca="1" si="5"/>
        <v>3</v>
      </c>
      <c r="O142" s="4">
        <f t="shared" ca="1" si="5"/>
        <v>15</v>
      </c>
      <c r="P142" s="4">
        <f t="shared" ca="1" si="5"/>
        <v>17</v>
      </c>
      <c r="Q142" s="4">
        <f t="shared" ca="1" si="5"/>
        <v>10</v>
      </c>
      <c r="R142" s="6">
        <f ca="1">SUMIF($C$4:$R$112, $C142, R$4:R$112)/$E142</f>
        <v>2.03925</v>
      </c>
    </row>
    <row r="143" spans="1:18" x14ac:dyDescent="0.25">
      <c r="A143" t="s">
        <v>5</v>
      </c>
      <c r="B143" s="1"/>
      <c r="C143" s="9" t="s">
        <v>75</v>
      </c>
      <c r="D143" s="1" t="s">
        <v>93</v>
      </c>
      <c r="E143" s="4">
        <f t="shared" ca="1" si="5"/>
        <v>1</v>
      </c>
      <c r="F143" s="4">
        <f t="shared" ca="1" si="5"/>
        <v>44</v>
      </c>
      <c r="G143" s="4">
        <f t="shared" ca="1" si="5"/>
        <v>0</v>
      </c>
      <c r="H143" s="4">
        <f t="shared" ca="1" si="5"/>
        <v>0</v>
      </c>
      <c r="I143" s="4">
        <f t="shared" ca="1" si="5"/>
        <v>0</v>
      </c>
      <c r="J143" s="4">
        <f t="shared" ca="1" si="5"/>
        <v>2</v>
      </c>
      <c r="K143" s="4">
        <f t="shared" ca="1" si="5"/>
        <v>0</v>
      </c>
      <c r="L143" s="4">
        <f t="shared" ca="1" si="5"/>
        <v>0</v>
      </c>
      <c r="M143" s="4">
        <f t="shared" ca="1" si="5"/>
        <v>0</v>
      </c>
      <c r="N143" s="4">
        <f t="shared" ca="1" si="5"/>
        <v>2</v>
      </c>
      <c r="O143" s="4">
        <f t="shared" ca="1" si="5"/>
        <v>2</v>
      </c>
      <c r="P143" s="4">
        <f t="shared" ca="1" si="5"/>
        <v>1</v>
      </c>
      <c r="Q143" s="4">
        <f t="shared" ca="1" si="5"/>
        <v>1</v>
      </c>
      <c r="R143" s="6">
        <f ca="1">SUMIF($C$4:$R$112, $C143, R$4:R$112)/$E143</f>
        <v>1.363</v>
      </c>
    </row>
    <row r="144" spans="1:18" x14ac:dyDescent="0.25">
      <c r="A144" t="s">
        <v>5</v>
      </c>
      <c r="B144" s="1"/>
      <c r="C144" s="9" t="s">
        <v>68</v>
      </c>
      <c r="D144" s="1" t="s">
        <v>92</v>
      </c>
      <c r="E144" s="4">
        <f t="shared" ca="1" si="5"/>
        <v>3</v>
      </c>
      <c r="F144" s="4">
        <f t="shared" ca="1" si="5"/>
        <v>119</v>
      </c>
      <c r="G144" s="4">
        <f t="shared" ca="1" si="5"/>
        <v>0</v>
      </c>
      <c r="H144" s="4">
        <f t="shared" ca="1" si="5"/>
        <v>0</v>
      </c>
      <c r="I144" s="4">
        <f t="shared" ca="1" si="5"/>
        <v>2</v>
      </c>
      <c r="J144" s="4">
        <f t="shared" ca="1" si="5"/>
        <v>1</v>
      </c>
      <c r="K144" s="4">
        <f t="shared" ca="1" si="5"/>
        <v>0</v>
      </c>
      <c r="L144" s="4">
        <f t="shared" ca="1" si="5"/>
        <v>0</v>
      </c>
      <c r="M144" s="4">
        <f t="shared" ca="1" si="5"/>
        <v>5</v>
      </c>
      <c r="N144" s="4">
        <f t="shared" ca="1" si="5"/>
        <v>0</v>
      </c>
      <c r="O144" s="4">
        <f t="shared" ca="1" si="5"/>
        <v>11</v>
      </c>
      <c r="P144" s="4">
        <f t="shared" ca="1" si="5"/>
        <v>12</v>
      </c>
      <c r="Q144" s="4">
        <f t="shared" ca="1" si="5"/>
        <v>10</v>
      </c>
      <c r="R144" s="6">
        <f ca="1">SUMIF($C$4:$R$112, $C144, R$4:R$112)/$E144</f>
        <v>1.1146666666666667</v>
      </c>
    </row>
  </sheetData>
  <pageMargins left="0.7" right="0.7" top="0.75" bottom="0.75" header="0.3" footer="0.3"/>
  <pageSetup paperSize="9" orientation="portrait" horizontalDpi="4294967295" verticalDpi="4294967295" r:id="rId1"/>
  <webPublishItems count="1">
    <webPublishItem id="5146" divId="me_sco_stats_5146" sourceType="range" sourceRef="A116:R144" destinationFile="J:\data\brejk\clanky\me_40_sco\me_sco_stats.htm"/>
  </webPublishItem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V11"/>
  <sheetViews>
    <sheetView workbookViewId="0">
      <selection activeCell="B10" sqref="B10"/>
    </sheetView>
  </sheetViews>
  <sheetFormatPr defaultRowHeight="15" x14ac:dyDescent="0.25"/>
  <cols>
    <col min="2" max="2" width="15.140625" bestFit="1" customWidth="1"/>
    <col min="3" max="17" width="9.140625" style="4"/>
    <col min="18" max="18" width="9.140625" style="6"/>
    <col min="19" max="22" width="9.140625" style="4"/>
  </cols>
  <sheetData>
    <row r="3" spans="1:22" x14ac:dyDescent="0.25">
      <c r="A3" s="3" t="s">
        <v>25</v>
      </c>
      <c r="B3" s="3" t="s">
        <v>26</v>
      </c>
      <c r="C3" s="10" t="s">
        <v>27</v>
      </c>
      <c r="D3" s="10" t="s">
        <v>28</v>
      </c>
      <c r="E3" s="10" t="s">
        <v>29</v>
      </c>
      <c r="F3" s="10" t="s">
        <v>30</v>
      </c>
      <c r="G3" s="10" t="s">
        <v>33</v>
      </c>
      <c r="H3" s="10" t="s">
        <v>34</v>
      </c>
      <c r="I3" s="10" t="s">
        <v>35</v>
      </c>
      <c r="J3" s="10" t="s">
        <v>36</v>
      </c>
      <c r="K3" s="10" t="s">
        <v>37</v>
      </c>
      <c r="L3" s="10" t="s">
        <v>38</v>
      </c>
      <c r="M3" s="10" t="s">
        <v>16</v>
      </c>
      <c r="N3" s="10" t="s">
        <v>17</v>
      </c>
      <c r="O3" s="10" t="s">
        <v>44</v>
      </c>
      <c r="P3" s="10" t="s">
        <v>45</v>
      </c>
      <c r="Q3" s="10" t="s">
        <v>43</v>
      </c>
      <c r="R3" s="11" t="s">
        <v>46</v>
      </c>
      <c r="S3" s="10" t="s">
        <v>39</v>
      </c>
      <c r="T3" s="10" t="s">
        <v>40</v>
      </c>
      <c r="U3" s="10" t="s">
        <v>41</v>
      </c>
      <c r="V3" s="10" t="s">
        <v>42</v>
      </c>
    </row>
    <row r="4" spans="1:22" x14ac:dyDescent="0.25">
      <c r="A4" t="s">
        <v>31</v>
      </c>
      <c r="B4" t="s">
        <v>32</v>
      </c>
      <c r="C4" s="4">
        <v>2</v>
      </c>
      <c r="D4" s="4">
        <v>1</v>
      </c>
      <c r="E4" s="4">
        <v>1</v>
      </c>
      <c r="F4" s="4">
        <v>0</v>
      </c>
      <c r="G4" s="4">
        <v>5</v>
      </c>
      <c r="H4" s="4">
        <v>6</v>
      </c>
      <c r="I4" s="4">
        <v>12</v>
      </c>
      <c r="J4" s="4">
        <v>5</v>
      </c>
      <c r="K4" s="4">
        <v>2</v>
      </c>
      <c r="L4" s="4">
        <v>1</v>
      </c>
      <c r="M4" s="4">
        <v>12</v>
      </c>
      <c r="N4" s="4">
        <v>18</v>
      </c>
      <c r="O4" s="4">
        <v>70</v>
      </c>
      <c r="P4" s="4">
        <v>67</v>
      </c>
      <c r="Q4" s="4">
        <v>67</v>
      </c>
      <c r="R4" s="6">
        <v>4.9147857142857143</v>
      </c>
      <c r="S4" s="4">
        <v>0</v>
      </c>
      <c r="T4" s="4">
        <v>0</v>
      </c>
      <c r="U4" s="4">
        <v>50</v>
      </c>
      <c r="V4" s="4">
        <v>10000</v>
      </c>
    </row>
    <row r="5" spans="1:22" x14ac:dyDescent="0.25">
      <c r="A5" t="s">
        <v>47</v>
      </c>
      <c r="B5" t="s">
        <v>48</v>
      </c>
      <c r="C5" s="4">
        <v>1</v>
      </c>
      <c r="D5" s="4">
        <v>0</v>
      </c>
      <c r="E5" s="4">
        <v>1</v>
      </c>
      <c r="F5" s="4">
        <v>0</v>
      </c>
      <c r="G5" s="4">
        <v>2</v>
      </c>
      <c r="H5" s="4">
        <v>2</v>
      </c>
      <c r="I5" s="4">
        <v>4</v>
      </c>
      <c r="J5" s="4">
        <v>5</v>
      </c>
      <c r="K5" s="4">
        <v>1</v>
      </c>
      <c r="L5" s="4">
        <v>0</v>
      </c>
      <c r="M5" s="4">
        <v>16</v>
      </c>
      <c r="N5" s="4">
        <v>11</v>
      </c>
      <c r="O5" s="4">
        <v>82</v>
      </c>
      <c r="P5" s="4">
        <v>71</v>
      </c>
      <c r="Q5" s="4">
        <v>78</v>
      </c>
      <c r="R5" s="6">
        <v>6.839714285714285</v>
      </c>
      <c r="S5" s="4">
        <v>1</v>
      </c>
      <c r="T5" s="4">
        <v>0</v>
      </c>
      <c r="U5" s="4">
        <v>51</v>
      </c>
      <c r="V5" s="4">
        <v>10000</v>
      </c>
    </row>
    <row r="6" spans="1:22" x14ac:dyDescent="0.25">
      <c r="A6" t="s">
        <v>49</v>
      </c>
      <c r="B6" t="s">
        <v>50</v>
      </c>
      <c r="C6" s="4">
        <v>4</v>
      </c>
      <c r="D6" s="4">
        <v>0</v>
      </c>
      <c r="E6" s="4">
        <v>1</v>
      </c>
      <c r="F6" s="4">
        <v>0</v>
      </c>
      <c r="G6" s="4">
        <v>8</v>
      </c>
      <c r="H6" s="4">
        <v>1</v>
      </c>
      <c r="I6" s="4">
        <v>6</v>
      </c>
      <c r="J6" s="4">
        <v>6</v>
      </c>
      <c r="K6" s="4">
        <v>3</v>
      </c>
      <c r="L6" s="4">
        <v>0</v>
      </c>
      <c r="M6" s="4">
        <v>14</v>
      </c>
      <c r="N6" s="4">
        <v>15</v>
      </c>
      <c r="O6" s="4">
        <v>79</v>
      </c>
      <c r="P6" s="4">
        <v>55</v>
      </c>
      <c r="Q6" s="4">
        <v>66</v>
      </c>
      <c r="R6" s="6">
        <v>7.3248928571428573</v>
      </c>
      <c r="S6" s="4">
        <v>5</v>
      </c>
      <c r="T6" s="4">
        <v>0</v>
      </c>
      <c r="U6" s="4">
        <v>57</v>
      </c>
      <c r="V6" s="4">
        <v>10000</v>
      </c>
    </row>
    <row r="7" spans="1:22" x14ac:dyDescent="0.25">
      <c r="A7" t="s">
        <v>51</v>
      </c>
      <c r="B7" t="s">
        <v>52</v>
      </c>
      <c r="C7" s="4">
        <v>2</v>
      </c>
      <c r="D7" s="4">
        <v>1</v>
      </c>
      <c r="E7" s="4">
        <v>1</v>
      </c>
      <c r="F7" s="4">
        <v>0</v>
      </c>
      <c r="G7" s="4">
        <v>6</v>
      </c>
      <c r="H7" s="4">
        <v>5</v>
      </c>
      <c r="I7" s="4">
        <v>8</v>
      </c>
      <c r="J7" s="4">
        <v>5</v>
      </c>
      <c r="K7" s="4">
        <v>2</v>
      </c>
      <c r="L7" s="4">
        <v>1</v>
      </c>
      <c r="M7" s="4">
        <v>15</v>
      </c>
      <c r="N7" s="4">
        <v>18</v>
      </c>
      <c r="O7" s="4">
        <v>60</v>
      </c>
      <c r="P7" s="4">
        <v>58</v>
      </c>
      <c r="Q7" s="4">
        <v>66</v>
      </c>
      <c r="R7" s="6">
        <v>2.3580557142857144</v>
      </c>
      <c r="S7" s="4">
        <v>2</v>
      </c>
      <c r="T7" s="4">
        <v>1</v>
      </c>
      <c r="U7" s="4">
        <v>49</v>
      </c>
      <c r="V7" s="4">
        <v>10000</v>
      </c>
    </row>
    <row r="8" spans="1:22" x14ac:dyDescent="0.25">
      <c r="A8" t="s">
        <v>53</v>
      </c>
      <c r="B8" t="s">
        <v>54</v>
      </c>
      <c r="C8" s="4">
        <v>2</v>
      </c>
      <c r="D8" s="4">
        <v>0</v>
      </c>
      <c r="E8" s="4">
        <v>2</v>
      </c>
      <c r="F8" s="4">
        <v>0</v>
      </c>
      <c r="G8" s="4">
        <v>6</v>
      </c>
      <c r="H8" s="4">
        <v>0</v>
      </c>
      <c r="I8" s="4">
        <v>8</v>
      </c>
      <c r="J8" s="4">
        <v>6</v>
      </c>
      <c r="K8" s="4">
        <v>2</v>
      </c>
      <c r="L8" s="4">
        <v>0</v>
      </c>
      <c r="M8" s="4">
        <v>13</v>
      </c>
      <c r="N8" s="4">
        <v>14</v>
      </c>
      <c r="O8" s="4">
        <v>83</v>
      </c>
      <c r="P8" s="4">
        <v>66</v>
      </c>
      <c r="Q8" s="4">
        <v>77</v>
      </c>
      <c r="R8" s="6">
        <v>7.3417142857142865</v>
      </c>
      <c r="S8" s="4">
        <v>1</v>
      </c>
      <c r="T8" s="4">
        <v>0</v>
      </c>
      <c r="U8" s="4">
        <v>55</v>
      </c>
      <c r="V8" s="4">
        <v>10000</v>
      </c>
    </row>
    <row r="9" spans="1:22" x14ac:dyDescent="0.25">
      <c r="A9" t="s">
        <v>55</v>
      </c>
      <c r="B9" t="s">
        <v>56</v>
      </c>
      <c r="C9" s="4">
        <v>0</v>
      </c>
      <c r="D9" s="4">
        <v>1</v>
      </c>
      <c r="E9" s="4">
        <v>0</v>
      </c>
      <c r="F9" s="4">
        <v>0</v>
      </c>
      <c r="G9" s="4">
        <v>3</v>
      </c>
      <c r="H9" s="4">
        <v>3</v>
      </c>
      <c r="I9" s="4">
        <v>4</v>
      </c>
      <c r="J9" s="4">
        <v>5</v>
      </c>
      <c r="K9" s="4">
        <v>3</v>
      </c>
      <c r="L9" s="4">
        <v>2</v>
      </c>
      <c r="M9" s="4">
        <v>15</v>
      </c>
      <c r="N9" s="4">
        <v>11</v>
      </c>
      <c r="O9" s="4">
        <v>69</v>
      </c>
      <c r="P9" s="4">
        <v>88</v>
      </c>
      <c r="Q9" s="4">
        <v>63</v>
      </c>
      <c r="R9" s="6">
        <v>1.5728571428571427</v>
      </c>
      <c r="S9" s="4">
        <v>1</v>
      </c>
      <c r="T9" s="4">
        <v>1</v>
      </c>
      <c r="U9" s="4">
        <v>44</v>
      </c>
      <c r="V9" s="4">
        <v>10000</v>
      </c>
    </row>
    <row r="10" spans="1:22" x14ac:dyDescent="0.25">
      <c r="B10" s="3" t="s">
        <v>22</v>
      </c>
      <c r="C10" s="10">
        <f>SUM(C4:C9)</f>
        <v>11</v>
      </c>
      <c r="D10" s="10">
        <f t="shared" ref="D10:V10" si="0">SUM(D4:D9)</f>
        <v>3</v>
      </c>
      <c r="E10" s="10">
        <f t="shared" si="0"/>
        <v>6</v>
      </c>
      <c r="F10" s="10">
        <f t="shared" si="0"/>
        <v>0</v>
      </c>
      <c r="G10" s="10">
        <f t="shared" si="0"/>
        <v>30</v>
      </c>
      <c r="H10" s="10">
        <f t="shared" si="0"/>
        <v>17</v>
      </c>
      <c r="I10" s="10">
        <f t="shared" si="0"/>
        <v>42</v>
      </c>
      <c r="J10" s="10">
        <f t="shared" si="0"/>
        <v>32</v>
      </c>
      <c r="K10" s="10">
        <f t="shared" si="0"/>
        <v>13</v>
      </c>
      <c r="L10" s="10">
        <f t="shared" si="0"/>
        <v>4</v>
      </c>
      <c r="M10" s="10">
        <f t="shared" si="0"/>
        <v>85</v>
      </c>
      <c r="N10" s="10">
        <f t="shared" si="0"/>
        <v>87</v>
      </c>
      <c r="O10" s="10">
        <f t="shared" si="0"/>
        <v>443</v>
      </c>
      <c r="P10" s="10">
        <f t="shared" si="0"/>
        <v>405</v>
      </c>
      <c r="Q10" s="10">
        <f t="shared" si="0"/>
        <v>417</v>
      </c>
      <c r="R10" s="10">
        <f t="shared" si="0"/>
        <v>30.35202</v>
      </c>
      <c r="S10" s="10">
        <f t="shared" si="0"/>
        <v>10</v>
      </c>
      <c r="T10" s="10">
        <f t="shared" si="0"/>
        <v>2</v>
      </c>
      <c r="U10" s="10">
        <f t="shared" si="0"/>
        <v>306</v>
      </c>
      <c r="V10" s="10">
        <f t="shared" si="0"/>
        <v>60000</v>
      </c>
    </row>
    <row r="11" spans="1:22" x14ac:dyDescent="0.25">
      <c r="B11" s="3" t="s">
        <v>57</v>
      </c>
      <c r="C11" s="12">
        <f>AVERAGE(C4:C9)</f>
        <v>1.8333333333333333</v>
      </c>
      <c r="D11" s="12">
        <f t="shared" ref="D11:V11" si="1">AVERAGE(D4:D9)</f>
        <v>0.5</v>
      </c>
      <c r="E11" s="12">
        <f t="shared" si="1"/>
        <v>1</v>
      </c>
      <c r="F11" s="12">
        <f t="shared" si="1"/>
        <v>0</v>
      </c>
      <c r="G11" s="12">
        <f t="shared" si="1"/>
        <v>5</v>
      </c>
      <c r="H11" s="12">
        <f t="shared" si="1"/>
        <v>2.8333333333333335</v>
      </c>
      <c r="I11" s="12">
        <f t="shared" si="1"/>
        <v>7</v>
      </c>
      <c r="J11" s="12">
        <f t="shared" si="1"/>
        <v>5.333333333333333</v>
      </c>
      <c r="K11" s="12">
        <f t="shared" si="1"/>
        <v>2.1666666666666665</v>
      </c>
      <c r="L11" s="12">
        <f t="shared" si="1"/>
        <v>0.66666666666666663</v>
      </c>
      <c r="M11" s="12">
        <f t="shared" si="1"/>
        <v>14.166666666666666</v>
      </c>
      <c r="N11" s="12">
        <f t="shared" si="1"/>
        <v>14.5</v>
      </c>
      <c r="O11" s="12">
        <f t="shared" si="1"/>
        <v>73.833333333333329</v>
      </c>
      <c r="P11" s="12">
        <f t="shared" si="1"/>
        <v>67.5</v>
      </c>
      <c r="Q11" s="12">
        <f t="shared" si="1"/>
        <v>69.5</v>
      </c>
      <c r="R11" s="12">
        <f t="shared" si="1"/>
        <v>5.0586700000000002</v>
      </c>
      <c r="S11" s="12">
        <f t="shared" si="1"/>
        <v>1.6666666666666667</v>
      </c>
      <c r="T11" s="12">
        <f t="shared" si="1"/>
        <v>0.33333333333333331</v>
      </c>
      <c r="U11" s="10">
        <f t="shared" si="1"/>
        <v>51</v>
      </c>
      <c r="V11" s="10">
        <f t="shared" si="1"/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hraci</vt:lpstr>
      <vt:lpstr>tym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 Votava</dc:creator>
  <cp:lastModifiedBy>Petr Votava</cp:lastModifiedBy>
  <dcterms:created xsi:type="dcterms:W3CDTF">2015-07-29T08:55:18Z</dcterms:created>
  <dcterms:modified xsi:type="dcterms:W3CDTF">2016-07-01T08:10:48Z</dcterms:modified>
</cp:coreProperties>
</file>