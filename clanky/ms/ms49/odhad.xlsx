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ata\brejk\clanky\ms49\"/>
    </mc:Choice>
  </mc:AlternateContent>
  <bookViews>
    <workbookView xWindow="0" yWindow="0" windowWidth="28800" windowHeight="136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4" i="1" l="1"/>
  <c r="H14" i="1" s="1"/>
  <c r="G17" i="1"/>
  <c r="H17" i="1" s="1"/>
  <c r="G18" i="1"/>
  <c r="H18" i="1" s="1"/>
  <c r="G9" i="1"/>
  <c r="H9" i="1" s="1"/>
  <c r="G12" i="1"/>
  <c r="H12" i="1" s="1"/>
  <c r="G20" i="1"/>
  <c r="H20" i="1" s="1"/>
  <c r="G7" i="1"/>
  <c r="H7" i="1" s="1"/>
  <c r="G8" i="1"/>
  <c r="H8" i="1" s="1"/>
  <c r="G10" i="1"/>
  <c r="H10" i="1" s="1"/>
  <c r="G13" i="1"/>
  <c r="H13" i="1" s="1"/>
  <c r="G11" i="1"/>
  <c r="H11" i="1" s="1"/>
  <c r="G16" i="1"/>
  <c r="H16" i="1" s="1"/>
  <c r="G19" i="1"/>
  <c r="H19" i="1" s="1"/>
  <c r="G5" i="1"/>
  <c r="H5" i="1" s="1"/>
  <c r="G15" i="1"/>
  <c r="H15" i="1" s="1"/>
  <c r="G6" i="1"/>
  <c r="H6" i="1" s="1"/>
</calcChain>
</file>

<file path=xl/sharedStrings.xml><?xml version="1.0" encoding="utf-8"?>
<sst xmlns="http://schemas.openxmlformats.org/spreadsheetml/2006/main" count="22" uniqueCount="22">
  <si>
    <t>Nigérie</t>
  </si>
  <si>
    <t>Chile</t>
  </si>
  <si>
    <t>Slovensko</t>
  </si>
  <si>
    <t>Ghana</t>
  </si>
  <si>
    <t>Francie</t>
  </si>
  <si>
    <t>Skotsko</t>
  </si>
  <si>
    <t>Korea</t>
  </si>
  <si>
    <t>USA</t>
  </si>
  <si>
    <t>Polsko</t>
  </si>
  <si>
    <t>Anglie</t>
  </si>
  <si>
    <t>Španělsko</t>
  </si>
  <si>
    <t>Dánsko</t>
  </si>
  <si>
    <t>Portugalsko</t>
  </si>
  <si>
    <t>Ekvádor</t>
  </si>
  <si>
    <t>Peru</t>
  </si>
  <si>
    <t>Japonsko</t>
  </si>
  <si>
    <t>Column1</t>
  </si>
  <si>
    <t>Column2</t>
  </si>
  <si>
    <t>Column3</t>
  </si>
  <si>
    <t>Column4</t>
  </si>
  <si>
    <t>Column5</t>
  </si>
  <si>
    <t>Column6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</si>
</sst>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8"/>
      <color theme="1"/>
      <name val="Verdana"/>
      <family val="2"/>
      <charset val="238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EFF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2" fillId="2" borderId="0" xfId="1" applyFill="1" applyAlignment="1">
      <alignment vertical="center" wrapText="1"/>
    </xf>
    <xf numFmtId="1" fontId="0" fillId="0" borderId="0" xfId="0" applyNumberFormat="1"/>
  </cellXfs>
  <cellStyles count="2">
    <cellStyle name="Hyperlink" xfId="1" builtinId="8"/>
    <cellStyle name="Normal" xfId="0" builtinId="0"/>
  </cellStyles>
  <dxfs count="4"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Verdana"/>
        <family val="2"/>
        <charset val="238"/>
        <scheme val="none"/>
      </font>
      <fill>
        <patternFill patternType="solid">
          <fgColor indexed="64"/>
          <bgColor rgb="FFCCEFFC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Verdana"/>
        <family val="2"/>
        <charset val="238"/>
        <scheme val="none"/>
      </font>
      <fill>
        <patternFill patternType="solid">
          <fgColor indexed="64"/>
          <bgColor rgb="FFCCEFFC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rgb="FFCCEFFC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gif"/><Relationship Id="rId13" Type="http://schemas.openxmlformats.org/officeDocument/2006/relationships/image" Target="../media/image13.gif"/><Relationship Id="rId3" Type="http://schemas.openxmlformats.org/officeDocument/2006/relationships/image" Target="../media/image3.gif"/><Relationship Id="rId7" Type="http://schemas.openxmlformats.org/officeDocument/2006/relationships/image" Target="../media/image7.gif"/><Relationship Id="rId12" Type="http://schemas.openxmlformats.org/officeDocument/2006/relationships/image" Target="../media/image12.gif"/><Relationship Id="rId2" Type="http://schemas.openxmlformats.org/officeDocument/2006/relationships/image" Target="../media/image2.gif"/><Relationship Id="rId16" Type="http://schemas.openxmlformats.org/officeDocument/2006/relationships/image" Target="../media/image16.gif"/><Relationship Id="rId1" Type="http://schemas.openxmlformats.org/officeDocument/2006/relationships/image" Target="../media/image1.gif"/><Relationship Id="rId6" Type="http://schemas.openxmlformats.org/officeDocument/2006/relationships/image" Target="../media/image6.gif"/><Relationship Id="rId11" Type="http://schemas.openxmlformats.org/officeDocument/2006/relationships/image" Target="../media/image11.gif"/><Relationship Id="rId5" Type="http://schemas.openxmlformats.org/officeDocument/2006/relationships/image" Target="../media/image5.gif"/><Relationship Id="rId15" Type="http://schemas.openxmlformats.org/officeDocument/2006/relationships/image" Target="../media/image15.gif"/><Relationship Id="rId10" Type="http://schemas.openxmlformats.org/officeDocument/2006/relationships/image" Target="../media/image10.gif"/><Relationship Id="rId4" Type="http://schemas.openxmlformats.org/officeDocument/2006/relationships/image" Target="../media/image4.gif"/><Relationship Id="rId9" Type="http://schemas.openxmlformats.org/officeDocument/2006/relationships/image" Target="../media/image9.gif"/><Relationship Id="rId14" Type="http://schemas.openxmlformats.org/officeDocument/2006/relationships/image" Target="../media/image1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</xdr:row>
      <xdr:rowOff>0</xdr:rowOff>
    </xdr:from>
    <xdr:to>
      <xdr:col>3</xdr:col>
      <xdr:colOff>171450</xdr:colOff>
      <xdr:row>5</xdr:row>
      <xdr:rowOff>114300</xdr:rowOff>
    </xdr:to>
    <xdr:pic>
      <xdr:nvPicPr>
        <xdr:cNvPr id="2" name="Picture 1" descr="http://www.brejk.cz/images/flags/ni.gif">
          <a:extLst>
            <a:ext uri="{FF2B5EF4-FFF2-40B4-BE49-F238E27FC236}">
              <a16:creationId xmlns:a16="http://schemas.microsoft.com/office/drawing/2014/main" id="{7079C954-6959-4465-B0A0-D80CCA932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7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171450</xdr:colOff>
      <xdr:row>14</xdr:row>
      <xdr:rowOff>114300</xdr:rowOff>
    </xdr:to>
    <xdr:pic>
      <xdr:nvPicPr>
        <xdr:cNvPr id="3" name="Picture 2" descr="http://www.brejk.cz/images/flags/ci.gif">
          <a:extLst>
            <a:ext uri="{FF2B5EF4-FFF2-40B4-BE49-F238E27FC236}">
              <a16:creationId xmlns:a16="http://schemas.microsoft.com/office/drawing/2014/main" id="{6051B7A7-0CD6-49FC-8DB6-4559F32FA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6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171450</xdr:colOff>
      <xdr:row>4</xdr:row>
      <xdr:rowOff>114300</xdr:rowOff>
    </xdr:to>
    <xdr:pic>
      <xdr:nvPicPr>
        <xdr:cNvPr id="4" name="Picture 3" descr="http://www.brejk.cz/images/flags/sk.gif">
          <a:extLst>
            <a:ext uri="{FF2B5EF4-FFF2-40B4-BE49-F238E27FC236}">
              <a16:creationId xmlns:a16="http://schemas.microsoft.com/office/drawing/2014/main" id="{67DE9B82-3A24-41E2-BCC1-62F578C06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52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171450</xdr:colOff>
      <xdr:row>18</xdr:row>
      <xdr:rowOff>114300</xdr:rowOff>
    </xdr:to>
    <xdr:pic>
      <xdr:nvPicPr>
        <xdr:cNvPr id="5" name="Picture 4" descr="http://www.brejk.cz/images/flags/gh.gif">
          <a:extLst>
            <a:ext uri="{FF2B5EF4-FFF2-40B4-BE49-F238E27FC236}">
              <a16:creationId xmlns:a16="http://schemas.microsoft.com/office/drawing/2014/main" id="{522ADCE8-0137-48E1-AB66-8C95A4073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33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171450</xdr:colOff>
      <xdr:row>15</xdr:row>
      <xdr:rowOff>114300</xdr:rowOff>
    </xdr:to>
    <xdr:pic>
      <xdr:nvPicPr>
        <xdr:cNvPr id="6" name="Picture 5" descr="http://www.brejk.cz/images/flags/fr.gif">
          <a:extLst>
            <a:ext uri="{FF2B5EF4-FFF2-40B4-BE49-F238E27FC236}">
              <a16:creationId xmlns:a16="http://schemas.microsoft.com/office/drawing/2014/main" id="{4822DE76-5458-4866-9E44-7418F4D07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2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171450</xdr:colOff>
      <xdr:row>10</xdr:row>
      <xdr:rowOff>114300</xdr:rowOff>
    </xdr:to>
    <xdr:pic>
      <xdr:nvPicPr>
        <xdr:cNvPr id="7" name="Picture 6" descr="http://www.brejk.cz/images/flags/sc.gif">
          <a:extLst>
            <a:ext uri="{FF2B5EF4-FFF2-40B4-BE49-F238E27FC236}">
              <a16:creationId xmlns:a16="http://schemas.microsoft.com/office/drawing/2014/main" id="{691CCD40-79E4-4106-9B99-62B641C01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1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171450</xdr:colOff>
      <xdr:row>12</xdr:row>
      <xdr:rowOff>114300</xdr:rowOff>
    </xdr:to>
    <xdr:pic>
      <xdr:nvPicPr>
        <xdr:cNvPr id="8" name="Picture 7" descr="http://www.brejk.cz/images/flags/kr.gif">
          <a:extLst>
            <a:ext uri="{FF2B5EF4-FFF2-40B4-BE49-F238E27FC236}">
              <a16:creationId xmlns:a16="http://schemas.microsoft.com/office/drawing/2014/main" id="{BB842865-FDDF-4E98-9716-145BDC40D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05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171450</xdr:colOff>
      <xdr:row>9</xdr:row>
      <xdr:rowOff>114300</xdr:rowOff>
    </xdr:to>
    <xdr:pic>
      <xdr:nvPicPr>
        <xdr:cNvPr id="9" name="Picture 8" descr="http://www.brejk.cz/images/flags/us.gif">
          <a:extLst>
            <a:ext uri="{FF2B5EF4-FFF2-40B4-BE49-F238E27FC236}">
              <a16:creationId xmlns:a16="http://schemas.microsoft.com/office/drawing/2014/main" id="{367DF396-FEA3-498E-B79D-104D09783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95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171450</xdr:colOff>
      <xdr:row>7</xdr:row>
      <xdr:rowOff>114300</xdr:rowOff>
    </xdr:to>
    <xdr:pic>
      <xdr:nvPicPr>
        <xdr:cNvPr id="10" name="Picture 9" descr="http://www.brejk.cz/images/flags/pl.gif">
          <a:extLst>
            <a:ext uri="{FF2B5EF4-FFF2-40B4-BE49-F238E27FC236}">
              <a16:creationId xmlns:a16="http://schemas.microsoft.com/office/drawing/2014/main" id="{3EA7EACD-129B-420E-BF82-BA0009296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28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171450</xdr:colOff>
      <xdr:row>6</xdr:row>
      <xdr:rowOff>114300</xdr:rowOff>
    </xdr:to>
    <xdr:pic>
      <xdr:nvPicPr>
        <xdr:cNvPr id="11" name="Picture 10" descr="http://www.brejk.cz/images/flags/en.gif">
          <a:extLst>
            <a:ext uri="{FF2B5EF4-FFF2-40B4-BE49-F238E27FC236}">
              <a16:creationId xmlns:a16="http://schemas.microsoft.com/office/drawing/2014/main" id="{95FFA459-EE08-48EB-8E5B-2D732947C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47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171450</xdr:colOff>
      <xdr:row>19</xdr:row>
      <xdr:rowOff>114300</xdr:rowOff>
    </xdr:to>
    <xdr:pic>
      <xdr:nvPicPr>
        <xdr:cNvPr id="12" name="Picture 11" descr="http://www.brejk.cz/images/flags/es.gif">
          <a:extLst>
            <a:ext uri="{FF2B5EF4-FFF2-40B4-BE49-F238E27FC236}">
              <a16:creationId xmlns:a16="http://schemas.microsoft.com/office/drawing/2014/main" id="{C85CBF72-1467-4123-9C81-FBBCA18C8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667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171450</xdr:colOff>
      <xdr:row>11</xdr:row>
      <xdr:rowOff>114300</xdr:rowOff>
    </xdr:to>
    <xdr:pic>
      <xdr:nvPicPr>
        <xdr:cNvPr id="13" name="Picture 12" descr="http://www.brejk.cz/images/flags/dk.gif">
          <a:extLst>
            <a:ext uri="{FF2B5EF4-FFF2-40B4-BE49-F238E27FC236}">
              <a16:creationId xmlns:a16="http://schemas.microsoft.com/office/drawing/2014/main" id="{2CC03882-CC9A-402E-81A1-72C8F32F3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048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171450</xdr:colOff>
      <xdr:row>8</xdr:row>
      <xdr:rowOff>114300</xdr:rowOff>
    </xdr:to>
    <xdr:pic>
      <xdr:nvPicPr>
        <xdr:cNvPr id="14" name="Picture 13" descr="http://www.brejk.cz/images/flags/pt.gif">
          <a:extLst>
            <a:ext uri="{FF2B5EF4-FFF2-40B4-BE49-F238E27FC236}">
              <a16:creationId xmlns:a16="http://schemas.microsoft.com/office/drawing/2014/main" id="{9BCF03F9-97BA-46AB-B810-CA959FEF6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23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171450</xdr:colOff>
      <xdr:row>17</xdr:row>
      <xdr:rowOff>114300</xdr:rowOff>
    </xdr:to>
    <xdr:pic>
      <xdr:nvPicPr>
        <xdr:cNvPr id="15" name="Picture 14" descr="http://www.brejk.cz/images/flags/ec.gif">
          <a:extLst>
            <a:ext uri="{FF2B5EF4-FFF2-40B4-BE49-F238E27FC236}">
              <a16:creationId xmlns:a16="http://schemas.microsoft.com/office/drawing/2014/main" id="{ADD3A475-1FA6-472A-9877-8043C8B14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619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171450</xdr:colOff>
      <xdr:row>16</xdr:row>
      <xdr:rowOff>114300</xdr:rowOff>
    </xdr:to>
    <xdr:pic>
      <xdr:nvPicPr>
        <xdr:cNvPr id="16" name="Picture 15" descr="http://www.brejk.cz/images/flags/pe.gif">
          <a:extLst>
            <a:ext uri="{FF2B5EF4-FFF2-40B4-BE49-F238E27FC236}">
              <a16:creationId xmlns:a16="http://schemas.microsoft.com/office/drawing/2014/main" id="{66111AEE-159B-41C2-8C45-4BF422274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810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171450</xdr:colOff>
      <xdr:row>13</xdr:row>
      <xdr:rowOff>114300</xdr:rowOff>
    </xdr:to>
    <xdr:pic>
      <xdr:nvPicPr>
        <xdr:cNvPr id="17" name="Picture 16" descr="http://www.brejk.cz/images/flags/jp.gif">
          <a:extLst>
            <a:ext uri="{FF2B5EF4-FFF2-40B4-BE49-F238E27FC236}">
              <a16:creationId xmlns:a16="http://schemas.microsoft.com/office/drawing/2014/main" id="{59FD1D01-3FC2-4D3D-92AB-4300883C0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000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C4:H20" totalsRowShown="0">
  <autoFilter ref="C4:H20"/>
  <sortState ref="C5:H20">
    <sortCondition descending="1" ref="H4:H20"/>
  </sortState>
  <tableColumns count="6">
    <tableColumn id="1" name="Column1" dataDxfId="3" dataCellStyle="Hyperlink"/>
    <tableColumn id="2" name="Column2" dataDxfId="2"/>
    <tableColumn id="3" name="Column3" dataDxfId="1"/>
    <tableColumn id="4" name="Column4"/>
    <tableColumn id="5" name="Column5">
      <calculatedColumnFormula>(F5-50)/2.5</calculatedColumnFormula>
    </tableColumn>
    <tableColumn id="6" name="Column6" dataDxfId="0">
      <calculatedColumnFormula>(E5*(G5/100))+E5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brejk.cz/index.php?p=info_tym&amp;tym=6693" TargetMode="External"/><Relationship Id="rId13" Type="http://schemas.openxmlformats.org/officeDocument/2006/relationships/hyperlink" Target="http://www.brejk.cz/index.php?p=info_tym&amp;tym=2668" TargetMode="External"/><Relationship Id="rId18" Type="http://schemas.openxmlformats.org/officeDocument/2006/relationships/drawing" Target="../drawings/drawing1.xml"/><Relationship Id="rId3" Type="http://schemas.openxmlformats.org/officeDocument/2006/relationships/hyperlink" Target="http://www.brejk.cz/index.php?p=info_tym&amp;tym=2659" TargetMode="External"/><Relationship Id="rId7" Type="http://schemas.openxmlformats.org/officeDocument/2006/relationships/hyperlink" Target="http://www.brejk.cz/index.php?p=info_tym&amp;tym=6699" TargetMode="External"/><Relationship Id="rId12" Type="http://schemas.openxmlformats.org/officeDocument/2006/relationships/hyperlink" Target="http://www.brejk.cz/index.php?p=info_tym&amp;tym=2669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://www.brejk.cz/index.php?p=info_tym&amp;tym=6701" TargetMode="External"/><Relationship Id="rId16" Type="http://schemas.openxmlformats.org/officeDocument/2006/relationships/hyperlink" Target="http://www.brejk.cz/index.php?p=info_tym&amp;tym=6698" TargetMode="External"/><Relationship Id="rId1" Type="http://schemas.openxmlformats.org/officeDocument/2006/relationships/hyperlink" Target="http://www.brejk.cz/index.php?p=info_tym&amp;tym=6704" TargetMode="External"/><Relationship Id="rId6" Type="http://schemas.openxmlformats.org/officeDocument/2006/relationships/hyperlink" Target="http://www.brejk.cz/index.php?p=info_tym&amp;tym=2671" TargetMode="External"/><Relationship Id="rId11" Type="http://schemas.openxmlformats.org/officeDocument/2006/relationships/hyperlink" Target="http://www.brejk.cz/index.php?p=info_tym&amp;tym=2661" TargetMode="External"/><Relationship Id="rId5" Type="http://schemas.openxmlformats.org/officeDocument/2006/relationships/hyperlink" Target="http://www.brejk.cz/index.php?p=info_tym&amp;tym=2662" TargetMode="External"/><Relationship Id="rId15" Type="http://schemas.openxmlformats.org/officeDocument/2006/relationships/hyperlink" Target="http://www.brejk.cz/index.php?p=info_tym&amp;tym=6703" TargetMode="External"/><Relationship Id="rId10" Type="http://schemas.openxmlformats.org/officeDocument/2006/relationships/hyperlink" Target="http://www.brejk.cz/index.php?p=info_tym&amp;tym=2660" TargetMode="External"/><Relationship Id="rId19" Type="http://schemas.openxmlformats.org/officeDocument/2006/relationships/table" Target="../tables/table1.xml"/><Relationship Id="rId4" Type="http://schemas.openxmlformats.org/officeDocument/2006/relationships/hyperlink" Target="http://www.brejk.cz/index.php?p=info_tym&amp;tym=6705" TargetMode="External"/><Relationship Id="rId9" Type="http://schemas.openxmlformats.org/officeDocument/2006/relationships/hyperlink" Target="http://www.brejk.cz/index.php?p=info_tym&amp;tym=2670" TargetMode="External"/><Relationship Id="rId14" Type="http://schemas.openxmlformats.org/officeDocument/2006/relationships/hyperlink" Target="http://www.brejk.cz/index.php?p=info_tym&amp;tym=66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H20"/>
  <sheetViews>
    <sheetView tabSelected="1" workbookViewId="0">
      <selection activeCell="B5" sqref="B5"/>
    </sheetView>
  </sheetViews>
  <sheetFormatPr defaultRowHeight="15" x14ac:dyDescent="0.25"/>
  <cols>
    <col min="3" max="3" width="19.140625" customWidth="1"/>
    <col min="4" max="5" width="10.42578125" customWidth="1"/>
    <col min="6" max="8" width="11" customWidth="1"/>
  </cols>
  <sheetData>
    <row r="4" spans="2:8" x14ac:dyDescent="0.25">
      <c r="C4" s="2" t="s">
        <v>16</v>
      </c>
      <c r="D4" s="1" t="s">
        <v>17</v>
      </c>
      <c r="E4" s="1" t="s">
        <v>18</v>
      </c>
      <c r="F4" t="s">
        <v>19</v>
      </c>
      <c r="G4" t="s">
        <v>20</v>
      </c>
      <c r="H4" t="s">
        <v>21</v>
      </c>
    </row>
    <row r="5" spans="2:8" x14ac:dyDescent="0.25">
      <c r="B5" s="1">
        <v>1</v>
      </c>
      <c r="C5" s="2" t="s">
        <v>2</v>
      </c>
      <c r="D5" s="1"/>
      <c r="E5" s="1">
        <v>43393</v>
      </c>
      <c r="F5">
        <v>97</v>
      </c>
      <c r="G5">
        <f>(F5-50)/2.5</f>
        <v>18.8</v>
      </c>
      <c r="H5" s="5">
        <f>(E5*(G5/100))+E5</f>
        <v>51550.883999999998</v>
      </c>
    </row>
    <row r="6" spans="2:8" x14ac:dyDescent="0.25">
      <c r="B6" s="3">
        <v>2</v>
      </c>
      <c r="C6" s="2" t="s">
        <v>0</v>
      </c>
      <c r="D6" s="1"/>
      <c r="E6" s="1">
        <v>44118</v>
      </c>
      <c r="F6">
        <v>84.7</v>
      </c>
      <c r="G6">
        <f>(F6-50)/2.5</f>
        <v>13.88</v>
      </c>
      <c r="H6" s="5">
        <f>(E6*(G6/100))+E6</f>
        <v>50241.578399999999</v>
      </c>
    </row>
    <row r="7" spans="2:8" x14ac:dyDescent="0.25">
      <c r="B7" s="1">
        <v>3</v>
      </c>
      <c r="C7" s="4" t="s">
        <v>9</v>
      </c>
      <c r="D7" s="3"/>
      <c r="E7" s="3">
        <v>42147</v>
      </c>
      <c r="F7">
        <v>91.9</v>
      </c>
      <c r="G7">
        <f>(F7-50)/2.5</f>
        <v>16.760000000000002</v>
      </c>
      <c r="H7" s="5">
        <f>(E7*(G7/100))+E7</f>
        <v>49210.837200000002</v>
      </c>
    </row>
    <row r="8" spans="2:8" x14ac:dyDescent="0.25">
      <c r="B8" s="3">
        <v>4</v>
      </c>
      <c r="C8" s="2" t="s">
        <v>8</v>
      </c>
      <c r="D8" s="1"/>
      <c r="E8" s="1">
        <v>42312</v>
      </c>
      <c r="F8">
        <v>89</v>
      </c>
      <c r="G8">
        <f>(F8-50)/2.5</f>
        <v>15.6</v>
      </c>
      <c r="H8" s="5">
        <f>(E8*(G8/100))+E8</f>
        <v>48912.671999999999</v>
      </c>
    </row>
    <row r="9" spans="2:8" x14ac:dyDescent="0.25">
      <c r="B9" s="1">
        <v>5</v>
      </c>
      <c r="C9" s="2" t="s">
        <v>12</v>
      </c>
      <c r="D9" s="1"/>
      <c r="E9" s="1">
        <v>41424</v>
      </c>
      <c r="F9">
        <v>92.6</v>
      </c>
      <c r="G9">
        <f>(F9-50)/2.5</f>
        <v>17.04</v>
      </c>
      <c r="H9" s="5">
        <f>(E9*(G9/100))+E9</f>
        <v>48482.649599999997</v>
      </c>
    </row>
    <row r="10" spans="2:8" x14ac:dyDescent="0.25">
      <c r="B10" s="3">
        <v>6</v>
      </c>
      <c r="C10" s="4" t="s">
        <v>7</v>
      </c>
      <c r="D10" s="3"/>
      <c r="E10" s="3">
        <v>42396</v>
      </c>
      <c r="F10">
        <v>83.9</v>
      </c>
      <c r="G10">
        <f>(F10-50)/2.5</f>
        <v>13.560000000000002</v>
      </c>
      <c r="H10" s="5">
        <f>(E10*(G10/100))+E10</f>
        <v>48144.897600000004</v>
      </c>
    </row>
    <row r="11" spans="2:8" x14ac:dyDescent="0.25">
      <c r="B11" s="1">
        <v>7</v>
      </c>
      <c r="C11" s="4" t="s">
        <v>5</v>
      </c>
      <c r="D11" s="3"/>
      <c r="E11" s="3">
        <v>42937</v>
      </c>
      <c r="F11">
        <v>78.400000000000006</v>
      </c>
      <c r="G11">
        <f>(F11-50)/2.5</f>
        <v>11.360000000000003</v>
      </c>
      <c r="H11" s="5">
        <f>(E11*(G11/100))+E11</f>
        <v>47814.643199999999</v>
      </c>
    </row>
    <row r="12" spans="2:8" x14ac:dyDescent="0.25">
      <c r="B12" s="3">
        <v>8</v>
      </c>
      <c r="C12" s="4" t="s">
        <v>11</v>
      </c>
      <c r="D12" s="3"/>
      <c r="E12" s="3">
        <v>41755</v>
      </c>
      <c r="F12">
        <v>84.6</v>
      </c>
      <c r="G12">
        <f>(F12-50)/2.5</f>
        <v>13.839999999999998</v>
      </c>
      <c r="H12" s="5">
        <f>(E12*(G12/100))+E12</f>
        <v>47533.892</v>
      </c>
    </row>
    <row r="13" spans="2:8" x14ac:dyDescent="0.25">
      <c r="B13" s="1">
        <v>9</v>
      </c>
      <c r="C13" s="2" t="s">
        <v>6</v>
      </c>
      <c r="D13" s="1"/>
      <c r="E13" s="1">
        <v>42584</v>
      </c>
      <c r="F13">
        <v>64.3</v>
      </c>
      <c r="G13">
        <f>(F13-50)/2.5</f>
        <v>5.7199999999999989</v>
      </c>
      <c r="H13" s="5">
        <f>(E13*(G13/100))+E13</f>
        <v>45019.804799999998</v>
      </c>
    </row>
    <row r="14" spans="2:8" x14ac:dyDescent="0.25">
      <c r="B14" s="3">
        <v>10</v>
      </c>
      <c r="C14" s="4" t="s">
        <v>15</v>
      </c>
      <c r="D14" s="3"/>
      <c r="E14" s="3">
        <v>40274</v>
      </c>
      <c r="F14">
        <v>76.900000000000006</v>
      </c>
      <c r="G14">
        <f>(F14-50)/2.5</f>
        <v>10.760000000000002</v>
      </c>
      <c r="H14" s="5">
        <f>(E14*(G14/100))+E14</f>
        <v>44607.482400000001</v>
      </c>
    </row>
    <row r="15" spans="2:8" x14ac:dyDescent="0.25">
      <c r="B15" s="1">
        <v>11</v>
      </c>
      <c r="C15" s="4" t="s">
        <v>1</v>
      </c>
      <c r="D15" s="3"/>
      <c r="E15" s="3">
        <v>43945</v>
      </c>
      <c r="F15">
        <v>48.2</v>
      </c>
      <c r="G15">
        <f>(F15-50)/2.5</f>
        <v>-0.71999999999999886</v>
      </c>
      <c r="H15" s="5">
        <f>(E15*(G15/100))+E15</f>
        <v>43628.595999999998</v>
      </c>
    </row>
    <row r="16" spans="2:8" x14ac:dyDescent="0.25">
      <c r="B16" s="3">
        <v>12</v>
      </c>
      <c r="C16" s="2" t="s">
        <v>4</v>
      </c>
      <c r="D16" s="1"/>
      <c r="E16" s="1">
        <v>42980</v>
      </c>
      <c r="F16">
        <v>51.8</v>
      </c>
      <c r="G16">
        <f>(F16-50)/2.5</f>
        <v>0.71999999999999886</v>
      </c>
      <c r="H16" s="5">
        <f>(E16*(G16/100))+E16</f>
        <v>43289.455999999998</v>
      </c>
    </row>
    <row r="17" spans="2:8" x14ac:dyDescent="0.25">
      <c r="B17" s="1">
        <v>13</v>
      </c>
      <c r="C17" s="2" t="s">
        <v>14</v>
      </c>
      <c r="D17" s="1"/>
      <c r="E17" s="1">
        <v>40990</v>
      </c>
      <c r="F17">
        <v>62.5</v>
      </c>
      <c r="G17">
        <f>(F17-50)/2.5</f>
        <v>5</v>
      </c>
      <c r="H17" s="5">
        <f>(E17*(G17/100))+E17</f>
        <v>43039.5</v>
      </c>
    </row>
    <row r="18" spans="2:8" x14ac:dyDescent="0.25">
      <c r="B18" s="3">
        <v>14</v>
      </c>
      <c r="C18" s="4" t="s">
        <v>13</v>
      </c>
      <c r="D18" s="3"/>
      <c r="E18" s="3">
        <v>41345</v>
      </c>
      <c r="F18">
        <v>57.5</v>
      </c>
      <c r="G18">
        <f>(F18-50)/2.5</f>
        <v>3</v>
      </c>
      <c r="H18" s="5">
        <f>(E18*(G18/100))+E18</f>
        <v>42585.35</v>
      </c>
    </row>
    <row r="19" spans="2:8" x14ac:dyDescent="0.25">
      <c r="B19" s="1">
        <v>15</v>
      </c>
      <c r="C19" s="4" t="s">
        <v>3</v>
      </c>
      <c r="D19" s="3"/>
      <c r="E19" s="3">
        <v>43150</v>
      </c>
      <c r="F19">
        <v>44.5</v>
      </c>
      <c r="G19">
        <f>(F19-50)/2.5</f>
        <v>-2.2000000000000002</v>
      </c>
      <c r="H19" s="5">
        <f>(E19*(G19/100))+E19</f>
        <v>42200.7</v>
      </c>
    </row>
    <row r="20" spans="2:8" x14ac:dyDescent="0.25">
      <c r="B20" s="3">
        <v>16</v>
      </c>
      <c r="C20" s="2" t="s">
        <v>10</v>
      </c>
      <c r="D20" s="1"/>
      <c r="E20" s="1">
        <v>42060</v>
      </c>
      <c r="F20">
        <v>46</v>
      </c>
      <c r="G20">
        <f>(F20-50)/2.5</f>
        <v>-1.6</v>
      </c>
      <c r="H20" s="5">
        <f>(E20*(G20/100))+E20</f>
        <v>41387.040000000001</v>
      </c>
    </row>
  </sheetData>
  <hyperlinks>
    <hyperlink ref="C6" r:id="rId1" display="http://www.brejk.cz/index.php?p=info_tym&amp;tym=6704"/>
    <hyperlink ref="C15" r:id="rId2" display="http://www.brejk.cz/index.php?p=info_tym&amp;tym=6701"/>
    <hyperlink ref="C5" r:id="rId3" display="http://www.brejk.cz/index.php?p=info_tym&amp;tym=2659"/>
    <hyperlink ref="C19" r:id="rId4" display="http://www.brejk.cz/index.php?p=info_tym&amp;tym=6705"/>
    <hyperlink ref="C16" r:id="rId5" display="http://www.brejk.cz/index.php?p=info_tym&amp;tym=2662"/>
    <hyperlink ref="C11" r:id="rId6" display="http://www.brejk.cz/index.php?p=info_tym&amp;tym=2671"/>
    <hyperlink ref="C13" r:id="rId7" display="http://www.brejk.cz/index.php?p=info_tym&amp;tym=6699"/>
    <hyperlink ref="C10" r:id="rId8" display="http://www.brejk.cz/index.php?p=info_tym&amp;tym=6693"/>
    <hyperlink ref="C8" r:id="rId9" display="http://www.brejk.cz/index.php?p=info_tym&amp;tym=2670"/>
    <hyperlink ref="C7" r:id="rId10" display="http://www.brejk.cz/index.php?p=info_tym&amp;tym=2660"/>
    <hyperlink ref="C20" r:id="rId11" display="http://www.brejk.cz/index.php?p=info_tym&amp;tym=2661"/>
    <hyperlink ref="C12" r:id="rId12" display="http://www.brejk.cz/index.php?p=info_tym&amp;tym=2669"/>
    <hyperlink ref="C9" r:id="rId13" display="http://www.brejk.cz/index.php?p=info_tym&amp;tym=2668"/>
    <hyperlink ref="C18" r:id="rId14" display="http://www.brejk.cz/index.php?p=info_tym&amp;tym=6696"/>
    <hyperlink ref="C17" r:id="rId15" display="http://www.brejk.cz/index.php?p=info_tym&amp;tym=6703"/>
    <hyperlink ref="C14" r:id="rId16" display="http://www.brejk.cz/index.php?p=info_tym&amp;tym=6698"/>
  </hyperlinks>
  <pageMargins left="0.7" right="0.7" top="0.75" bottom="0.75" header="0.3" footer="0.3"/>
  <pageSetup paperSize="9" orientation="portrait" r:id="rId17"/>
  <drawing r:id="rId18"/>
  <tableParts count="1">
    <tablePart r:id="rId1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Votava</dc:creator>
  <cp:lastModifiedBy>Petr Votava</cp:lastModifiedBy>
  <dcterms:created xsi:type="dcterms:W3CDTF">2017-08-25T13:12:44Z</dcterms:created>
  <dcterms:modified xsi:type="dcterms:W3CDTF">2017-08-25T13:47:29Z</dcterms:modified>
</cp:coreProperties>
</file>