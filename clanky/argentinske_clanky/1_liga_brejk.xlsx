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5" windowWidth="20895" windowHeight="10170"/>
  </bookViews>
  <sheets>
    <sheet name="sezony" sheetId="1" r:id="rId1"/>
    <sheet name="celkova_tab" sheetId="2" r:id="rId2"/>
    <sheet name="stats" sheetId="3" r:id="rId3"/>
    <sheet name="umisteni" sheetId="4" r:id="rId4"/>
  </sheets>
  <definedNames>
    <definedName name="_xlnm._FilterDatabase" localSheetId="1" hidden="1">celkova_tab!$D$2:$K$54</definedName>
  </definedNames>
  <calcPr calcId="125725"/>
</workbook>
</file>

<file path=xl/calcChain.xml><?xml version="1.0" encoding="utf-8"?>
<calcChain xmlns="http://schemas.openxmlformats.org/spreadsheetml/2006/main">
  <c r="H13" i="2"/>
  <c r="G341" i="1"/>
  <c r="B54" i="2"/>
  <c r="K51"/>
  <c r="H51"/>
  <c r="L51"/>
  <c r="M51"/>
  <c r="N51"/>
  <c r="H3"/>
  <c r="B3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38"/>
  <c r="B39"/>
  <c r="B40"/>
  <c r="B41"/>
  <c r="B42"/>
  <c r="B43"/>
  <c r="B44"/>
  <c r="B45"/>
  <c r="B46"/>
  <c r="B47"/>
  <c r="B48"/>
  <c r="B49"/>
  <c r="B50"/>
  <c r="B51"/>
  <c r="B52"/>
  <c r="B53"/>
  <c r="B2"/>
  <c r="K48"/>
  <c r="H48"/>
  <c r="L48"/>
  <c r="M48"/>
  <c r="N48"/>
  <c r="K53"/>
  <c r="L53" s="1"/>
  <c r="K54"/>
  <c r="L54" s="1"/>
  <c r="K52"/>
  <c r="L52" s="1"/>
  <c r="K37"/>
  <c r="L37" s="1"/>
  <c r="K42"/>
  <c r="L42" s="1"/>
  <c r="K49"/>
  <c r="L49" s="1"/>
  <c r="K50"/>
  <c r="L50" s="1"/>
  <c r="K47"/>
  <c r="K46"/>
  <c r="L46" s="1"/>
  <c r="K32"/>
  <c r="L32" s="1"/>
  <c r="K45"/>
  <c r="L45" s="1"/>
  <c r="K44"/>
  <c r="K43"/>
  <c r="L43" s="1"/>
  <c r="K41"/>
  <c r="L41" s="1"/>
  <c r="K22"/>
  <c r="L22" s="1"/>
  <c r="K40"/>
  <c r="K39"/>
  <c r="L39" s="1"/>
  <c r="K38"/>
  <c r="L38" s="1"/>
  <c r="K36"/>
  <c r="L36" s="1"/>
  <c r="K35"/>
  <c r="K34"/>
  <c r="L34" s="1"/>
  <c r="K17"/>
  <c r="L17" s="1"/>
  <c r="K33"/>
  <c r="L33" s="1"/>
  <c r="K29"/>
  <c r="K31"/>
  <c r="L31" s="1"/>
  <c r="K30"/>
  <c r="L30" s="1"/>
  <c r="K26"/>
  <c r="L26" s="1"/>
  <c r="K20"/>
  <c r="L20" s="1"/>
  <c r="K28"/>
  <c r="L28" s="1"/>
  <c r="K18"/>
  <c r="L18" s="1"/>
  <c r="K27"/>
  <c r="L27" s="1"/>
  <c r="K25"/>
  <c r="K21"/>
  <c r="L21" s="1"/>
  <c r="K24"/>
  <c r="L24" s="1"/>
  <c r="K23"/>
  <c r="L23" s="1"/>
  <c r="K19"/>
  <c r="K13"/>
  <c r="L13" s="1"/>
  <c r="K16"/>
  <c r="L16" s="1"/>
  <c r="K15"/>
  <c r="L15" s="1"/>
  <c r="K11"/>
  <c r="K14"/>
  <c r="L14" s="1"/>
  <c r="K12"/>
  <c r="L12" s="1"/>
  <c r="K10"/>
  <c r="L10" s="1"/>
  <c r="K9"/>
  <c r="K8"/>
  <c r="L8" s="1"/>
  <c r="K7"/>
  <c r="L7" s="1"/>
  <c r="K5"/>
  <c r="L5" s="1"/>
  <c r="K6"/>
  <c r="L6" s="1"/>
  <c r="K4"/>
  <c r="L4" s="1"/>
  <c r="K3"/>
  <c r="K2"/>
  <c r="G359" i="1"/>
  <c r="G358"/>
  <c r="G357"/>
  <c r="G356"/>
  <c r="G355"/>
  <c r="G354"/>
  <c r="G353"/>
  <c r="G352"/>
  <c r="G351"/>
  <c r="G350"/>
  <c r="G349"/>
  <c r="G348"/>
  <c r="G347"/>
  <c r="G346"/>
  <c r="G345"/>
  <c r="J359"/>
  <c r="J358"/>
  <c r="J357"/>
  <c r="J356"/>
  <c r="J355"/>
  <c r="J354"/>
  <c r="J353"/>
  <c r="J352"/>
  <c r="J351"/>
  <c r="J350"/>
  <c r="J349"/>
  <c r="J348"/>
  <c r="J347"/>
  <c r="J346"/>
  <c r="J345"/>
  <c r="J344"/>
  <c r="G344"/>
  <c r="F17" i="4"/>
  <c r="E17"/>
  <c r="D17"/>
  <c r="N2" i="2"/>
  <c r="N3"/>
  <c r="N4"/>
  <c r="N6"/>
  <c r="N5"/>
  <c r="N7"/>
  <c r="N8"/>
  <c r="N9"/>
  <c r="N10"/>
  <c r="N12"/>
  <c r="N14"/>
  <c r="N11"/>
  <c r="N15"/>
  <c r="N16"/>
  <c r="N13"/>
  <c r="N19"/>
  <c r="N23"/>
  <c r="N24"/>
  <c r="N21"/>
  <c r="N25"/>
  <c r="N27"/>
  <c r="N18"/>
  <c r="N28"/>
  <c r="N20"/>
  <c r="N26"/>
  <c r="N30"/>
  <c r="N31"/>
  <c r="N29"/>
  <c r="N33"/>
  <c r="N17"/>
  <c r="N34"/>
  <c r="N35"/>
  <c r="N36"/>
  <c r="N38"/>
  <c r="N39"/>
  <c r="N40"/>
  <c r="N22"/>
  <c r="N41"/>
  <c r="N43"/>
  <c r="N44"/>
  <c r="N45"/>
  <c r="N32"/>
  <c r="N46"/>
  <c r="N47"/>
  <c r="N50"/>
  <c r="N49"/>
  <c r="N42"/>
  <c r="N37"/>
  <c r="N52"/>
  <c r="N54"/>
  <c r="N53"/>
  <c r="M2"/>
  <c r="M3"/>
  <c r="M4"/>
  <c r="M6"/>
  <c r="M5"/>
  <c r="M7"/>
  <c r="M8"/>
  <c r="M9"/>
  <c r="M10"/>
  <c r="M12"/>
  <c r="M14"/>
  <c r="M11"/>
  <c r="M15"/>
  <c r="M16"/>
  <c r="M13"/>
  <c r="M19"/>
  <c r="M23"/>
  <c r="M24"/>
  <c r="M21"/>
  <c r="M25"/>
  <c r="M27"/>
  <c r="M18"/>
  <c r="M28"/>
  <c r="M20"/>
  <c r="M26"/>
  <c r="M30"/>
  <c r="M31"/>
  <c r="M29"/>
  <c r="M33"/>
  <c r="M17"/>
  <c r="M34"/>
  <c r="M35"/>
  <c r="M36"/>
  <c r="M38"/>
  <c r="M39"/>
  <c r="M40"/>
  <c r="M22"/>
  <c r="M41"/>
  <c r="M43"/>
  <c r="M44"/>
  <c r="M45"/>
  <c r="M32"/>
  <c r="M46"/>
  <c r="M47"/>
  <c r="M50"/>
  <c r="M49"/>
  <c r="M42"/>
  <c r="M37"/>
  <c r="M52"/>
  <c r="M54"/>
  <c r="M53"/>
  <c r="L2"/>
  <c r="L3"/>
  <c r="L9"/>
  <c r="L11"/>
  <c r="L19"/>
  <c r="L25"/>
  <c r="L29"/>
  <c r="L35"/>
  <c r="L40"/>
  <c r="L44"/>
  <c r="L47"/>
  <c r="H32"/>
  <c r="H22"/>
  <c r="H42"/>
  <c r="H40"/>
  <c r="H43"/>
  <c r="H17"/>
  <c r="H37"/>
  <c r="H29"/>
  <c r="H45"/>
  <c r="H18"/>
  <c r="H26"/>
  <c r="H24"/>
  <c r="H21"/>
  <c r="H20"/>
  <c r="H11"/>
  <c r="H39"/>
  <c r="H33"/>
  <c r="H49"/>
  <c r="H5"/>
  <c r="H28"/>
  <c r="H50"/>
  <c r="H35"/>
  <c r="H41"/>
  <c r="H4"/>
  <c r="H38"/>
  <c r="H23"/>
  <c r="H8"/>
  <c r="H19"/>
  <c r="H6"/>
  <c r="H9"/>
  <c r="H53"/>
  <c r="H54"/>
  <c r="H52"/>
  <c r="H2"/>
  <c r="H31"/>
  <c r="H34"/>
  <c r="H47"/>
  <c r="H46"/>
  <c r="H36"/>
  <c r="H16"/>
  <c r="H44"/>
  <c r="H25"/>
  <c r="H14"/>
  <c r="H30"/>
  <c r="H7"/>
  <c r="H12"/>
  <c r="H27"/>
  <c r="H15"/>
  <c r="H10"/>
  <c r="J341" i="1"/>
  <c r="J340"/>
  <c r="G340"/>
  <c r="J339"/>
  <c r="G339"/>
  <c r="J338"/>
  <c r="G338"/>
  <c r="J337"/>
  <c r="G337"/>
  <c r="J336"/>
  <c r="G336"/>
  <c r="J335"/>
  <c r="G335"/>
  <c r="J334"/>
  <c r="G334"/>
  <c r="J333"/>
  <c r="G333"/>
  <c r="J332"/>
  <c r="G332"/>
  <c r="J331"/>
  <c r="G331"/>
  <c r="J330"/>
  <c r="G330"/>
  <c r="J329"/>
  <c r="G329"/>
  <c r="J328"/>
  <c r="G328"/>
  <c r="J327"/>
  <c r="G327"/>
  <c r="J326"/>
  <c r="G326"/>
  <c r="J323"/>
  <c r="G323"/>
  <c r="J322"/>
  <c r="G322"/>
  <c r="J321"/>
  <c r="G321"/>
  <c r="J320"/>
  <c r="G320"/>
  <c r="J319"/>
  <c r="G319"/>
  <c r="J318"/>
  <c r="G318"/>
  <c r="J317"/>
  <c r="G317"/>
  <c r="J316"/>
  <c r="G316"/>
  <c r="J315"/>
  <c r="G315"/>
  <c r="J314"/>
  <c r="G314"/>
  <c r="J313"/>
  <c r="G313"/>
  <c r="J312"/>
  <c r="G312"/>
  <c r="J311"/>
  <c r="G311"/>
  <c r="J310"/>
  <c r="G310"/>
  <c r="J309"/>
  <c r="G309"/>
  <c r="J308"/>
  <c r="G308"/>
  <c r="J305"/>
  <c r="G305"/>
  <c r="J304"/>
  <c r="G304"/>
  <c r="J303"/>
  <c r="G303"/>
  <c r="J302"/>
  <c r="G302"/>
  <c r="J301"/>
  <c r="G301"/>
  <c r="J300"/>
  <c r="G300"/>
  <c r="J299"/>
  <c r="G299"/>
  <c r="J298"/>
  <c r="G298"/>
  <c r="J297"/>
  <c r="G297"/>
  <c r="J296"/>
  <c r="G296"/>
  <c r="J295"/>
  <c r="G295"/>
  <c r="J294"/>
  <c r="G294"/>
  <c r="J293"/>
  <c r="G293"/>
  <c r="J292"/>
  <c r="G292"/>
  <c r="J291"/>
  <c r="G291"/>
  <c r="J290"/>
  <c r="G290"/>
  <c r="J287"/>
  <c r="G287"/>
  <c r="J286"/>
  <c r="G286"/>
  <c r="J285"/>
  <c r="G285"/>
  <c r="J284"/>
  <c r="G284"/>
  <c r="J283"/>
  <c r="G283"/>
  <c r="J282"/>
  <c r="G282"/>
  <c r="J281"/>
  <c r="G281"/>
  <c r="J280"/>
  <c r="G280"/>
  <c r="J279"/>
  <c r="G279"/>
  <c r="J278"/>
  <c r="G278"/>
  <c r="J277"/>
  <c r="G277"/>
  <c r="J276"/>
  <c r="G276"/>
  <c r="J275"/>
  <c r="G275"/>
  <c r="J274"/>
  <c r="G274"/>
  <c r="J273"/>
  <c r="G273"/>
  <c r="J272"/>
  <c r="G272"/>
  <c r="J269"/>
  <c r="G269"/>
  <c r="J268"/>
  <c r="G268"/>
  <c r="J267"/>
  <c r="G267"/>
  <c r="J266"/>
  <c r="G266"/>
  <c r="J265"/>
  <c r="G265"/>
  <c r="J264"/>
  <c r="G264"/>
  <c r="J263"/>
  <c r="G263"/>
  <c r="J262"/>
  <c r="G262"/>
  <c r="J261"/>
  <c r="G261"/>
  <c r="J260"/>
  <c r="G260"/>
  <c r="J259"/>
  <c r="G259"/>
  <c r="J258"/>
  <c r="G258"/>
  <c r="J257"/>
  <c r="G257"/>
  <c r="J256"/>
  <c r="G256"/>
  <c r="J255"/>
  <c r="G255"/>
  <c r="J254"/>
  <c r="G254"/>
  <c r="J251"/>
  <c r="G251"/>
  <c r="J250"/>
  <c r="G250"/>
  <c r="J249"/>
  <c r="G249"/>
  <c r="J248"/>
  <c r="G248"/>
  <c r="J247"/>
  <c r="G247"/>
  <c r="J246"/>
  <c r="G246"/>
  <c r="J245"/>
  <c r="G245"/>
  <c r="J244"/>
  <c r="G244"/>
  <c r="J243"/>
  <c r="G243"/>
  <c r="J242"/>
  <c r="G242"/>
  <c r="J241"/>
  <c r="G241"/>
  <c r="J240"/>
  <c r="G240"/>
  <c r="J239"/>
  <c r="G239"/>
  <c r="J238"/>
  <c r="G238"/>
  <c r="J237"/>
  <c r="G237"/>
  <c r="J236"/>
  <c r="G236"/>
  <c r="J233"/>
  <c r="G233"/>
  <c r="J232"/>
  <c r="G232"/>
  <c r="J231"/>
  <c r="G231"/>
  <c r="J230"/>
  <c r="G230"/>
  <c r="J229"/>
  <c r="G229"/>
  <c r="J228"/>
  <c r="G228"/>
  <c r="J227"/>
  <c r="G227"/>
  <c r="J226"/>
  <c r="G226"/>
  <c r="J225"/>
  <c r="G225"/>
  <c r="J224"/>
  <c r="G224"/>
  <c r="J223"/>
  <c r="G223"/>
  <c r="J222"/>
  <c r="G222"/>
  <c r="J221"/>
  <c r="G221"/>
  <c r="J220"/>
  <c r="G220"/>
  <c r="J219"/>
  <c r="G219"/>
  <c r="J218"/>
  <c r="G218"/>
  <c r="J215"/>
  <c r="G215"/>
  <c r="J214"/>
  <c r="G214"/>
  <c r="J213"/>
  <c r="G213"/>
  <c r="J212"/>
  <c r="G212"/>
  <c r="J211"/>
  <c r="G211"/>
  <c r="J210"/>
  <c r="G210"/>
  <c r="J209"/>
  <c r="G209"/>
  <c r="J208"/>
  <c r="G208"/>
  <c r="J207"/>
  <c r="G207"/>
  <c r="J206"/>
  <c r="G206"/>
  <c r="J205"/>
  <c r="G205"/>
  <c r="J204"/>
  <c r="G204"/>
  <c r="J203"/>
  <c r="G203"/>
  <c r="J202"/>
  <c r="G202"/>
  <c r="J201"/>
  <c r="G201"/>
  <c r="J200"/>
  <c r="G200"/>
  <c r="J197"/>
  <c r="G197"/>
  <c r="J196"/>
  <c r="G196"/>
  <c r="J195"/>
  <c r="G195"/>
  <c r="J194"/>
  <c r="G194"/>
  <c r="J193"/>
  <c r="G193"/>
  <c r="J192"/>
  <c r="G192"/>
  <c r="J191"/>
  <c r="G191"/>
  <c r="J190"/>
  <c r="G190"/>
  <c r="J189"/>
  <c r="G189"/>
  <c r="J188"/>
  <c r="G188"/>
  <c r="J187"/>
  <c r="G187"/>
  <c r="J186"/>
  <c r="G186"/>
  <c r="J185"/>
  <c r="G185"/>
  <c r="J184"/>
  <c r="G184"/>
  <c r="J183"/>
  <c r="G183"/>
  <c r="J182"/>
  <c r="G182"/>
  <c r="J179"/>
  <c r="G179"/>
  <c r="J178"/>
  <c r="G178"/>
  <c r="J177"/>
  <c r="G177"/>
  <c r="J176"/>
  <c r="G176"/>
  <c r="J175"/>
  <c r="G175"/>
  <c r="J174"/>
  <c r="G174"/>
  <c r="J173"/>
  <c r="G173"/>
  <c r="J172"/>
  <c r="G172"/>
  <c r="J171"/>
  <c r="G171"/>
  <c r="J170"/>
  <c r="G170"/>
  <c r="J169"/>
  <c r="G169"/>
  <c r="J168"/>
  <c r="G168"/>
  <c r="J167"/>
  <c r="G167"/>
  <c r="J166"/>
  <c r="G166"/>
  <c r="J165"/>
  <c r="G165"/>
  <c r="J164"/>
  <c r="G164"/>
  <c r="J161"/>
  <c r="G161"/>
  <c r="J160"/>
  <c r="G160"/>
  <c r="J159"/>
  <c r="G159"/>
  <c r="J158"/>
  <c r="G158"/>
  <c r="J157"/>
  <c r="G157"/>
  <c r="J156"/>
  <c r="G156"/>
  <c r="J155"/>
  <c r="G155"/>
  <c r="J154"/>
  <c r="G154"/>
  <c r="J153"/>
  <c r="G153"/>
  <c r="J152"/>
  <c r="G152"/>
  <c r="J151"/>
  <c r="G151"/>
  <c r="J150"/>
  <c r="G150"/>
  <c r="J149"/>
  <c r="G149"/>
  <c r="J148"/>
  <c r="G148"/>
  <c r="J147"/>
  <c r="G147"/>
  <c r="J146"/>
  <c r="G146"/>
  <c r="J143"/>
  <c r="G143"/>
  <c r="J142"/>
  <c r="G142"/>
  <c r="J141"/>
  <c r="G141"/>
  <c r="J140"/>
  <c r="G140"/>
  <c r="J139"/>
  <c r="G139"/>
  <c r="J138"/>
  <c r="G138"/>
  <c r="J137"/>
  <c r="G137"/>
  <c r="J136"/>
  <c r="G136"/>
  <c r="J135"/>
  <c r="G135"/>
  <c r="J134"/>
  <c r="G134"/>
  <c r="J133"/>
  <c r="G133"/>
  <c r="J132"/>
  <c r="G132"/>
  <c r="J131"/>
  <c r="G131"/>
  <c r="J130"/>
  <c r="G130"/>
  <c r="J129"/>
  <c r="G129"/>
  <c r="J128"/>
  <c r="G128"/>
  <c r="J125"/>
  <c r="G125"/>
  <c r="J124"/>
  <c r="G124"/>
  <c r="J123"/>
  <c r="G123"/>
  <c r="J122"/>
  <c r="G122"/>
  <c r="J121"/>
  <c r="G121"/>
  <c r="J120"/>
  <c r="G120"/>
  <c r="J119"/>
  <c r="G119"/>
  <c r="J118"/>
  <c r="G118"/>
  <c r="J117"/>
  <c r="G117"/>
  <c r="J116"/>
  <c r="G116"/>
  <c r="J115"/>
  <c r="G115"/>
  <c r="J114"/>
  <c r="G114"/>
  <c r="J113"/>
  <c r="G113"/>
  <c r="J112"/>
  <c r="G112"/>
  <c r="J111"/>
  <c r="G111"/>
  <c r="J110"/>
  <c r="G110"/>
  <c r="J107"/>
  <c r="G107"/>
  <c r="J106"/>
  <c r="G106"/>
  <c r="J105"/>
  <c r="G105"/>
  <c r="J104"/>
  <c r="G104"/>
  <c r="J103"/>
  <c r="G103"/>
  <c r="J102"/>
  <c r="G102"/>
  <c r="J101"/>
  <c r="G101"/>
  <c r="J100"/>
  <c r="G100"/>
  <c r="J99"/>
  <c r="G99"/>
  <c r="J98"/>
  <c r="G98"/>
  <c r="J97"/>
  <c r="G97"/>
  <c r="J96"/>
  <c r="G96"/>
  <c r="J95"/>
  <c r="G95"/>
  <c r="J94"/>
  <c r="G94"/>
  <c r="J93"/>
  <c r="G93"/>
  <c r="J92"/>
  <c r="G92"/>
  <c r="J89"/>
  <c r="G89"/>
  <c r="J88"/>
  <c r="G88"/>
  <c r="J87"/>
  <c r="G87"/>
  <c r="J86"/>
  <c r="G86"/>
  <c r="J85"/>
  <c r="G85"/>
  <c r="J84"/>
  <c r="G84"/>
  <c r="J83"/>
  <c r="G83"/>
  <c r="J82"/>
  <c r="G82"/>
  <c r="J81"/>
  <c r="G81"/>
  <c r="J80"/>
  <c r="G80"/>
  <c r="J79"/>
  <c r="G79"/>
  <c r="J78"/>
  <c r="G78"/>
  <c r="J77"/>
  <c r="G77"/>
  <c r="J76"/>
  <c r="G76"/>
  <c r="J75"/>
  <c r="G75"/>
  <c r="J74"/>
  <c r="G74"/>
  <c r="G71"/>
  <c r="G70"/>
  <c r="G69"/>
  <c r="G68"/>
  <c r="G67"/>
  <c r="G66"/>
  <c r="G65"/>
  <c r="G64"/>
  <c r="G63"/>
  <c r="G62"/>
  <c r="G61"/>
  <c r="G60"/>
  <c r="G59"/>
  <c r="G58"/>
  <c r="G57"/>
  <c r="G56"/>
  <c r="J71"/>
  <c r="J70"/>
  <c r="J69"/>
  <c r="J68"/>
  <c r="J67"/>
  <c r="J66"/>
  <c r="J65"/>
  <c r="J64"/>
  <c r="J63"/>
  <c r="J62"/>
  <c r="J61"/>
  <c r="J60"/>
  <c r="J59"/>
  <c r="J58"/>
  <c r="J57"/>
  <c r="J56"/>
  <c r="J53"/>
  <c r="D53"/>
  <c r="J52"/>
  <c r="D52"/>
  <c r="J51"/>
  <c r="D51"/>
  <c r="J50"/>
  <c r="D50"/>
  <c r="J49"/>
  <c r="D49"/>
  <c r="J48"/>
  <c r="D48"/>
  <c r="J47"/>
  <c r="D47"/>
  <c r="J46"/>
  <c r="D46"/>
  <c r="J45"/>
  <c r="D45"/>
  <c r="J44"/>
  <c r="D44"/>
  <c r="J43"/>
  <c r="D43"/>
  <c r="J42"/>
  <c r="D42"/>
  <c r="J41"/>
  <c r="D41"/>
  <c r="J40"/>
  <c r="D40"/>
  <c r="J39"/>
  <c r="D39"/>
  <c r="J38"/>
  <c r="D38"/>
  <c r="J35"/>
  <c r="D35"/>
  <c r="J34"/>
  <c r="D34"/>
  <c r="J33"/>
  <c r="D33"/>
  <c r="J32"/>
  <c r="D32"/>
  <c r="J31"/>
  <c r="D31"/>
  <c r="J30"/>
  <c r="D30"/>
  <c r="J29"/>
  <c r="D29"/>
  <c r="J28"/>
  <c r="D28"/>
  <c r="J27"/>
  <c r="D27"/>
  <c r="J26"/>
  <c r="D26"/>
  <c r="J25"/>
  <c r="D25"/>
  <c r="J24"/>
  <c r="D24"/>
  <c r="J23"/>
  <c r="D23"/>
  <c r="J22"/>
  <c r="D22"/>
  <c r="J21"/>
  <c r="D21"/>
  <c r="J20"/>
  <c r="D20"/>
  <c r="J17"/>
  <c r="J16"/>
  <c r="J15"/>
  <c r="J14"/>
  <c r="J13"/>
  <c r="J12"/>
  <c r="J11"/>
  <c r="J10"/>
  <c r="J9"/>
  <c r="J8"/>
  <c r="J7"/>
  <c r="J6"/>
  <c r="J5"/>
  <c r="J4"/>
  <c r="J3"/>
  <c r="J2"/>
  <c r="D17"/>
  <c r="D16"/>
  <c r="D15"/>
  <c r="D14"/>
  <c r="D13"/>
  <c r="D12"/>
  <c r="D11"/>
  <c r="D10"/>
  <c r="D9"/>
  <c r="D8"/>
  <c r="D7"/>
  <c r="D6"/>
  <c r="D5"/>
  <c r="D4"/>
  <c r="D3"/>
  <c r="D2"/>
</calcChain>
</file>

<file path=xl/sharedStrings.xml><?xml version="1.0" encoding="utf-8"?>
<sst xmlns="http://schemas.openxmlformats.org/spreadsheetml/2006/main" count="464" uniqueCount="106">
  <si>
    <t>River Plate PR Ponce</t>
  </si>
  <si>
    <t>FC Arsenal de Sarandí</t>
  </si>
  <si>
    <t>Milan Associazione Calcio</t>
  </si>
  <si>
    <t>Stiffteam</t>
  </si>
  <si>
    <t>Hrabuvka ghetto</t>
  </si>
  <si>
    <t>Fc Mendoza Red devil</t>
  </si>
  <si>
    <t>Boca Juniors</t>
  </si>
  <si>
    <t>Seatrend</t>
  </si>
  <si>
    <t>Zebronov</t>
  </si>
  <si>
    <t>FCFC</t>
  </si>
  <si>
    <t>Ultras Sparta Praha</t>
  </si>
  <si>
    <t>SC Highcastle Rovers</t>
  </si>
  <si>
    <t>FC Mendosa</t>
  </si>
  <si>
    <t>FC Bambusové výhonky</t>
  </si>
  <si>
    <t>volný</t>
  </si>
  <si>
    <t>3. sezona</t>
  </si>
  <si>
    <t>4. sezona</t>
  </si>
  <si>
    <t>Cacciatore de Sársfield F.C.</t>
  </si>
  <si>
    <t>SK Berani Senomaty</t>
  </si>
  <si>
    <t>Boca Bryans</t>
  </si>
  <si>
    <t>Liga maester</t>
  </si>
  <si>
    <t>FC SPRAYRI</t>
  </si>
  <si>
    <t>5. sezona</t>
  </si>
  <si>
    <t>Boca Quadre</t>
  </si>
  <si>
    <t>FC Velenovy</t>
  </si>
  <si>
    <t>TJ Veča</t>
  </si>
  <si>
    <t>6. sezona</t>
  </si>
  <si>
    <t>ACS zewlteam</t>
  </si>
  <si>
    <t>Colorado Avalanche</t>
  </si>
  <si>
    <t>7. sezona</t>
  </si>
  <si>
    <t>Las Palmas</t>
  </si>
  <si>
    <t>8. sezona</t>
  </si>
  <si>
    <t>FC Petrůvka</t>
  </si>
  <si>
    <t>FC Boca Pupíci</t>
  </si>
  <si>
    <t>Tým bez manažera</t>
  </si>
  <si>
    <t>9. sezona</t>
  </si>
  <si>
    <t>Rinnegatos de Picudo Sombreros</t>
  </si>
  <si>
    <t>10. sezona</t>
  </si>
  <si>
    <t>Cf Altiero</t>
  </si>
  <si>
    <t>Jaguares de C. A. Barca Juniors</t>
  </si>
  <si>
    <t>11. sezona</t>
  </si>
  <si>
    <t>AFK SPARTAK KBELY 1921</t>
  </si>
  <si>
    <t>12. sezona</t>
  </si>
  <si>
    <t>FC Bulldogs Chomutov</t>
  </si>
  <si>
    <t>13. sezona</t>
  </si>
  <si>
    <t>Jaguares de C. A. Independiente</t>
  </si>
  <si>
    <t>14. sezona</t>
  </si>
  <si>
    <t>Cf Sportísimo Andarin Flecha HK</t>
  </si>
  <si>
    <t>AFC Tygress de Monýsek</t>
  </si>
  <si>
    <t>15. sezona</t>
  </si>
  <si>
    <t>Apatchi</t>
  </si>
  <si>
    <t>Club Estudiantes</t>
  </si>
  <si>
    <t>Pamplona</t>
  </si>
  <si>
    <t>Lustigen</t>
  </si>
  <si>
    <t>16. sezona</t>
  </si>
  <si>
    <t>CA Villerías</t>
  </si>
  <si>
    <t>Lazceteam</t>
  </si>
  <si>
    <t>17. sezona</t>
  </si>
  <si>
    <t>CA Boca Juniors</t>
  </si>
  <si>
    <t>Vaca Ratíškovice CF</t>
  </si>
  <si>
    <t>18. sezona</t>
  </si>
  <si>
    <t>R.U.M. Cataratas del Iguazú</t>
  </si>
  <si>
    <t>1. FC Zdislavice Crew</t>
  </si>
  <si>
    <t>19. sezona</t>
  </si>
  <si>
    <t>Colón de Santa Fe</t>
  </si>
  <si>
    <t>FC Real Medlov</t>
  </si>
  <si>
    <t>20. sezona</t>
  </si>
  <si>
    <t>Fk Tábor</t>
  </si>
  <si>
    <t>.DNB.</t>
  </si>
  <si>
    <t>21. sezona</t>
  </si>
  <si>
    <t>San Lorenzo</t>
  </si>
  <si>
    <t>Club Deportivo Philly de Žatec</t>
  </si>
  <si>
    <t>pozice</t>
  </si>
  <si>
    <t>tým</t>
  </si>
  <si>
    <t>utkání</t>
  </si>
  <si>
    <t>výhry</t>
  </si>
  <si>
    <t>remízy</t>
  </si>
  <si>
    <t>prohry</t>
  </si>
  <si>
    <t>vstřelené</t>
  </si>
  <si>
    <t>obdržené</t>
  </si>
  <si>
    <t>body</t>
  </si>
  <si>
    <t>Navrh na zverejnene statistiky</t>
  </si>
  <si>
    <t>Celkova tabulka v bodech</t>
  </si>
  <si>
    <t>Tabulka dle umisteni (1, 2 a 3 místo)</t>
  </si>
  <si>
    <t>úspěšnost</t>
  </si>
  <si>
    <t>průměr v</t>
  </si>
  <si>
    <t>průměr o</t>
  </si>
  <si>
    <t>Nejlepsi prumer vstrelenych</t>
  </si>
  <si>
    <t>Nejlepsi prumer obdrzenych</t>
  </si>
  <si>
    <t>zlato</t>
  </si>
  <si>
    <t>stribro</t>
  </si>
  <si>
    <t>bronz</t>
  </si>
  <si>
    <t>Column1</t>
  </si>
  <si>
    <t>22. sezona</t>
  </si>
  <si>
    <t>1.FC Zdislavice Crew</t>
  </si>
  <si>
    <t>fc jiskra burani</t>
  </si>
  <si>
    <t>rozdíl</t>
  </si>
  <si>
    <t>nová pozice</t>
  </si>
  <si>
    <t>23. sezona</t>
  </si>
  <si>
    <t>Zdislavice Crew</t>
  </si>
  <si>
    <t>FC Independiente West Vroutek</t>
  </si>
  <si>
    <t>*R.U.M. Cataratas del Iguazú</t>
  </si>
  <si>
    <t>24. sezona</t>
  </si>
  <si>
    <t>*Club Estudiantes</t>
  </si>
  <si>
    <t>*Fk Tábor</t>
  </si>
  <si>
    <t>*CA Villerías</t>
  </si>
</sst>
</file>

<file path=xl/styles.xml><?xml version="1.0" encoding="utf-8"?>
<styleSheet xmlns="http://schemas.openxmlformats.org/spreadsheetml/2006/main">
  <numFmts count="1">
    <numFmt numFmtId="164" formatCode="0.0%"/>
  </numFmts>
  <fonts count="7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color rgb="FFFF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NumberFormat="1"/>
    <xf numFmtId="0" fontId="4" fillId="0" borderId="0" xfId="0" applyNumberFormat="1" applyFont="1"/>
    <xf numFmtId="0" fontId="0" fillId="2" borderId="0" xfId="0" applyFill="1"/>
    <xf numFmtId="0" fontId="0" fillId="2" borderId="0" xfId="0" applyNumberFormat="1" applyFill="1"/>
    <xf numFmtId="0" fontId="2" fillId="2" borderId="0" xfId="0" applyFont="1" applyFill="1"/>
    <xf numFmtId="164" fontId="0" fillId="0" borderId="0" xfId="0" applyNumberFormat="1"/>
    <xf numFmtId="2" fontId="0" fillId="0" borderId="0" xfId="0" applyNumberFormat="1"/>
    <xf numFmtId="0" fontId="0" fillId="0" borderId="0" xfId="0" applyBorder="1"/>
    <xf numFmtId="0" fontId="6" fillId="0" borderId="0" xfId="0" applyFont="1" applyBorder="1"/>
    <xf numFmtId="164" fontId="0" fillId="0" borderId="0" xfId="0" applyNumberFormat="1" applyBorder="1"/>
    <xf numFmtId="2" fontId="0" fillId="0" borderId="0" xfId="0" applyNumberFormat="1" applyBorder="1"/>
    <xf numFmtId="0" fontId="0" fillId="0" borderId="0" xfId="0" applyFill="1"/>
    <xf numFmtId="0" fontId="0" fillId="0" borderId="0" xfId="0" applyNumberFormat="1" applyFill="1"/>
    <xf numFmtId="0" fontId="2" fillId="0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Fill="1" applyBorder="1"/>
  </cellXfs>
  <cellStyles count="1">
    <cellStyle name="Normal" xfId="0" builtinId="0"/>
  </cellStyles>
  <dxfs count="10"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scheme val="minor"/>
      </font>
    </dxf>
    <dxf>
      <numFmt numFmtId="2" formatCode="0.00"/>
    </dxf>
    <dxf>
      <numFmt numFmtId="2" formatCode="0.00"/>
    </dxf>
    <dxf>
      <numFmt numFmtId="164" formatCode="0.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numFmt numFmtId="0" formatCode="General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Table1" displayName="Table1" ref="C1:N54" totalsRowShown="0">
  <autoFilter ref="C1:N54">
    <filterColumn colId="9"/>
    <filterColumn colId="10"/>
    <filterColumn colId="11"/>
  </autoFilter>
  <sortState ref="C2:N54">
    <sortCondition descending="1" ref="K2:K53"/>
    <sortCondition descending="1" ref="F2:F53"/>
    <sortCondition descending="1" ref="G2:G53"/>
    <sortCondition descending="1" ref="I2:I53"/>
  </sortState>
  <tableColumns count="12">
    <tableColumn id="1" name="pozice"/>
    <tableColumn id="2" name="tým"/>
    <tableColumn id="3" name="utkání" dataDxfId="9"/>
    <tableColumn id="4" name="výhry"/>
    <tableColumn id="5" name="remízy"/>
    <tableColumn id="6" name="prohry">
      <calculatedColumnFormula>E2-F2-G2</calculatedColumnFormula>
    </tableColumn>
    <tableColumn id="7" name="vstřelené"/>
    <tableColumn id="8" name="obdržené"/>
    <tableColumn id="9" name="body" dataDxfId="8"/>
    <tableColumn id="10" name="úspěšnost" dataDxfId="7">
      <calculatedColumnFormula>K2/(E2*3)</calculatedColumnFormula>
    </tableColumn>
    <tableColumn id="11" name="průměr v" dataDxfId="6">
      <calculatedColumnFormula>I2/E2</calculatedColumnFormula>
    </tableColumn>
    <tableColumn id="12" name="průměr o" dataDxfId="5">
      <calculatedColumnFormula>J2/E2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C2:F17" totalsRowCount="1">
  <autoFilter ref="C2:F16"/>
  <sortState ref="C3:F15">
    <sortCondition descending="1" ref="D3:D15"/>
    <sortCondition descending="1" ref="E3:E15"/>
    <sortCondition descending="1" ref="F3:F15"/>
  </sortState>
  <tableColumns count="4">
    <tableColumn id="1" name="Column1" dataDxfId="4" totalsRowDxfId="3"/>
    <tableColumn id="2" name="zlato" totalsRowFunction="sum" totalsRowDxfId="2"/>
    <tableColumn id="3" name="stribro" totalsRowFunction="sum" totalsRowDxfId="1"/>
    <tableColumn id="4" name="bronz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N395"/>
  <sheetViews>
    <sheetView tabSelected="1" topLeftCell="A376" workbookViewId="0">
      <selection activeCell="C394" sqref="C394:J394"/>
    </sheetView>
  </sheetViews>
  <sheetFormatPr defaultRowHeight="15"/>
  <cols>
    <col min="2" max="2" width="3" bestFit="1" customWidth="1"/>
    <col min="3" max="3" width="30.7109375" bestFit="1" customWidth="1"/>
    <col min="10" max="10" width="9.140625" style="1"/>
    <col min="13" max="13" width="30.7109375" bestFit="1" customWidth="1"/>
    <col min="14" max="14" width="4" style="6" bestFit="1" customWidth="1"/>
    <col min="15" max="15" width="4" bestFit="1" customWidth="1"/>
    <col min="16" max="16" width="3" bestFit="1" customWidth="1"/>
    <col min="17" max="17" width="4" bestFit="1" customWidth="1"/>
    <col min="18" max="18" width="5" bestFit="1" customWidth="1"/>
    <col min="19" max="19" width="4" bestFit="1" customWidth="1"/>
    <col min="20" max="20" width="5" bestFit="1" customWidth="1"/>
  </cols>
  <sheetData>
    <row r="1" spans="2:10">
      <c r="B1" s="20" t="s">
        <v>15</v>
      </c>
      <c r="C1" s="20"/>
      <c r="D1" s="20"/>
      <c r="E1" s="20"/>
      <c r="F1" s="20"/>
      <c r="G1" s="20"/>
      <c r="H1" s="20"/>
      <c r="I1" s="20"/>
      <c r="J1" s="20"/>
    </row>
    <row r="2" spans="2:10">
      <c r="B2">
        <v>1</v>
      </c>
      <c r="C2" s="2" t="s">
        <v>0</v>
      </c>
      <c r="D2" s="2">
        <f>E2+F2+G2</f>
        <v>30</v>
      </c>
      <c r="E2" s="2">
        <v>22</v>
      </c>
      <c r="F2" s="2">
        <v>2</v>
      </c>
      <c r="G2" s="2">
        <v>6</v>
      </c>
      <c r="H2" s="2">
        <v>57</v>
      </c>
      <c r="I2" s="2">
        <v>25</v>
      </c>
      <c r="J2" s="3">
        <f>E2*3+F2*1</f>
        <v>68</v>
      </c>
    </row>
    <row r="3" spans="2:10">
      <c r="B3">
        <v>2</v>
      </c>
      <c r="C3" s="2" t="s">
        <v>1</v>
      </c>
      <c r="D3" s="2">
        <f t="shared" ref="D3:D17" si="0">E3+F3+G3</f>
        <v>30</v>
      </c>
      <c r="E3" s="2">
        <v>18</v>
      </c>
      <c r="F3" s="2">
        <v>4</v>
      </c>
      <c r="G3" s="2">
        <v>8</v>
      </c>
      <c r="H3" s="2">
        <v>60</v>
      </c>
      <c r="I3" s="2">
        <v>44</v>
      </c>
      <c r="J3" s="3">
        <f t="shared" ref="J3:J17" si="1">E3*3+F3*1</f>
        <v>58</v>
      </c>
    </row>
    <row r="4" spans="2:10">
      <c r="B4">
        <v>3</v>
      </c>
      <c r="C4" s="2" t="s">
        <v>2</v>
      </c>
      <c r="D4" s="2">
        <f t="shared" si="0"/>
        <v>30</v>
      </c>
      <c r="E4" s="2">
        <v>16</v>
      </c>
      <c r="F4" s="2">
        <v>4</v>
      </c>
      <c r="G4" s="2">
        <v>10</v>
      </c>
      <c r="H4" s="2">
        <v>61</v>
      </c>
      <c r="I4" s="2">
        <v>38</v>
      </c>
      <c r="J4" s="3">
        <f t="shared" si="1"/>
        <v>52</v>
      </c>
    </row>
    <row r="5" spans="2:10">
      <c r="B5">
        <v>4</v>
      </c>
      <c r="C5" s="2" t="s">
        <v>3</v>
      </c>
      <c r="D5" s="2">
        <f t="shared" si="0"/>
        <v>30</v>
      </c>
      <c r="E5" s="2">
        <v>15</v>
      </c>
      <c r="F5" s="2">
        <v>6</v>
      </c>
      <c r="G5" s="2">
        <v>9</v>
      </c>
      <c r="H5" s="2">
        <v>58</v>
      </c>
      <c r="I5" s="2">
        <v>33</v>
      </c>
      <c r="J5" s="3">
        <f t="shared" si="1"/>
        <v>51</v>
      </c>
    </row>
    <row r="6" spans="2:10">
      <c r="B6">
        <v>5</v>
      </c>
      <c r="C6" s="2" t="s">
        <v>4</v>
      </c>
      <c r="D6" s="2">
        <f t="shared" si="0"/>
        <v>30</v>
      </c>
      <c r="E6" s="2">
        <v>16</v>
      </c>
      <c r="F6" s="2">
        <v>3</v>
      </c>
      <c r="G6" s="2">
        <v>11</v>
      </c>
      <c r="H6" s="2">
        <v>50</v>
      </c>
      <c r="I6" s="2">
        <v>31</v>
      </c>
      <c r="J6" s="3">
        <f t="shared" si="1"/>
        <v>51</v>
      </c>
    </row>
    <row r="7" spans="2:10">
      <c r="B7">
        <v>6</v>
      </c>
      <c r="C7" s="2" t="s">
        <v>5</v>
      </c>
      <c r="D7" s="2">
        <f t="shared" si="0"/>
        <v>30</v>
      </c>
      <c r="E7" s="2">
        <v>15</v>
      </c>
      <c r="F7" s="2">
        <v>5</v>
      </c>
      <c r="G7" s="2">
        <v>10</v>
      </c>
      <c r="H7" s="2">
        <v>51</v>
      </c>
      <c r="I7" s="2">
        <v>37</v>
      </c>
      <c r="J7" s="3">
        <f t="shared" si="1"/>
        <v>50</v>
      </c>
    </row>
    <row r="8" spans="2:10">
      <c r="B8">
        <v>7</v>
      </c>
      <c r="C8" s="2" t="s">
        <v>6</v>
      </c>
      <c r="D8" s="2">
        <f t="shared" si="0"/>
        <v>30</v>
      </c>
      <c r="E8" s="2">
        <v>14</v>
      </c>
      <c r="F8" s="2">
        <v>7</v>
      </c>
      <c r="G8" s="2">
        <v>9</v>
      </c>
      <c r="H8" s="2">
        <v>52</v>
      </c>
      <c r="I8" s="2">
        <v>38</v>
      </c>
      <c r="J8" s="3">
        <f t="shared" si="1"/>
        <v>49</v>
      </c>
    </row>
    <row r="9" spans="2:10">
      <c r="B9">
        <v>8</v>
      </c>
      <c r="C9" s="2" t="s">
        <v>7</v>
      </c>
      <c r="D9" s="2">
        <f t="shared" si="0"/>
        <v>30</v>
      </c>
      <c r="E9" s="2">
        <v>14</v>
      </c>
      <c r="F9" s="2">
        <v>4</v>
      </c>
      <c r="G9" s="2">
        <v>12</v>
      </c>
      <c r="H9" s="2">
        <v>50</v>
      </c>
      <c r="I9" s="2">
        <v>37</v>
      </c>
      <c r="J9" s="3">
        <f t="shared" si="1"/>
        <v>46</v>
      </c>
    </row>
    <row r="10" spans="2:10">
      <c r="B10">
        <v>9</v>
      </c>
      <c r="C10" s="2" t="s">
        <v>8</v>
      </c>
      <c r="D10" s="2">
        <f t="shared" si="0"/>
        <v>30</v>
      </c>
      <c r="E10" s="2">
        <v>12</v>
      </c>
      <c r="F10" s="2">
        <v>3</v>
      </c>
      <c r="G10" s="2">
        <v>15</v>
      </c>
      <c r="H10" s="2">
        <v>45</v>
      </c>
      <c r="I10" s="2">
        <v>43</v>
      </c>
      <c r="J10" s="3">
        <f t="shared" si="1"/>
        <v>39</v>
      </c>
    </row>
    <row r="11" spans="2:10">
      <c r="B11">
        <v>10</v>
      </c>
      <c r="C11" s="2" t="s">
        <v>9</v>
      </c>
      <c r="D11" s="2">
        <f t="shared" si="0"/>
        <v>30</v>
      </c>
      <c r="E11" s="2">
        <v>10</v>
      </c>
      <c r="F11" s="2">
        <v>7</v>
      </c>
      <c r="G11" s="2">
        <v>13</v>
      </c>
      <c r="H11" s="2">
        <v>38</v>
      </c>
      <c r="I11" s="2">
        <v>45</v>
      </c>
      <c r="J11" s="3">
        <f t="shared" si="1"/>
        <v>37</v>
      </c>
    </row>
    <row r="12" spans="2:10">
      <c r="B12">
        <v>11</v>
      </c>
      <c r="C12" s="2" t="s">
        <v>10</v>
      </c>
      <c r="D12" s="2">
        <f t="shared" si="0"/>
        <v>30</v>
      </c>
      <c r="E12" s="2">
        <v>10</v>
      </c>
      <c r="F12" s="2">
        <v>6</v>
      </c>
      <c r="G12" s="2">
        <v>14</v>
      </c>
      <c r="H12" s="2">
        <v>38</v>
      </c>
      <c r="I12" s="2">
        <v>49</v>
      </c>
      <c r="J12" s="3">
        <f t="shared" si="1"/>
        <v>36</v>
      </c>
    </row>
    <row r="13" spans="2:10">
      <c r="B13">
        <v>12</v>
      </c>
      <c r="C13" s="2" t="s">
        <v>11</v>
      </c>
      <c r="D13" s="2">
        <f t="shared" si="0"/>
        <v>30</v>
      </c>
      <c r="E13" s="2">
        <v>10</v>
      </c>
      <c r="F13" s="2">
        <v>5</v>
      </c>
      <c r="G13" s="2">
        <v>15</v>
      </c>
      <c r="H13" s="2">
        <v>53</v>
      </c>
      <c r="I13" s="2">
        <v>57</v>
      </c>
      <c r="J13" s="3">
        <f t="shared" si="1"/>
        <v>35</v>
      </c>
    </row>
    <row r="14" spans="2:10">
      <c r="B14">
        <v>13</v>
      </c>
      <c r="C14" s="2" t="s">
        <v>12</v>
      </c>
      <c r="D14" s="2">
        <f t="shared" si="0"/>
        <v>30</v>
      </c>
      <c r="E14" s="2">
        <v>10</v>
      </c>
      <c r="F14" s="2">
        <v>5</v>
      </c>
      <c r="G14" s="2">
        <v>15</v>
      </c>
      <c r="H14" s="2">
        <v>27</v>
      </c>
      <c r="I14" s="2">
        <v>50</v>
      </c>
      <c r="J14" s="3">
        <f t="shared" si="1"/>
        <v>35</v>
      </c>
    </row>
    <row r="15" spans="2:10">
      <c r="B15">
        <v>14</v>
      </c>
      <c r="C15" s="2" t="s">
        <v>13</v>
      </c>
      <c r="D15" s="2">
        <f t="shared" si="0"/>
        <v>30</v>
      </c>
      <c r="E15" s="2">
        <v>6</v>
      </c>
      <c r="F15" s="2">
        <v>9</v>
      </c>
      <c r="G15" s="2">
        <v>15</v>
      </c>
      <c r="H15" s="2">
        <v>39</v>
      </c>
      <c r="I15" s="2">
        <v>57</v>
      </c>
      <c r="J15" s="3">
        <f t="shared" si="1"/>
        <v>27</v>
      </c>
    </row>
    <row r="16" spans="2:10">
      <c r="B16">
        <v>15</v>
      </c>
      <c r="C16" t="s">
        <v>14</v>
      </c>
      <c r="D16">
        <f t="shared" si="0"/>
        <v>0</v>
      </c>
      <c r="J16" s="1">
        <f t="shared" si="1"/>
        <v>0</v>
      </c>
    </row>
    <row r="17" spans="2:10">
      <c r="B17">
        <v>16</v>
      </c>
      <c r="C17" t="s">
        <v>14</v>
      </c>
      <c r="D17">
        <f t="shared" si="0"/>
        <v>0</v>
      </c>
      <c r="J17" s="1">
        <f t="shared" si="1"/>
        <v>0</v>
      </c>
    </row>
    <row r="19" spans="2:10">
      <c r="B19" s="20" t="s">
        <v>16</v>
      </c>
      <c r="C19" s="20"/>
      <c r="D19" s="20"/>
      <c r="E19" s="20"/>
      <c r="F19" s="20"/>
      <c r="G19" s="20"/>
      <c r="H19" s="20"/>
      <c r="I19" s="20"/>
      <c r="J19" s="20"/>
    </row>
    <row r="20" spans="2:10">
      <c r="B20">
        <v>1</v>
      </c>
      <c r="C20" s="2" t="s">
        <v>0</v>
      </c>
      <c r="D20" s="2">
        <f>E20+F20+G20</f>
        <v>30</v>
      </c>
      <c r="E20" s="2">
        <v>19</v>
      </c>
      <c r="F20" s="2">
        <v>8</v>
      </c>
      <c r="G20" s="2">
        <v>3</v>
      </c>
      <c r="H20" s="2">
        <v>64</v>
      </c>
      <c r="I20" s="2">
        <v>30</v>
      </c>
      <c r="J20" s="3">
        <f>E20*3+F20*1</f>
        <v>65</v>
      </c>
    </row>
    <row r="21" spans="2:10">
      <c r="B21">
        <v>2</v>
      </c>
      <c r="C21" s="2" t="s">
        <v>1</v>
      </c>
      <c r="D21" s="2">
        <f t="shared" ref="D21:D35" si="2">E21+F21+G21</f>
        <v>30</v>
      </c>
      <c r="E21" s="2">
        <v>17</v>
      </c>
      <c r="F21" s="2">
        <v>8</v>
      </c>
      <c r="G21" s="2">
        <v>5</v>
      </c>
      <c r="H21" s="2">
        <v>55</v>
      </c>
      <c r="I21" s="2">
        <v>23</v>
      </c>
      <c r="J21" s="3">
        <f t="shared" ref="J21:J35" si="3">E21*3+F21*1</f>
        <v>59</v>
      </c>
    </row>
    <row r="22" spans="2:10">
      <c r="B22">
        <v>3</v>
      </c>
      <c r="C22" s="2" t="s">
        <v>3</v>
      </c>
      <c r="D22" s="2">
        <f t="shared" si="2"/>
        <v>30</v>
      </c>
      <c r="E22" s="2">
        <v>17</v>
      </c>
      <c r="F22" s="2">
        <v>4</v>
      </c>
      <c r="G22" s="2">
        <v>9</v>
      </c>
      <c r="H22" s="2">
        <v>50</v>
      </c>
      <c r="I22" s="2">
        <v>31</v>
      </c>
      <c r="J22" s="3">
        <f t="shared" si="3"/>
        <v>55</v>
      </c>
    </row>
    <row r="23" spans="2:10">
      <c r="B23">
        <v>4</v>
      </c>
      <c r="C23" s="2" t="s">
        <v>6</v>
      </c>
      <c r="D23" s="2">
        <f t="shared" si="2"/>
        <v>30</v>
      </c>
      <c r="E23" s="2">
        <v>14</v>
      </c>
      <c r="F23" s="2">
        <v>12</v>
      </c>
      <c r="G23" s="2">
        <v>4</v>
      </c>
      <c r="H23" s="2">
        <v>47</v>
      </c>
      <c r="I23" s="2">
        <v>22</v>
      </c>
      <c r="J23" s="3">
        <f t="shared" si="3"/>
        <v>54</v>
      </c>
    </row>
    <row r="24" spans="2:10">
      <c r="B24">
        <v>5</v>
      </c>
      <c r="C24" s="2" t="s">
        <v>17</v>
      </c>
      <c r="D24" s="2">
        <f t="shared" si="2"/>
        <v>30</v>
      </c>
      <c r="E24" s="2">
        <v>14</v>
      </c>
      <c r="F24" s="2">
        <v>11</v>
      </c>
      <c r="G24" s="2">
        <v>5</v>
      </c>
      <c r="H24" s="2">
        <v>47</v>
      </c>
      <c r="I24" s="2">
        <v>27</v>
      </c>
      <c r="J24" s="3">
        <f t="shared" si="3"/>
        <v>53</v>
      </c>
    </row>
    <row r="25" spans="2:10">
      <c r="B25">
        <v>6</v>
      </c>
      <c r="C25" s="2" t="s">
        <v>9</v>
      </c>
      <c r="D25" s="2">
        <f t="shared" si="2"/>
        <v>30</v>
      </c>
      <c r="E25" s="2">
        <v>15</v>
      </c>
      <c r="F25" s="2">
        <v>4</v>
      </c>
      <c r="G25" s="2">
        <v>11</v>
      </c>
      <c r="H25" s="2">
        <v>49</v>
      </c>
      <c r="I25" s="2">
        <v>40</v>
      </c>
      <c r="J25" s="3">
        <f t="shared" si="3"/>
        <v>49</v>
      </c>
    </row>
    <row r="26" spans="2:10">
      <c r="B26">
        <v>7</v>
      </c>
      <c r="C26" s="2" t="s">
        <v>18</v>
      </c>
      <c r="D26" s="2">
        <f t="shared" si="2"/>
        <v>30</v>
      </c>
      <c r="E26" s="2">
        <v>14</v>
      </c>
      <c r="F26" s="2">
        <v>6</v>
      </c>
      <c r="G26" s="2">
        <v>10</v>
      </c>
      <c r="H26" s="2">
        <v>49</v>
      </c>
      <c r="I26" s="2">
        <v>33</v>
      </c>
      <c r="J26" s="3">
        <f t="shared" si="3"/>
        <v>48</v>
      </c>
    </row>
    <row r="27" spans="2:10">
      <c r="B27">
        <v>8</v>
      </c>
      <c r="C27" s="2" t="s">
        <v>7</v>
      </c>
      <c r="D27" s="2">
        <f t="shared" si="2"/>
        <v>30</v>
      </c>
      <c r="E27" s="2">
        <v>14</v>
      </c>
      <c r="F27" s="2">
        <v>5</v>
      </c>
      <c r="G27" s="2">
        <v>11</v>
      </c>
      <c r="H27" s="2">
        <v>52</v>
      </c>
      <c r="I27" s="2">
        <v>35</v>
      </c>
      <c r="J27" s="3">
        <f t="shared" si="3"/>
        <v>47</v>
      </c>
    </row>
    <row r="28" spans="2:10">
      <c r="B28">
        <v>9</v>
      </c>
      <c r="C28" s="2" t="s">
        <v>2</v>
      </c>
      <c r="D28" s="2">
        <f t="shared" si="2"/>
        <v>30</v>
      </c>
      <c r="E28" s="2">
        <v>13</v>
      </c>
      <c r="F28" s="2">
        <v>8</v>
      </c>
      <c r="G28" s="2">
        <v>9</v>
      </c>
      <c r="H28" s="2">
        <v>54</v>
      </c>
      <c r="I28" s="2">
        <v>41</v>
      </c>
      <c r="J28" s="3">
        <f t="shared" si="3"/>
        <v>47</v>
      </c>
    </row>
    <row r="29" spans="2:10">
      <c r="B29">
        <v>10</v>
      </c>
      <c r="C29" s="2" t="s">
        <v>5</v>
      </c>
      <c r="D29" s="2">
        <f t="shared" si="2"/>
        <v>30</v>
      </c>
      <c r="E29" s="2">
        <v>12</v>
      </c>
      <c r="F29" s="2">
        <v>7</v>
      </c>
      <c r="G29" s="2">
        <v>11</v>
      </c>
      <c r="H29" s="2">
        <v>38</v>
      </c>
      <c r="I29" s="2">
        <v>32</v>
      </c>
      <c r="J29" s="3">
        <f t="shared" si="3"/>
        <v>43</v>
      </c>
    </row>
    <row r="30" spans="2:10">
      <c r="B30">
        <v>11</v>
      </c>
      <c r="C30" s="2" t="s">
        <v>4</v>
      </c>
      <c r="D30" s="2">
        <f t="shared" si="2"/>
        <v>30</v>
      </c>
      <c r="E30" s="2">
        <v>10</v>
      </c>
      <c r="F30" s="2">
        <v>8</v>
      </c>
      <c r="G30" s="2">
        <v>12</v>
      </c>
      <c r="H30" s="2">
        <v>48</v>
      </c>
      <c r="I30" s="2">
        <v>32</v>
      </c>
      <c r="J30" s="3">
        <f t="shared" si="3"/>
        <v>38</v>
      </c>
    </row>
    <row r="31" spans="2:10">
      <c r="B31">
        <v>12</v>
      </c>
      <c r="C31" s="2" t="s">
        <v>10</v>
      </c>
      <c r="D31" s="2">
        <f t="shared" si="2"/>
        <v>30</v>
      </c>
      <c r="E31" s="2">
        <v>8</v>
      </c>
      <c r="F31" s="2">
        <v>8</v>
      </c>
      <c r="G31" s="2">
        <v>14</v>
      </c>
      <c r="H31" s="2">
        <v>32</v>
      </c>
      <c r="I31" s="2">
        <v>45</v>
      </c>
      <c r="J31" s="3">
        <f t="shared" si="3"/>
        <v>32</v>
      </c>
    </row>
    <row r="32" spans="2:10">
      <c r="B32">
        <v>13</v>
      </c>
      <c r="C32" s="2" t="s">
        <v>13</v>
      </c>
      <c r="D32" s="2">
        <f t="shared" si="2"/>
        <v>30</v>
      </c>
      <c r="E32" s="2">
        <v>8</v>
      </c>
      <c r="F32" s="2">
        <v>7</v>
      </c>
      <c r="G32" s="2">
        <v>15</v>
      </c>
      <c r="H32" s="2">
        <v>35</v>
      </c>
      <c r="I32" s="2">
        <v>49</v>
      </c>
      <c r="J32" s="3">
        <f t="shared" si="3"/>
        <v>31</v>
      </c>
    </row>
    <row r="33" spans="2:12">
      <c r="B33">
        <v>14</v>
      </c>
      <c r="C33" s="2" t="s">
        <v>19</v>
      </c>
      <c r="D33" s="2">
        <f t="shared" si="2"/>
        <v>24</v>
      </c>
      <c r="E33" s="2">
        <v>4</v>
      </c>
      <c r="F33" s="2">
        <v>1</v>
      </c>
      <c r="G33" s="2">
        <v>19</v>
      </c>
      <c r="H33" s="2">
        <v>23</v>
      </c>
      <c r="I33" s="2">
        <v>73</v>
      </c>
      <c r="J33" s="3">
        <f t="shared" si="3"/>
        <v>13</v>
      </c>
    </row>
    <row r="34" spans="2:12">
      <c r="B34">
        <v>15</v>
      </c>
      <c r="C34" s="2" t="s">
        <v>20</v>
      </c>
      <c r="D34" s="2">
        <f t="shared" si="2"/>
        <v>14</v>
      </c>
      <c r="E34" s="2">
        <v>2</v>
      </c>
      <c r="F34" s="2">
        <v>1</v>
      </c>
      <c r="G34" s="2">
        <v>11</v>
      </c>
      <c r="H34" s="2">
        <v>13</v>
      </c>
      <c r="I34" s="2">
        <v>48</v>
      </c>
      <c r="J34" s="3">
        <f t="shared" si="3"/>
        <v>7</v>
      </c>
    </row>
    <row r="35" spans="2:12">
      <c r="B35">
        <v>16</v>
      </c>
      <c r="C35" s="2" t="s">
        <v>21</v>
      </c>
      <c r="D35" s="2">
        <f t="shared" si="2"/>
        <v>27</v>
      </c>
      <c r="E35" s="2">
        <v>2</v>
      </c>
      <c r="F35" s="2">
        <v>1</v>
      </c>
      <c r="G35" s="2">
        <v>24</v>
      </c>
      <c r="H35" s="2">
        <v>14</v>
      </c>
      <c r="I35" s="2">
        <v>82</v>
      </c>
      <c r="J35" s="3">
        <f t="shared" si="3"/>
        <v>7</v>
      </c>
    </row>
    <row r="37" spans="2:12">
      <c r="B37" s="20" t="s">
        <v>22</v>
      </c>
      <c r="C37" s="20"/>
      <c r="D37" s="20"/>
      <c r="E37" s="20"/>
      <c r="F37" s="20"/>
      <c r="G37" s="20"/>
      <c r="H37" s="20"/>
      <c r="I37" s="20"/>
      <c r="J37" s="20"/>
    </row>
    <row r="38" spans="2:12">
      <c r="B38">
        <v>1</v>
      </c>
      <c r="C38" s="2" t="s">
        <v>1</v>
      </c>
      <c r="D38" s="2">
        <f>E38+F38+G38</f>
        <v>30</v>
      </c>
      <c r="E38" s="2">
        <v>19</v>
      </c>
      <c r="F38" s="2">
        <v>8</v>
      </c>
      <c r="G38" s="2">
        <v>3</v>
      </c>
      <c r="H38" s="2">
        <v>51</v>
      </c>
      <c r="I38" s="2">
        <v>22</v>
      </c>
      <c r="J38" s="3">
        <f>E38*3+F38*1</f>
        <v>65</v>
      </c>
    </row>
    <row r="39" spans="2:12">
      <c r="B39">
        <v>2</v>
      </c>
      <c r="C39" s="2" t="s">
        <v>0</v>
      </c>
      <c r="D39" s="2">
        <f t="shared" ref="D39:D53" si="4">E39+F39+G39</f>
        <v>30</v>
      </c>
      <c r="E39" s="2">
        <v>16</v>
      </c>
      <c r="F39" s="2">
        <v>8</v>
      </c>
      <c r="G39" s="2">
        <v>6</v>
      </c>
      <c r="H39" s="2">
        <v>64</v>
      </c>
      <c r="I39" s="2">
        <v>32</v>
      </c>
      <c r="J39" s="3">
        <f t="shared" ref="J39:J53" si="5">E39*3+F39*1</f>
        <v>56</v>
      </c>
      <c r="L39" s="2"/>
    </row>
    <row r="40" spans="2:12">
      <c r="B40">
        <v>3</v>
      </c>
      <c r="C40" s="2" t="s">
        <v>4</v>
      </c>
      <c r="D40" s="2">
        <f t="shared" si="4"/>
        <v>30</v>
      </c>
      <c r="E40" s="2">
        <v>16</v>
      </c>
      <c r="F40" s="2">
        <v>6</v>
      </c>
      <c r="G40" s="2">
        <v>8</v>
      </c>
      <c r="H40" s="2">
        <v>44</v>
      </c>
      <c r="I40" s="2">
        <v>28</v>
      </c>
      <c r="J40" s="3">
        <f t="shared" si="5"/>
        <v>54</v>
      </c>
    </row>
    <row r="41" spans="2:12">
      <c r="B41">
        <v>4</v>
      </c>
      <c r="C41" s="2" t="s">
        <v>3</v>
      </c>
      <c r="D41" s="2">
        <f t="shared" si="4"/>
        <v>30</v>
      </c>
      <c r="E41" s="2">
        <v>14</v>
      </c>
      <c r="F41" s="2">
        <v>11</v>
      </c>
      <c r="G41" s="2">
        <v>5</v>
      </c>
      <c r="H41" s="2">
        <v>37</v>
      </c>
      <c r="I41" s="2">
        <v>19</v>
      </c>
      <c r="J41" s="3">
        <f t="shared" si="5"/>
        <v>53</v>
      </c>
    </row>
    <row r="42" spans="2:12">
      <c r="B42">
        <v>5</v>
      </c>
      <c r="C42" s="2" t="s">
        <v>23</v>
      </c>
      <c r="D42" s="2">
        <f t="shared" si="4"/>
        <v>30</v>
      </c>
      <c r="E42" s="2">
        <v>15</v>
      </c>
      <c r="F42" s="2">
        <v>6</v>
      </c>
      <c r="G42" s="2">
        <v>9</v>
      </c>
      <c r="H42" s="2">
        <v>34</v>
      </c>
      <c r="I42" s="2">
        <v>28</v>
      </c>
      <c r="J42" s="3">
        <f t="shared" si="5"/>
        <v>51</v>
      </c>
    </row>
    <row r="43" spans="2:12">
      <c r="B43">
        <v>6</v>
      </c>
      <c r="C43" s="2" t="s">
        <v>6</v>
      </c>
      <c r="D43" s="2">
        <f t="shared" si="4"/>
        <v>30</v>
      </c>
      <c r="E43" s="2">
        <v>13</v>
      </c>
      <c r="F43" s="2">
        <v>7</v>
      </c>
      <c r="G43" s="2">
        <v>10</v>
      </c>
      <c r="H43" s="2">
        <v>37</v>
      </c>
      <c r="I43" s="2">
        <v>35</v>
      </c>
      <c r="J43" s="3">
        <f t="shared" si="5"/>
        <v>46</v>
      </c>
    </row>
    <row r="44" spans="2:12">
      <c r="B44">
        <v>7</v>
      </c>
      <c r="C44" s="2" t="s">
        <v>24</v>
      </c>
      <c r="D44" s="2">
        <f t="shared" si="4"/>
        <v>30</v>
      </c>
      <c r="E44" s="2">
        <v>12</v>
      </c>
      <c r="F44" s="2">
        <v>6</v>
      </c>
      <c r="G44" s="2">
        <v>12</v>
      </c>
      <c r="H44" s="2">
        <v>39</v>
      </c>
      <c r="I44" s="2">
        <v>36</v>
      </c>
      <c r="J44" s="3">
        <f t="shared" si="5"/>
        <v>42</v>
      </c>
    </row>
    <row r="45" spans="2:12">
      <c r="B45">
        <v>8</v>
      </c>
      <c r="C45" s="2" t="s">
        <v>17</v>
      </c>
      <c r="D45" s="2">
        <f t="shared" si="4"/>
        <v>30</v>
      </c>
      <c r="E45" s="2">
        <v>11</v>
      </c>
      <c r="F45" s="2">
        <v>7</v>
      </c>
      <c r="G45" s="2">
        <v>12</v>
      </c>
      <c r="H45" s="2">
        <v>29</v>
      </c>
      <c r="I45" s="2">
        <v>40</v>
      </c>
      <c r="J45" s="3">
        <f t="shared" si="5"/>
        <v>40</v>
      </c>
    </row>
    <row r="46" spans="2:12">
      <c r="B46">
        <v>9</v>
      </c>
      <c r="C46" s="2" t="s">
        <v>25</v>
      </c>
      <c r="D46" s="2">
        <f t="shared" si="4"/>
        <v>30</v>
      </c>
      <c r="E46" s="2">
        <v>9</v>
      </c>
      <c r="F46" s="2">
        <v>10</v>
      </c>
      <c r="G46" s="2">
        <v>11</v>
      </c>
      <c r="H46" s="2">
        <v>37</v>
      </c>
      <c r="I46" s="2">
        <v>39</v>
      </c>
      <c r="J46" s="3">
        <f t="shared" si="5"/>
        <v>37</v>
      </c>
    </row>
    <row r="47" spans="2:12">
      <c r="B47">
        <v>10</v>
      </c>
      <c r="C47" s="2" t="s">
        <v>7</v>
      </c>
      <c r="D47" s="2">
        <f t="shared" si="4"/>
        <v>30</v>
      </c>
      <c r="E47" s="2">
        <v>10</v>
      </c>
      <c r="F47" s="2">
        <v>7</v>
      </c>
      <c r="G47" s="2">
        <v>13</v>
      </c>
      <c r="H47" s="2">
        <v>32</v>
      </c>
      <c r="I47" s="2">
        <v>40</v>
      </c>
      <c r="J47" s="3">
        <f t="shared" si="5"/>
        <v>37</v>
      </c>
    </row>
    <row r="48" spans="2:12">
      <c r="B48">
        <v>11</v>
      </c>
      <c r="C48" s="2" t="s">
        <v>9</v>
      </c>
      <c r="D48" s="2">
        <f t="shared" si="4"/>
        <v>30</v>
      </c>
      <c r="E48" s="2">
        <v>9</v>
      </c>
      <c r="F48" s="2">
        <v>9</v>
      </c>
      <c r="G48" s="2">
        <v>12</v>
      </c>
      <c r="H48" s="2">
        <v>30</v>
      </c>
      <c r="I48" s="2">
        <v>35</v>
      </c>
      <c r="J48" s="3">
        <f t="shared" si="5"/>
        <v>36</v>
      </c>
    </row>
    <row r="49" spans="2:10">
      <c r="B49">
        <v>12</v>
      </c>
      <c r="C49" s="2" t="s">
        <v>18</v>
      </c>
      <c r="D49" s="2">
        <f t="shared" si="4"/>
        <v>30</v>
      </c>
      <c r="E49" s="2">
        <v>9</v>
      </c>
      <c r="F49" s="2">
        <v>8</v>
      </c>
      <c r="G49" s="2">
        <v>13</v>
      </c>
      <c r="H49" s="2">
        <v>29</v>
      </c>
      <c r="I49" s="2">
        <v>35</v>
      </c>
      <c r="J49" s="3">
        <f t="shared" si="5"/>
        <v>35</v>
      </c>
    </row>
    <row r="50" spans="2:10">
      <c r="B50">
        <v>13</v>
      </c>
      <c r="C50" s="2" t="s">
        <v>5</v>
      </c>
      <c r="D50" s="2">
        <f t="shared" si="4"/>
        <v>30</v>
      </c>
      <c r="E50" s="2">
        <v>7</v>
      </c>
      <c r="F50" s="2">
        <v>10</v>
      </c>
      <c r="G50" s="2">
        <v>13</v>
      </c>
      <c r="H50" s="2">
        <v>25</v>
      </c>
      <c r="I50" s="2">
        <v>44</v>
      </c>
      <c r="J50" s="3">
        <f t="shared" si="5"/>
        <v>31</v>
      </c>
    </row>
    <row r="51" spans="2:10">
      <c r="B51">
        <v>14</v>
      </c>
      <c r="C51" s="2" t="s">
        <v>13</v>
      </c>
      <c r="D51" s="2">
        <f t="shared" si="4"/>
        <v>30</v>
      </c>
      <c r="E51" s="2">
        <v>6</v>
      </c>
      <c r="F51" s="2">
        <v>7</v>
      </c>
      <c r="G51" s="2">
        <v>17</v>
      </c>
      <c r="H51" s="2">
        <v>23</v>
      </c>
      <c r="I51" s="2">
        <v>39</v>
      </c>
      <c r="J51" s="3">
        <f t="shared" si="5"/>
        <v>25</v>
      </c>
    </row>
    <row r="52" spans="2:10">
      <c r="B52">
        <v>15</v>
      </c>
      <c r="C52" s="2" t="s">
        <v>2</v>
      </c>
      <c r="D52" s="2">
        <f t="shared" si="4"/>
        <v>30</v>
      </c>
      <c r="E52" s="2">
        <v>4</v>
      </c>
      <c r="F52" s="2">
        <v>12</v>
      </c>
      <c r="G52" s="2">
        <v>14</v>
      </c>
      <c r="H52" s="2">
        <v>25</v>
      </c>
      <c r="I52" s="2">
        <v>43</v>
      </c>
      <c r="J52" s="3">
        <f t="shared" si="5"/>
        <v>24</v>
      </c>
    </row>
    <row r="53" spans="2:10">
      <c r="B53">
        <v>16</v>
      </c>
      <c r="C53" s="2" t="s">
        <v>10</v>
      </c>
      <c r="D53" s="2">
        <f t="shared" si="4"/>
        <v>30</v>
      </c>
      <c r="E53" s="2">
        <v>5</v>
      </c>
      <c r="F53" s="2">
        <v>8</v>
      </c>
      <c r="G53" s="2">
        <v>17</v>
      </c>
      <c r="H53" s="2">
        <v>28</v>
      </c>
      <c r="I53" s="2">
        <v>49</v>
      </c>
      <c r="J53" s="3">
        <f t="shared" si="5"/>
        <v>23</v>
      </c>
    </row>
    <row r="55" spans="2:10">
      <c r="B55" s="20" t="s">
        <v>26</v>
      </c>
      <c r="C55" s="20"/>
      <c r="D55" s="20"/>
      <c r="E55" s="20"/>
      <c r="F55" s="20"/>
      <c r="G55" s="20"/>
      <c r="H55" s="20"/>
      <c r="I55" s="20"/>
      <c r="J55" s="20"/>
    </row>
    <row r="56" spans="2:10">
      <c r="B56">
        <v>1</v>
      </c>
      <c r="C56" s="2" t="s">
        <v>3</v>
      </c>
      <c r="D56" s="2">
        <v>30</v>
      </c>
      <c r="E56" s="2">
        <v>19</v>
      </c>
      <c r="F56" s="2">
        <v>4</v>
      </c>
      <c r="G56" s="2">
        <f>D56-E56-F56</f>
        <v>7</v>
      </c>
      <c r="H56" s="2">
        <v>54</v>
      </c>
      <c r="I56" s="2">
        <v>28</v>
      </c>
      <c r="J56" s="3">
        <f>E56*3+F56*1</f>
        <v>61</v>
      </c>
    </row>
    <row r="57" spans="2:10">
      <c r="B57">
        <v>2</v>
      </c>
      <c r="C57" s="2" t="s">
        <v>24</v>
      </c>
      <c r="D57" s="2">
        <v>30</v>
      </c>
      <c r="E57" s="2">
        <v>15</v>
      </c>
      <c r="F57" s="2">
        <v>10</v>
      </c>
      <c r="G57" s="2">
        <f t="shared" ref="G57:G71" si="6">D57-E57-F57</f>
        <v>5</v>
      </c>
      <c r="H57" s="2">
        <v>39</v>
      </c>
      <c r="I57" s="2">
        <v>26</v>
      </c>
      <c r="J57" s="3">
        <f t="shared" ref="J57:J71" si="7">E57*3+F57*1</f>
        <v>55</v>
      </c>
    </row>
    <row r="58" spans="2:10">
      <c r="B58">
        <v>3</v>
      </c>
      <c r="C58" s="2" t="s">
        <v>23</v>
      </c>
      <c r="D58" s="2">
        <v>30</v>
      </c>
      <c r="E58" s="2">
        <v>16</v>
      </c>
      <c r="F58" s="2">
        <v>7</v>
      </c>
      <c r="G58" s="2">
        <f t="shared" si="6"/>
        <v>7</v>
      </c>
      <c r="H58" s="2">
        <v>37</v>
      </c>
      <c r="I58" s="2">
        <v>27</v>
      </c>
      <c r="J58" s="3">
        <f t="shared" si="7"/>
        <v>55</v>
      </c>
    </row>
    <row r="59" spans="2:10">
      <c r="B59">
        <v>4</v>
      </c>
      <c r="C59" s="2" t="s">
        <v>27</v>
      </c>
      <c r="D59" s="2">
        <v>30</v>
      </c>
      <c r="E59" s="2">
        <v>16</v>
      </c>
      <c r="F59" s="2">
        <v>6</v>
      </c>
      <c r="G59" s="2">
        <f t="shared" si="6"/>
        <v>8</v>
      </c>
      <c r="H59" s="2">
        <v>56</v>
      </c>
      <c r="I59" s="2">
        <v>36</v>
      </c>
      <c r="J59" s="3">
        <f t="shared" si="7"/>
        <v>54</v>
      </c>
    </row>
    <row r="60" spans="2:10">
      <c r="B60">
        <v>5</v>
      </c>
      <c r="C60" s="2" t="s">
        <v>4</v>
      </c>
      <c r="D60" s="2">
        <v>30</v>
      </c>
      <c r="E60" s="2">
        <v>14</v>
      </c>
      <c r="F60" s="2">
        <v>11</v>
      </c>
      <c r="G60" s="2">
        <f t="shared" si="6"/>
        <v>5</v>
      </c>
      <c r="H60" s="2">
        <v>50</v>
      </c>
      <c r="I60" s="2">
        <v>34</v>
      </c>
      <c r="J60" s="3">
        <f t="shared" si="7"/>
        <v>53</v>
      </c>
    </row>
    <row r="61" spans="2:10">
      <c r="B61">
        <v>6</v>
      </c>
      <c r="C61" s="2" t="s">
        <v>6</v>
      </c>
      <c r="D61" s="2">
        <v>30</v>
      </c>
      <c r="E61" s="2">
        <v>14</v>
      </c>
      <c r="F61" s="2">
        <v>8</v>
      </c>
      <c r="G61" s="2">
        <f t="shared" si="6"/>
        <v>8</v>
      </c>
      <c r="H61" s="2">
        <v>44</v>
      </c>
      <c r="I61" s="2">
        <v>35</v>
      </c>
      <c r="J61" s="3">
        <f t="shared" si="7"/>
        <v>50</v>
      </c>
    </row>
    <row r="62" spans="2:10">
      <c r="B62">
        <v>7</v>
      </c>
      <c r="C62" s="2" t="s">
        <v>25</v>
      </c>
      <c r="D62" s="2">
        <v>30</v>
      </c>
      <c r="E62" s="2">
        <v>13</v>
      </c>
      <c r="F62" s="2">
        <v>8</v>
      </c>
      <c r="G62" s="2">
        <f t="shared" si="6"/>
        <v>9</v>
      </c>
      <c r="H62" s="2">
        <v>42</v>
      </c>
      <c r="I62" s="2">
        <v>37</v>
      </c>
      <c r="J62" s="3">
        <f t="shared" si="7"/>
        <v>47</v>
      </c>
    </row>
    <row r="63" spans="2:10">
      <c r="B63">
        <v>8</v>
      </c>
      <c r="C63" s="2" t="s">
        <v>28</v>
      </c>
      <c r="D63" s="2">
        <v>30</v>
      </c>
      <c r="E63" s="2">
        <v>14</v>
      </c>
      <c r="F63" s="2">
        <v>4</v>
      </c>
      <c r="G63" s="2">
        <f t="shared" si="6"/>
        <v>12</v>
      </c>
      <c r="H63" s="2">
        <v>45</v>
      </c>
      <c r="I63" s="2">
        <v>41</v>
      </c>
      <c r="J63" s="3">
        <f t="shared" si="7"/>
        <v>46</v>
      </c>
    </row>
    <row r="64" spans="2:10">
      <c r="B64">
        <v>9</v>
      </c>
      <c r="C64" s="2" t="s">
        <v>0</v>
      </c>
      <c r="D64" s="2">
        <v>30</v>
      </c>
      <c r="E64" s="2">
        <v>13</v>
      </c>
      <c r="F64" s="2">
        <v>6</v>
      </c>
      <c r="G64" s="2">
        <f t="shared" si="6"/>
        <v>11</v>
      </c>
      <c r="H64" s="2">
        <v>49</v>
      </c>
      <c r="I64" s="2">
        <v>38</v>
      </c>
      <c r="J64" s="3">
        <f t="shared" si="7"/>
        <v>45</v>
      </c>
    </row>
    <row r="65" spans="2:10">
      <c r="B65">
        <v>10</v>
      </c>
      <c r="C65" s="2" t="s">
        <v>1</v>
      </c>
      <c r="D65" s="2">
        <v>30</v>
      </c>
      <c r="E65" s="2">
        <v>10</v>
      </c>
      <c r="F65" s="2">
        <v>11</v>
      </c>
      <c r="G65" s="2">
        <f t="shared" si="6"/>
        <v>9</v>
      </c>
      <c r="H65" s="2">
        <v>37</v>
      </c>
      <c r="I65" s="2">
        <v>30</v>
      </c>
      <c r="J65" s="3">
        <f t="shared" si="7"/>
        <v>41</v>
      </c>
    </row>
    <row r="66" spans="2:10">
      <c r="B66">
        <v>11</v>
      </c>
      <c r="C66" s="2" t="s">
        <v>18</v>
      </c>
      <c r="D66" s="2">
        <v>30</v>
      </c>
      <c r="E66" s="2">
        <v>11</v>
      </c>
      <c r="F66" s="2">
        <v>5</v>
      </c>
      <c r="G66" s="2">
        <f t="shared" si="6"/>
        <v>14</v>
      </c>
      <c r="H66" s="2">
        <v>33</v>
      </c>
      <c r="I66" s="2">
        <v>35</v>
      </c>
      <c r="J66" s="3">
        <f t="shared" si="7"/>
        <v>38</v>
      </c>
    </row>
    <row r="67" spans="2:10">
      <c r="B67">
        <v>12</v>
      </c>
      <c r="C67" s="2" t="s">
        <v>7</v>
      </c>
      <c r="D67" s="2">
        <v>30</v>
      </c>
      <c r="E67" s="2">
        <v>8</v>
      </c>
      <c r="F67" s="2">
        <v>8</v>
      </c>
      <c r="G67" s="2">
        <f t="shared" si="6"/>
        <v>14</v>
      </c>
      <c r="H67" s="2">
        <v>30</v>
      </c>
      <c r="I67" s="2">
        <v>39</v>
      </c>
      <c r="J67" s="3">
        <f t="shared" si="7"/>
        <v>32</v>
      </c>
    </row>
    <row r="68" spans="2:10">
      <c r="B68">
        <v>13</v>
      </c>
      <c r="C68" s="2" t="s">
        <v>9</v>
      </c>
      <c r="D68" s="2">
        <v>30</v>
      </c>
      <c r="E68" s="2">
        <v>5</v>
      </c>
      <c r="F68" s="2">
        <v>9</v>
      </c>
      <c r="G68" s="2">
        <f t="shared" si="6"/>
        <v>16</v>
      </c>
      <c r="H68" s="2">
        <v>23</v>
      </c>
      <c r="I68" s="2">
        <v>47</v>
      </c>
      <c r="J68" s="3">
        <f t="shared" si="7"/>
        <v>24</v>
      </c>
    </row>
    <row r="69" spans="2:10">
      <c r="B69">
        <v>14</v>
      </c>
      <c r="C69" s="2" t="s">
        <v>17</v>
      </c>
      <c r="D69" s="2">
        <v>30</v>
      </c>
      <c r="E69" s="2">
        <v>5</v>
      </c>
      <c r="F69" s="2">
        <v>7</v>
      </c>
      <c r="G69" s="2">
        <f t="shared" si="6"/>
        <v>18</v>
      </c>
      <c r="H69" s="2">
        <v>19</v>
      </c>
      <c r="I69" s="2">
        <v>48</v>
      </c>
      <c r="J69" s="3">
        <f t="shared" si="7"/>
        <v>22</v>
      </c>
    </row>
    <row r="70" spans="2:10">
      <c r="B70">
        <v>15</v>
      </c>
      <c r="C70" s="2" t="s">
        <v>5</v>
      </c>
      <c r="D70" s="2">
        <v>30</v>
      </c>
      <c r="E70" s="2">
        <v>5</v>
      </c>
      <c r="F70" s="2">
        <v>5</v>
      </c>
      <c r="G70" s="2">
        <f t="shared" si="6"/>
        <v>20</v>
      </c>
      <c r="H70" s="2">
        <v>22</v>
      </c>
      <c r="I70" s="2">
        <v>55</v>
      </c>
      <c r="J70" s="3">
        <f t="shared" si="7"/>
        <v>20</v>
      </c>
    </row>
    <row r="71" spans="2:10">
      <c r="B71">
        <v>16</v>
      </c>
      <c r="C71" s="2" t="s">
        <v>13</v>
      </c>
      <c r="D71" s="2">
        <v>30</v>
      </c>
      <c r="E71" s="2">
        <v>4</v>
      </c>
      <c r="F71" s="2">
        <v>7</v>
      </c>
      <c r="G71" s="2">
        <f t="shared" si="6"/>
        <v>19</v>
      </c>
      <c r="H71" s="2">
        <v>21</v>
      </c>
      <c r="I71" s="2">
        <v>45</v>
      </c>
      <c r="J71" s="3">
        <f t="shared" si="7"/>
        <v>19</v>
      </c>
    </row>
    <row r="73" spans="2:10">
      <c r="B73" s="20" t="s">
        <v>29</v>
      </c>
      <c r="C73" s="20"/>
      <c r="D73" s="20"/>
      <c r="E73" s="20"/>
      <c r="F73" s="20"/>
      <c r="G73" s="20"/>
      <c r="H73" s="20"/>
      <c r="I73" s="20"/>
      <c r="J73" s="20"/>
    </row>
    <row r="74" spans="2:10">
      <c r="B74">
        <v>1</v>
      </c>
      <c r="C74" s="2" t="s">
        <v>4</v>
      </c>
      <c r="D74" s="2">
        <v>30</v>
      </c>
      <c r="E74" s="2">
        <v>19</v>
      </c>
      <c r="F74" s="2">
        <v>8</v>
      </c>
      <c r="G74" s="2">
        <f>D74-E74-F74</f>
        <v>3</v>
      </c>
      <c r="H74" s="2">
        <v>48</v>
      </c>
      <c r="I74" s="2">
        <v>24</v>
      </c>
      <c r="J74" s="3">
        <f>E74*3+F74*1</f>
        <v>65</v>
      </c>
    </row>
    <row r="75" spans="2:10">
      <c r="B75">
        <v>2</v>
      </c>
      <c r="C75" s="2" t="s">
        <v>0</v>
      </c>
      <c r="D75" s="2">
        <v>30</v>
      </c>
      <c r="E75" s="2">
        <v>16</v>
      </c>
      <c r="F75" s="2">
        <v>10</v>
      </c>
      <c r="G75" s="2">
        <f t="shared" ref="G75:G89" si="8">D75-E75-F75</f>
        <v>4</v>
      </c>
      <c r="H75" s="2">
        <v>47</v>
      </c>
      <c r="I75" s="2">
        <v>24</v>
      </c>
      <c r="J75" s="3">
        <f t="shared" ref="J75:J89" si="9">E75*3+F75*1</f>
        <v>58</v>
      </c>
    </row>
    <row r="76" spans="2:10">
      <c r="B76">
        <v>3</v>
      </c>
      <c r="C76" s="2" t="s">
        <v>23</v>
      </c>
      <c r="D76" s="2">
        <v>30</v>
      </c>
      <c r="E76" s="2">
        <v>16</v>
      </c>
      <c r="F76" s="2">
        <v>7</v>
      </c>
      <c r="G76" s="2">
        <f t="shared" si="8"/>
        <v>7</v>
      </c>
      <c r="H76" s="2">
        <v>50</v>
      </c>
      <c r="I76" s="2">
        <v>33</v>
      </c>
      <c r="J76" s="3">
        <f t="shared" si="9"/>
        <v>55</v>
      </c>
    </row>
    <row r="77" spans="2:10">
      <c r="B77">
        <v>4</v>
      </c>
      <c r="C77" s="2" t="s">
        <v>7</v>
      </c>
      <c r="D77" s="2">
        <v>30</v>
      </c>
      <c r="E77" s="2">
        <v>13</v>
      </c>
      <c r="F77" s="2">
        <v>8</v>
      </c>
      <c r="G77" s="2">
        <f t="shared" si="8"/>
        <v>9</v>
      </c>
      <c r="H77" s="2">
        <v>42</v>
      </c>
      <c r="I77" s="2">
        <v>34</v>
      </c>
      <c r="J77" s="3">
        <f t="shared" si="9"/>
        <v>47</v>
      </c>
    </row>
    <row r="78" spans="2:10">
      <c r="B78">
        <v>5</v>
      </c>
      <c r="C78" s="2" t="s">
        <v>18</v>
      </c>
      <c r="D78" s="2">
        <v>30</v>
      </c>
      <c r="E78" s="2">
        <v>12</v>
      </c>
      <c r="F78" s="2">
        <v>9</v>
      </c>
      <c r="G78" s="2">
        <f t="shared" si="8"/>
        <v>9</v>
      </c>
      <c r="H78" s="2">
        <v>33</v>
      </c>
      <c r="I78" s="2">
        <v>36</v>
      </c>
      <c r="J78" s="3">
        <f t="shared" si="9"/>
        <v>45</v>
      </c>
    </row>
    <row r="79" spans="2:10">
      <c r="B79">
        <v>6</v>
      </c>
      <c r="C79" s="2" t="s">
        <v>24</v>
      </c>
      <c r="D79" s="2">
        <v>30</v>
      </c>
      <c r="E79" s="2">
        <v>12</v>
      </c>
      <c r="F79" s="2">
        <v>7</v>
      </c>
      <c r="G79" s="2">
        <f t="shared" si="8"/>
        <v>11</v>
      </c>
      <c r="H79" s="2">
        <v>40</v>
      </c>
      <c r="I79" s="2">
        <v>40</v>
      </c>
      <c r="J79" s="3">
        <f t="shared" si="9"/>
        <v>43</v>
      </c>
    </row>
    <row r="80" spans="2:10">
      <c r="B80">
        <v>7</v>
      </c>
      <c r="C80" s="2" t="s">
        <v>25</v>
      </c>
      <c r="D80" s="2">
        <v>30</v>
      </c>
      <c r="E80" s="2">
        <v>10</v>
      </c>
      <c r="F80" s="2">
        <v>11</v>
      </c>
      <c r="G80" s="2">
        <f t="shared" si="8"/>
        <v>9</v>
      </c>
      <c r="H80" s="2">
        <v>40</v>
      </c>
      <c r="I80" s="2">
        <v>41</v>
      </c>
      <c r="J80" s="3">
        <f t="shared" si="9"/>
        <v>41</v>
      </c>
    </row>
    <row r="81" spans="2:10">
      <c r="B81">
        <v>8</v>
      </c>
      <c r="C81" s="2" t="s">
        <v>27</v>
      </c>
      <c r="D81" s="2">
        <v>30</v>
      </c>
      <c r="E81" s="2">
        <v>10</v>
      </c>
      <c r="F81" s="2">
        <v>11</v>
      </c>
      <c r="G81" s="2">
        <f t="shared" si="8"/>
        <v>9</v>
      </c>
      <c r="H81" s="2">
        <v>41</v>
      </c>
      <c r="I81" s="2">
        <v>50</v>
      </c>
      <c r="J81" s="3">
        <f t="shared" si="9"/>
        <v>41</v>
      </c>
    </row>
    <row r="82" spans="2:10">
      <c r="B82">
        <v>9</v>
      </c>
      <c r="C82" s="2" t="s">
        <v>3</v>
      </c>
      <c r="D82" s="2">
        <v>30</v>
      </c>
      <c r="E82" s="2">
        <v>10</v>
      </c>
      <c r="F82" s="2">
        <v>10</v>
      </c>
      <c r="G82" s="2">
        <f t="shared" si="8"/>
        <v>10</v>
      </c>
      <c r="H82" s="2">
        <v>44</v>
      </c>
      <c r="I82" s="2">
        <v>42</v>
      </c>
      <c r="J82" s="3">
        <f t="shared" si="9"/>
        <v>40</v>
      </c>
    </row>
    <row r="83" spans="2:10">
      <c r="B83">
        <v>10</v>
      </c>
      <c r="C83" s="2" t="s">
        <v>28</v>
      </c>
      <c r="D83" s="2">
        <v>30</v>
      </c>
      <c r="E83" s="2">
        <v>11</v>
      </c>
      <c r="F83" s="2">
        <v>4</v>
      </c>
      <c r="G83" s="2">
        <f t="shared" si="8"/>
        <v>15</v>
      </c>
      <c r="H83" s="2">
        <v>41</v>
      </c>
      <c r="I83" s="2">
        <v>41</v>
      </c>
      <c r="J83" s="3">
        <f t="shared" si="9"/>
        <v>37</v>
      </c>
    </row>
    <row r="84" spans="2:10">
      <c r="B84">
        <v>11</v>
      </c>
      <c r="C84" s="2" t="s">
        <v>6</v>
      </c>
      <c r="D84" s="2">
        <v>30</v>
      </c>
      <c r="E84" s="2">
        <v>8</v>
      </c>
      <c r="F84" s="2">
        <v>10</v>
      </c>
      <c r="G84" s="2">
        <f t="shared" si="8"/>
        <v>12</v>
      </c>
      <c r="H84" s="2">
        <v>36</v>
      </c>
      <c r="I84" s="2">
        <v>44</v>
      </c>
      <c r="J84" s="3">
        <f t="shared" si="9"/>
        <v>34</v>
      </c>
    </row>
    <row r="85" spans="2:10">
      <c r="B85">
        <v>12</v>
      </c>
      <c r="C85" s="2" t="s">
        <v>1</v>
      </c>
      <c r="D85" s="2">
        <v>30</v>
      </c>
      <c r="E85" s="2">
        <v>9</v>
      </c>
      <c r="F85" s="2">
        <v>7</v>
      </c>
      <c r="G85" s="2">
        <f t="shared" si="8"/>
        <v>14</v>
      </c>
      <c r="H85" s="2">
        <v>34</v>
      </c>
      <c r="I85" s="2">
        <v>46</v>
      </c>
      <c r="J85" s="3">
        <f t="shared" si="9"/>
        <v>34</v>
      </c>
    </row>
    <row r="86" spans="2:10">
      <c r="B86">
        <v>13</v>
      </c>
      <c r="C86" s="2" t="s">
        <v>2</v>
      </c>
      <c r="D86" s="2">
        <v>30</v>
      </c>
      <c r="E86" s="2">
        <v>7</v>
      </c>
      <c r="F86" s="2">
        <v>11</v>
      </c>
      <c r="G86" s="2">
        <f t="shared" si="8"/>
        <v>12</v>
      </c>
      <c r="H86" s="2">
        <v>38</v>
      </c>
      <c r="I86" s="2">
        <v>36</v>
      </c>
      <c r="J86" s="3">
        <f t="shared" si="9"/>
        <v>32</v>
      </c>
    </row>
    <row r="87" spans="2:10">
      <c r="B87">
        <v>14</v>
      </c>
      <c r="C87" s="2" t="s">
        <v>9</v>
      </c>
      <c r="D87" s="2">
        <v>30</v>
      </c>
      <c r="E87" s="2">
        <v>6</v>
      </c>
      <c r="F87" s="2">
        <v>10</v>
      </c>
      <c r="G87" s="2">
        <f t="shared" si="8"/>
        <v>14</v>
      </c>
      <c r="H87" s="2">
        <v>30</v>
      </c>
      <c r="I87" s="2">
        <v>38</v>
      </c>
      <c r="J87" s="3">
        <f t="shared" si="9"/>
        <v>28</v>
      </c>
    </row>
    <row r="88" spans="2:10">
      <c r="B88">
        <v>15</v>
      </c>
      <c r="C88" s="2" t="s">
        <v>30</v>
      </c>
      <c r="D88" s="2">
        <v>30</v>
      </c>
      <c r="E88" s="2">
        <v>6</v>
      </c>
      <c r="F88" s="2">
        <v>8</v>
      </c>
      <c r="G88" s="2">
        <f t="shared" si="8"/>
        <v>16</v>
      </c>
      <c r="H88" s="2">
        <v>38</v>
      </c>
      <c r="I88" s="2">
        <v>47</v>
      </c>
      <c r="J88" s="3">
        <f t="shared" si="9"/>
        <v>26</v>
      </c>
    </row>
    <row r="89" spans="2:10">
      <c r="B89">
        <v>16</v>
      </c>
      <c r="C89" s="2" t="s">
        <v>17</v>
      </c>
      <c r="D89" s="2">
        <v>30</v>
      </c>
      <c r="E89" s="2">
        <v>5</v>
      </c>
      <c r="F89" s="2">
        <v>9</v>
      </c>
      <c r="G89" s="2">
        <f t="shared" si="8"/>
        <v>16</v>
      </c>
      <c r="H89" s="2">
        <v>28</v>
      </c>
      <c r="I89" s="2">
        <v>54</v>
      </c>
      <c r="J89" s="3">
        <f t="shared" si="9"/>
        <v>24</v>
      </c>
    </row>
    <row r="91" spans="2:10">
      <c r="B91" s="20" t="s">
        <v>31</v>
      </c>
      <c r="C91" s="20"/>
      <c r="D91" s="20"/>
      <c r="E91" s="20"/>
      <c r="F91" s="20"/>
      <c r="G91" s="20"/>
      <c r="H91" s="20"/>
      <c r="I91" s="20"/>
      <c r="J91" s="20"/>
    </row>
    <row r="92" spans="2:10">
      <c r="B92">
        <v>1</v>
      </c>
      <c r="C92" s="2" t="s">
        <v>4</v>
      </c>
      <c r="D92" s="2">
        <v>30</v>
      </c>
      <c r="E92" s="2">
        <v>20</v>
      </c>
      <c r="F92" s="2">
        <v>3</v>
      </c>
      <c r="G92" s="2">
        <f>D92-E92-F92</f>
        <v>7</v>
      </c>
      <c r="H92" s="2">
        <v>67</v>
      </c>
      <c r="I92" s="2">
        <v>29</v>
      </c>
      <c r="J92" s="3">
        <f>E92*3+F92*1</f>
        <v>63</v>
      </c>
    </row>
    <row r="93" spans="2:10">
      <c r="B93">
        <v>2</v>
      </c>
      <c r="C93" s="2" t="s">
        <v>24</v>
      </c>
      <c r="D93" s="2">
        <v>30</v>
      </c>
      <c r="E93" s="2">
        <v>19</v>
      </c>
      <c r="F93" s="2">
        <v>4</v>
      </c>
      <c r="G93" s="2">
        <f t="shared" ref="G93:G107" si="10">D93-E93-F93</f>
        <v>7</v>
      </c>
      <c r="H93" s="2">
        <v>59</v>
      </c>
      <c r="I93" s="2">
        <v>32</v>
      </c>
      <c r="J93" s="3">
        <f t="shared" ref="J93:J107" si="11">E93*3+F93*1</f>
        <v>61</v>
      </c>
    </row>
    <row r="94" spans="2:10">
      <c r="B94">
        <v>3</v>
      </c>
      <c r="C94" s="2" t="s">
        <v>32</v>
      </c>
      <c r="D94" s="2">
        <v>30</v>
      </c>
      <c r="E94" s="2">
        <v>17</v>
      </c>
      <c r="F94" s="2">
        <v>8</v>
      </c>
      <c r="G94" s="2">
        <f t="shared" si="10"/>
        <v>5</v>
      </c>
      <c r="H94" s="2">
        <v>60</v>
      </c>
      <c r="I94" s="2">
        <v>26</v>
      </c>
      <c r="J94" s="3">
        <f t="shared" si="11"/>
        <v>59</v>
      </c>
    </row>
    <row r="95" spans="2:10">
      <c r="B95">
        <v>4</v>
      </c>
      <c r="C95" s="2" t="s">
        <v>23</v>
      </c>
      <c r="D95" s="2">
        <v>30</v>
      </c>
      <c r="E95" s="2">
        <v>16</v>
      </c>
      <c r="F95" s="2">
        <v>6</v>
      </c>
      <c r="G95" s="2">
        <f t="shared" si="10"/>
        <v>8</v>
      </c>
      <c r="H95" s="2">
        <v>61</v>
      </c>
      <c r="I95" s="2">
        <v>33</v>
      </c>
      <c r="J95" s="3">
        <f t="shared" si="11"/>
        <v>54</v>
      </c>
    </row>
    <row r="96" spans="2:10">
      <c r="B96">
        <v>5</v>
      </c>
      <c r="C96" s="2" t="s">
        <v>0</v>
      </c>
      <c r="D96" s="2">
        <v>30</v>
      </c>
      <c r="E96" s="2">
        <v>16</v>
      </c>
      <c r="F96" s="2">
        <v>5</v>
      </c>
      <c r="G96" s="2">
        <f t="shared" si="10"/>
        <v>9</v>
      </c>
      <c r="H96" s="2">
        <v>67</v>
      </c>
      <c r="I96" s="2">
        <v>29</v>
      </c>
      <c r="J96" s="3">
        <f t="shared" si="11"/>
        <v>53</v>
      </c>
    </row>
    <row r="97" spans="2:10">
      <c r="B97">
        <v>6</v>
      </c>
      <c r="C97" s="2" t="s">
        <v>3</v>
      </c>
      <c r="D97" s="2">
        <v>30</v>
      </c>
      <c r="E97" s="2">
        <v>15</v>
      </c>
      <c r="F97" s="2">
        <v>7</v>
      </c>
      <c r="G97" s="2">
        <f t="shared" si="10"/>
        <v>8</v>
      </c>
      <c r="H97" s="2">
        <v>52</v>
      </c>
      <c r="I97" s="2">
        <v>35</v>
      </c>
      <c r="J97" s="3">
        <f t="shared" si="11"/>
        <v>52</v>
      </c>
    </row>
    <row r="98" spans="2:10">
      <c r="B98">
        <v>7</v>
      </c>
      <c r="C98" s="2" t="s">
        <v>33</v>
      </c>
      <c r="D98" s="2">
        <v>30</v>
      </c>
      <c r="E98" s="2">
        <v>14</v>
      </c>
      <c r="F98" s="2">
        <v>6</v>
      </c>
      <c r="G98" s="2">
        <f t="shared" si="10"/>
        <v>10</v>
      </c>
      <c r="H98" s="2">
        <v>63</v>
      </c>
      <c r="I98" s="2">
        <v>34</v>
      </c>
      <c r="J98" s="3">
        <f t="shared" si="11"/>
        <v>48</v>
      </c>
    </row>
    <row r="99" spans="2:10">
      <c r="B99">
        <v>8</v>
      </c>
      <c r="C99" s="2" t="s">
        <v>18</v>
      </c>
      <c r="D99" s="2">
        <v>30</v>
      </c>
      <c r="E99" s="2">
        <v>13</v>
      </c>
      <c r="F99" s="2">
        <v>5</v>
      </c>
      <c r="G99" s="2">
        <f t="shared" si="10"/>
        <v>12</v>
      </c>
      <c r="H99" s="2">
        <v>52</v>
      </c>
      <c r="I99" s="2">
        <v>31</v>
      </c>
      <c r="J99" s="3">
        <f t="shared" si="11"/>
        <v>44</v>
      </c>
    </row>
    <row r="100" spans="2:10">
      <c r="B100">
        <v>9</v>
      </c>
      <c r="C100" s="2" t="s">
        <v>27</v>
      </c>
      <c r="D100" s="2">
        <v>30</v>
      </c>
      <c r="E100" s="2">
        <v>13</v>
      </c>
      <c r="F100" s="2">
        <v>4</v>
      </c>
      <c r="G100" s="2">
        <f t="shared" si="10"/>
        <v>13</v>
      </c>
      <c r="H100" s="2">
        <v>44</v>
      </c>
      <c r="I100" s="2">
        <v>48</v>
      </c>
      <c r="J100" s="3">
        <f t="shared" si="11"/>
        <v>43</v>
      </c>
    </row>
    <row r="101" spans="2:10">
      <c r="B101">
        <v>10</v>
      </c>
      <c r="C101" s="2" t="s">
        <v>6</v>
      </c>
      <c r="D101" s="2">
        <v>30</v>
      </c>
      <c r="E101" s="2">
        <v>11</v>
      </c>
      <c r="F101" s="2">
        <v>8</v>
      </c>
      <c r="G101" s="2">
        <f t="shared" si="10"/>
        <v>11</v>
      </c>
      <c r="H101" s="2">
        <v>52</v>
      </c>
      <c r="I101" s="2">
        <v>40</v>
      </c>
      <c r="J101" s="3">
        <f t="shared" si="11"/>
        <v>41</v>
      </c>
    </row>
    <row r="102" spans="2:10">
      <c r="B102">
        <v>11</v>
      </c>
      <c r="C102" s="2" t="s">
        <v>28</v>
      </c>
      <c r="D102" s="2">
        <v>30</v>
      </c>
      <c r="E102" s="2">
        <v>11</v>
      </c>
      <c r="F102" s="2">
        <v>7</v>
      </c>
      <c r="G102" s="2">
        <f t="shared" si="10"/>
        <v>12</v>
      </c>
      <c r="H102" s="2">
        <v>43</v>
      </c>
      <c r="I102" s="2">
        <v>42</v>
      </c>
      <c r="J102" s="3">
        <f t="shared" si="11"/>
        <v>40</v>
      </c>
    </row>
    <row r="103" spans="2:10">
      <c r="B103">
        <v>12</v>
      </c>
      <c r="C103" s="2" t="s">
        <v>1</v>
      </c>
      <c r="D103" s="2">
        <v>30</v>
      </c>
      <c r="E103" s="2">
        <v>10</v>
      </c>
      <c r="F103" s="2">
        <v>6</v>
      </c>
      <c r="G103" s="2">
        <f t="shared" si="10"/>
        <v>14</v>
      </c>
      <c r="H103" s="2">
        <v>47</v>
      </c>
      <c r="I103" s="2">
        <v>50</v>
      </c>
      <c r="J103" s="3">
        <f t="shared" si="11"/>
        <v>36</v>
      </c>
    </row>
    <row r="104" spans="2:10">
      <c r="B104">
        <v>13</v>
      </c>
      <c r="C104" s="2" t="s">
        <v>25</v>
      </c>
      <c r="D104" s="2">
        <v>30</v>
      </c>
      <c r="E104" s="2">
        <v>9</v>
      </c>
      <c r="F104" s="2">
        <v>3</v>
      </c>
      <c r="G104" s="2">
        <f t="shared" si="10"/>
        <v>18</v>
      </c>
      <c r="H104" s="2">
        <v>44</v>
      </c>
      <c r="I104" s="2">
        <v>58</v>
      </c>
      <c r="J104" s="3">
        <f t="shared" si="11"/>
        <v>30</v>
      </c>
    </row>
    <row r="105" spans="2:10">
      <c r="B105">
        <v>14</v>
      </c>
      <c r="C105" s="2" t="s">
        <v>2</v>
      </c>
      <c r="D105" s="2">
        <v>30</v>
      </c>
      <c r="E105" s="2">
        <v>8</v>
      </c>
      <c r="F105" s="2">
        <v>5</v>
      </c>
      <c r="G105" s="2">
        <f t="shared" si="10"/>
        <v>17</v>
      </c>
      <c r="H105" s="2">
        <v>49</v>
      </c>
      <c r="I105" s="2">
        <v>60</v>
      </c>
      <c r="J105" s="3">
        <f t="shared" si="11"/>
        <v>29</v>
      </c>
    </row>
    <row r="106" spans="2:10">
      <c r="B106">
        <v>15</v>
      </c>
      <c r="C106" s="2" t="s">
        <v>9</v>
      </c>
      <c r="D106" s="2">
        <v>30</v>
      </c>
      <c r="E106" s="2">
        <v>8</v>
      </c>
      <c r="F106" s="2">
        <v>3</v>
      </c>
      <c r="G106" s="2">
        <f t="shared" si="10"/>
        <v>19</v>
      </c>
      <c r="H106" s="2">
        <v>37</v>
      </c>
      <c r="I106" s="2">
        <v>58</v>
      </c>
      <c r="J106" s="3">
        <f t="shared" si="11"/>
        <v>27</v>
      </c>
    </row>
    <row r="107" spans="2:10">
      <c r="B107">
        <v>16</v>
      </c>
      <c r="C107" t="s">
        <v>34</v>
      </c>
      <c r="D107">
        <v>30</v>
      </c>
      <c r="E107">
        <v>0</v>
      </c>
      <c r="F107">
        <v>0</v>
      </c>
      <c r="G107">
        <f t="shared" si="10"/>
        <v>30</v>
      </c>
      <c r="H107">
        <v>4</v>
      </c>
      <c r="I107">
        <v>196</v>
      </c>
      <c r="J107" s="1">
        <f t="shared" si="11"/>
        <v>0</v>
      </c>
    </row>
    <row r="109" spans="2:10">
      <c r="B109" s="20" t="s">
        <v>35</v>
      </c>
      <c r="C109" s="20"/>
      <c r="D109" s="20"/>
      <c r="E109" s="20"/>
      <c r="F109" s="20"/>
      <c r="G109" s="20"/>
      <c r="H109" s="20"/>
      <c r="I109" s="20"/>
      <c r="J109" s="20"/>
    </row>
    <row r="110" spans="2:10">
      <c r="B110">
        <v>1</v>
      </c>
      <c r="C110" s="2" t="s">
        <v>4</v>
      </c>
      <c r="D110" s="2">
        <v>30</v>
      </c>
      <c r="E110" s="2">
        <v>21</v>
      </c>
      <c r="F110" s="2">
        <v>5</v>
      </c>
      <c r="G110" s="2">
        <f>D110-E110-F110</f>
        <v>4</v>
      </c>
      <c r="H110" s="2">
        <v>60</v>
      </c>
      <c r="I110" s="2">
        <v>28</v>
      </c>
      <c r="J110" s="3">
        <f>E110*3+F110*1</f>
        <v>68</v>
      </c>
    </row>
    <row r="111" spans="2:10">
      <c r="B111">
        <v>2</v>
      </c>
      <c r="C111" s="2" t="s">
        <v>0</v>
      </c>
      <c r="D111" s="2">
        <v>30</v>
      </c>
      <c r="E111" s="2">
        <v>17</v>
      </c>
      <c r="F111" s="2">
        <v>9</v>
      </c>
      <c r="G111" s="2">
        <f t="shared" ref="G111:G125" si="12">D111-E111-F111</f>
        <v>4</v>
      </c>
      <c r="H111" s="2">
        <v>60</v>
      </c>
      <c r="I111" s="2">
        <v>29</v>
      </c>
      <c r="J111" s="3">
        <f t="shared" ref="J111:J125" si="13">E111*3+F111*1</f>
        <v>60</v>
      </c>
    </row>
    <row r="112" spans="2:10">
      <c r="B112">
        <v>3</v>
      </c>
      <c r="C112" s="2" t="s">
        <v>18</v>
      </c>
      <c r="D112" s="2">
        <v>30</v>
      </c>
      <c r="E112" s="2">
        <v>17</v>
      </c>
      <c r="F112" s="2">
        <v>9</v>
      </c>
      <c r="G112" s="2">
        <f t="shared" si="12"/>
        <v>4</v>
      </c>
      <c r="H112" s="2">
        <v>62</v>
      </c>
      <c r="I112" s="2">
        <v>35</v>
      </c>
      <c r="J112" s="3">
        <f t="shared" si="13"/>
        <v>60</v>
      </c>
    </row>
    <row r="113" spans="2:10">
      <c r="B113">
        <v>4</v>
      </c>
      <c r="C113" s="2" t="s">
        <v>23</v>
      </c>
      <c r="D113" s="2">
        <v>30</v>
      </c>
      <c r="E113" s="2">
        <v>15</v>
      </c>
      <c r="F113" s="2">
        <v>8</v>
      </c>
      <c r="G113" s="2">
        <f t="shared" si="12"/>
        <v>7</v>
      </c>
      <c r="H113" s="2">
        <v>51</v>
      </c>
      <c r="I113" s="2">
        <v>32</v>
      </c>
      <c r="J113" s="3">
        <f t="shared" si="13"/>
        <v>53</v>
      </c>
    </row>
    <row r="114" spans="2:10">
      <c r="B114">
        <v>5</v>
      </c>
      <c r="C114" s="2" t="s">
        <v>33</v>
      </c>
      <c r="D114" s="2">
        <v>30</v>
      </c>
      <c r="E114" s="2">
        <v>17</v>
      </c>
      <c r="F114" s="2">
        <v>2</v>
      </c>
      <c r="G114" s="2">
        <f t="shared" si="12"/>
        <v>11</v>
      </c>
      <c r="H114" s="2">
        <v>41</v>
      </c>
      <c r="I114" s="2">
        <v>33</v>
      </c>
      <c r="J114" s="3">
        <f t="shared" si="13"/>
        <v>53</v>
      </c>
    </row>
    <row r="115" spans="2:10">
      <c r="B115">
        <v>6</v>
      </c>
      <c r="C115" s="2" t="s">
        <v>32</v>
      </c>
      <c r="D115" s="2">
        <v>30</v>
      </c>
      <c r="E115" s="2">
        <v>16</v>
      </c>
      <c r="F115" s="2">
        <v>0</v>
      </c>
      <c r="G115" s="2">
        <f t="shared" si="12"/>
        <v>14</v>
      </c>
      <c r="H115" s="2">
        <v>47</v>
      </c>
      <c r="I115" s="2">
        <v>41</v>
      </c>
      <c r="J115" s="3">
        <f t="shared" si="13"/>
        <v>48</v>
      </c>
    </row>
    <row r="116" spans="2:10">
      <c r="B116">
        <v>7</v>
      </c>
      <c r="C116" s="2" t="s">
        <v>3</v>
      </c>
      <c r="D116" s="2">
        <v>30</v>
      </c>
      <c r="E116" s="2">
        <v>12</v>
      </c>
      <c r="F116" s="2">
        <v>10</v>
      </c>
      <c r="G116" s="2">
        <f t="shared" si="12"/>
        <v>8</v>
      </c>
      <c r="H116" s="2">
        <v>48</v>
      </c>
      <c r="I116" s="2">
        <v>42</v>
      </c>
      <c r="J116" s="3">
        <f t="shared" si="13"/>
        <v>46</v>
      </c>
    </row>
    <row r="117" spans="2:10">
      <c r="B117">
        <v>8</v>
      </c>
      <c r="C117" s="2" t="s">
        <v>1</v>
      </c>
      <c r="D117" s="2">
        <v>30</v>
      </c>
      <c r="E117" s="2">
        <v>10</v>
      </c>
      <c r="F117" s="2">
        <v>10</v>
      </c>
      <c r="G117" s="2">
        <f t="shared" si="12"/>
        <v>10</v>
      </c>
      <c r="H117" s="2">
        <v>46</v>
      </c>
      <c r="I117" s="2">
        <v>50</v>
      </c>
      <c r="J117" s="3">
        <f t="shared" si="13"/>
        <v>40</v>
      </c>
    </row>
    <row r="118" spans="2:10">
      <c r="B118">
        <v>9</v>
      </c>
      <c r="C118" s="2" t="s">
        <v>24</v>
      </c>
      <c r="D118" s="2">
        <v>30</v>
      </c>
      <c r="E118" s="2">
        <v>11</v>
      </c>
      <c r="F118" s="2">
        <v>6</v>
      </c>
      <c r="G118" s="2">
        <f t="shared" si="12"/>
        <v>13</v>
      </c>
      <c r="H118" s="2">
        <v>37</v>
      </c>
      <c r="I118" s="2">
        <v>46</v>
      </c>
      <c r="J118" s="3">
        <f t="shared" si="13"/>
        <v>39</v>
      </c>
    </row>
    <row r="119" spans="2:10">
      <c r="B119">
        <v>10</v>
      </c>
      <c r="C119" s="2" t="s">
        <v>27</v>
      </c>
      <c r="D119" s="2">
        <v>30</v>
      </c>
      <c r="E119" s="2">
        <v>10</v>
      </c>
      <c r="F119" s="2">
        <v>8</v>
      </c>
      <c r="G119" s="2">
        <f t="shared" si="12"/>
        <v>12</v>
      </c>
      <c r="H119" s="2">
        <v>37</v>
      </c>
      <c r="I119" s="2">
        <v>39</v>
      </c>
      <c r="J119" s="3">
        <f t="shared" si="13"/>
        <v>38</v>
      </c>
    </row>
    <row r="120" spans="2:10">
      <c r="B120">
        <v>11</v>
      </c>
      <c r="C120" s="2" t="s">
        <v>30</v>
      </c>
      <c r="D120" s="2">
        <v>30</v>
      </c>
      <c r="E120" s="2">
        <v>10</v>
      </c>
      <c r="F120" s="2">
        <v>6</v>
      </c>
      <c r="G120" s="2">
        <f t="shared" si="12"/>
        <v>14</v>
      </c>
      <c r="H120" s="2">
        <v>25</v>
      </c>
      <c r="I120" s="2">
        <v>36</v>
      </c>
      <c r="J120" s="3">
        <f t="shared" si="13"/>
        <v>36</v>
      </c>
    </row>
    <row r="121" spans="2:10">
      <c r="B121">
        <v>12</v>
      </c>
      <c r="C121" s="2" t="s">
        <v>36</v>
      </c>
      <c r="D121" s="2">
        <v>30</v>
      </c>
      <c r="E121" s="2">
        <v>10</v>
      </c>
      <c r="F121" s="2">
        <v>4</v>
      </c>
      <c r="G121" s="2">
        <f t="shared" si="12"/>
        <v>16</v>
      </c>
      <c r="H121" s="2">
        <v>43</v>
      </c>
      <c r="I121" s="2">
        <v>49</v>
      </c>
      <c r="J121" s="3">
        <f t="shared" si="13"/>
        <v>34</v>
      </c>
    </row>
    <row r="122" spans="2:10">
      <c r="B122">
        <v>13</v>
      </c>
      <c r="C122" s="2" t="s">
        <v>6</v>
      </c>
      <c r="D122" s="2">
        <v>30</v>
      </c>
      <c r="E122" s="2">
        <v>9</v>
      </c>
      <c r="F122" s="2">
        <v>6</v>
      </c>
      <c r="G122" s="2">
        <f t="shared" si="12"/>
        <v>15</v>
      </c>
      <c r="H122" s="2">
        <v>39</v>
      </c>
      <c r="I122" s="2">
        <v>45</v>
      </c>
      <c r="J122" s="3">
        <f t="shared" si="13"/>
        <v>33</v>
      </c>
    </row>
    <row r="123" spans="2:10">
      <c r="B123">
        <v>14</v>
      </c>
      <c r="C123" s="2" t="s">
        <v>28</v>
      </c>
      <c r="D123" s="2">
        <v>30</v>
      </c>
      <c r="E123" s="2">
        <v>9</v>
      </c>
      <c r="F123" s="2">
        <v>6</v>
      </c>
      <c r="G123" s="2">
        <f t="shared" si="12"/>
        <v>15</v>
      </c>
      <c r="H123" s="2">
        <v>28</v>
      </c>
      <c r="I123" s="2">
        <v>43</v>
      </c>
      <c r="J123" s="3">
        <f t="shared" si="13"/>
        <v>33</v>
      </c>
    </row>
    <row r="124" spans="2:10">
      <c r="B124">
        <v>15</v>
      </c>
      <c r="C124" s="2" t="s">
        <v>25</v>
      </c>
      <c r="D124" s="2">
        <v>30</v>
      </c>
      <c r="E124" s="2">
        <v>3</v>
      </c>
      <c r="F124" s="2">
        <v>9</v>
      </c>
      <c r="G124" s="2">
        <f t="shared" si="12"/>
        <v>18</v>
      </c>
      <c r="H124" s="2">
        <v>32</v>
      </c>
      <c r="I124" s="2">
        <v>63</v>
      </c>
      <c r="J124" s="3">
        <f t="shared" si="13"/>
        <v>18</v>
      </c>
    </row>
    <row r="125" spans="2:10">
      <c r="B125">
        <v>16</v>
      </c>
      <c r="C125" s="2" t="s">
        <v>2</v>
      </c>
      <c r="D125" s="2">
        <v>30</v>
      </c>
      <c r="E125" s="2">
        <v>1</v>
      </c>
      <c r="F125" s="2">
        <v>6</v>
      </c>
      <c r="G125" s="2">
        <f t="shared" si="12"/>
        <v>23</v>
      </c>
      <c r="H125" s="2">
        <v>23</v>
      </c>
      <c r="I125" s="2">
        <v>68</v>
      </c>
      <c r="J125" s="3">
        <f t="shared" si="13"/>
        <v>9</v>
      </c>
    </row>
    <row r="127" spans="2:10">
      <c r="B127" s="20" t="s">
        <v>37</v>
      </c>
      <c r="C127" s="20"/>
      <c r="D127" s="20"/>
      <c r="E127" s="20"/>
      <c r="F127" s="20"/>
      <c r="G127" s="20"/>
      <c r="H127" s="20"/>
      <c r="I127" s="20"/>
      <c r="J127" s="20"/>
    </row>
    <row r="128" spans="2:10">
      <c r="B128">
        <v>1</v>
      </c>
      <c r="C128" s="2" t="s">
        <v>6</v>
      </c>
      <c r="D128" s="2">
        <v>30</v>
      </c>
      <c r="E128" s="2">
        <v>19</v>
      </c>
      <c r="F128" s="2">
        <v>2</v>
      </c>
      <c r="G128" s="2">
        <f>D128-E128-F128</f>
        <v>9</v>
      </c>
      <c r="H128" s="2">
        <v>58</v>
      </c>
      <c r="I128" s="2">
        <v>43</v>
      </c>
      <c r="J128" s="3">
        <f>E128*3+F128*1</f>
        <v>59</v>
      </c>
    </row>
    <row r="129" spans="2:10">
      <c r="B129">
        <v>2</v>
      </c>
      <c r="C129" s="2" t="s">
        <v>0</v>
      </c>
      <c r="D129" s="2">
        <v>30</v>
      </c>
      <c r="E129" s="2">
        <v>18</v>
      </c>
      <c r="F129" s="2">
        <v>4</v>
      </c>
      <c r="G129" s="2">
        <f t="shared" ref="G129:G143" si="14">D129-E129-F129</f>
        <v>8</v>
      </c>
      <c r="H129" s="2">
        <v>57</v>
      </c>
      <c r="I129" s="2">
        <v>34</v>
      </c>
      <c r="J129" s="3">
        <f t="shared" ref="J129:J143" si="15">E129*3+F129*1</f>
        <v>58</v>
      </c>
    </row>
    <row r="130" spans="2:10">
      <c r="B130">
        <v>3</v>
      </c>
      <c r="C130" s="2" t="s">
        <v>23</v>
      </c>
      <c r="D130" s="2">
        <v>30</v>
      </c>
      <c r="E130" s="2">
        <v>17</v>
      </c>
      <c r="F130" s="2">
        <v>7</v>
      </c>
      <c r="G130" s="2">
        <f t="shared" si="14"/>
        <v>6</v>
      </c>
      <c r="H130" s="2">
        <v>49</v>
      </c>
      <c r="I130" s="2">
        <v>30</v>
      </c>
      <c r="J130" s="3">
        <f t="shared" si="15"/>
        <v>58</v>
      </c>
    </row>
    <row r="131" spans="2:10">
      <c r="B131">
        <v>4</v>
      </c>
      <c r="C131" s="2" t="s">
        <v>24</v>
      </c>
      <c r="D131" s="2">
        <v>30</v>
      </c>
      <c r="E131" s="2">
        <v>16</v>
      </c>
      <c r="F131" s="2">
        <v>6</v>
      </c>
      <c r="G131" s="2">
        <f t="shared" si="14"/>
        <v>8</v>
      </c>
      <c r="H131" s="2">
        <v>61</v>
      </c>
      <c r="I131" s="2">
        <v>36</v>
      </c>
      <c r="J131" s="3">
        <f t="shared" si="15"/>
        <v>54</v>
      </c>
    </row>
    <row r="132" spans="2:10">
      <c r="B132">
        <v>5</v>
      </c>
      <c r="C132" s="2" t="s">
        <v>4</v>
      </c>
      <c r="D132" s="2">
        <v>30</v>
      </c>
      <c r="E132" s="2">
        <v>17</v>
      </c>
      <c r="F132" s="2">
        <v>3</v>
      </c>
      <c r="G132" s="2">
        <f t="shared" si="14"/>
        <v>10</v>
      </c>
      <c r="H132" s="2">
        <v>54</v>
      </c>
      <c r="I132" s="2">
        <v>48</v>
      </c>
      <c r="J132" s="3">
        <f t="shared" si="15"/>
        <v>54</v>
      </c>
    </row>
    <row r="133" spans="2:10">
      <c r="B133">
        <v>6</v>
      </c>
      <c r="C133" s="2" t="s">
        <v>18</v>
      </c>
      <c r="D133" s="2">
        <v>30</v>
      </c>
      <c r="E133" s="2">
        <v>16</v>
      </c>
      <c r="F133" s="2">
        <v>5</v>
      </c>
      <c r="G133" s="2">
        <f t="shared" si="14"/>
        <v>9</v>
      </c>
      <c r="H133" s="2">
        <v>58</v>
      </c>
      <c r="I133" s="2">
        <v>43</v>
      </c>
      <c r="J133" s="3">
        <f t="shared" si="15"/>
        <v>53</v>
      </c>
    </row>
    <row r="134" spans="2:10">
      <c r="B134">
        <v>7</v>
      </c>
      <c r="C134" s="2" t="s">
        <v>33</v>
      </c>
      <c r="D134" s="2">
        <v>30</v>
      </c>
      <c r="E134" s="2">
        <v>14</v>
      </c>
      <c r="F134" s="2">
        <v>6</v>
      </c>
      <c r="G134" s="2">
        <f t="shared" si="14"/>
        <v>10</v>
      </c>
      <c r="H134" s="2">
        <v>55</v>
      </c>
      <c r="I134" s="2">
        <v>51</v>
      </c>
      <c r="J134" s="3">
        <f t="shared" si="15"/>
        <v>48</v>
      </c>
    </row>
    <row r="135" spans="2:10">
      <c r="B135">
        <v>8</v>
      </c>
      <c r="C135" s="2" t="s">
        <v>27</v>
      </c>
      <c r="D135" s="2">
        <v>30</v>
      </c>
      <c r="E135" s="2">
        <v>14</v>
      </c>
      <c r="F135" s="2">
        <v>4</v>
      </c>
      <c r="G135" s="2">
        <f t="shared" si="14"/>
        <v>12</v>
      </c>
      <c r="H135" s="2">
        <v>42</v>
      </c>
      <c r="I135" s="2">
        <v>47</v>
      </c>
      <c r="J135" s="3">
        <f t="shared" si="15"/>
        <v>46</v>
      </c>
    </row>
    <row r="136" spans="2:10">
      <c r="B136">
        <v>9</v>
      </c>
      <c r="C136" s="2" t="s">
        <v>32</v>
      </c>
      <c r="D136" s="2">
        <v>30</v>
      </c>
      <c r="E136" s="2">
        <v>10</v>
      </c>
      <c r="F136" s="2">
        <v>10</v>
      </c>
      <c r="G136" s="2">
        <f t="shared" si="14"/>
        <v>10</v>
      </c>
      <c r="H136" s="2">
        <v>43</v>
      </c>
      <c r="I136" s="2">
        <v>33</v>
      </c>
      <c r="J136" s="3">
        <f t="shared" si="15"/>
        <v>40</v>
      </c>
    </row>
    <row r="137" spans="2:10">
      <c r="B137">
        <v>10</v>
      </c>
      <c r="C137" s="2" t="s">
        <v>38</v>
      </c>
      <c r="D137" s="2">
        <v>30</v>
      </c>
      <c r="E137" s="2">
        <v>10</v>
      </c>
      <c r="F137" s="2">
        <v>6</v>
      </c>
      <c r="G137" s="2">
        <f t="shared" si="14"/>
        <v>14</v>
      </c>
      <c r="H137" s="2">
        <v>45</v>
      </c>
      <c r="I137" s="2">
        <v>55</v>
      </c>
      <c r="J137" s="3">
        <f t="shared" si="15"/>
        <v>36</v>
      </c>
    </row>
    <row r="138" spans="2:10">
      <c r="B138">
        <v>11</v>
      </c>
      <c r="C138" s="2" t="s">
        <v>28</v>
      </c>
      <c r="D138" s="2">
        <v>30</v>
      </c>
      <c r="E138" s="2">
        <v>9</v>
      </c>
      <c r="F138" s="2">
        <v>6</v>
      </c>
      <c r="G138" s="2">
        <f t="shared" si="14"/>
        <v>15</v>
      </c>
      <c r="H138" s="2">
        <v>27</v>
      </c>
      <c r="I138" s="2">
        <v>44</v>
      </c>
      <c r="J138" s="3">
        <f t="shared" si="15"/>
        <v>33</v>
      </c>
    </row>
    <row r="139" spans="2:10">
      <c r="B139">
        <v>12</v>
      </c>
      <c r="C139" s="2" t="s">
        <v>39</v>
      </c>
      <c r="D139" s="2">
        <v>30</v>
      </c>
      <c r="E139" s="2">
        <v>8</v>
      </c>
      <c r="F139" s="2">
        <v>7</v>
      </c>
      <c r="G139" s="2">
        <f t="shared" si="14"/>
        <v>15</v>
      </c>
      <c r="H139" s="2">
        <v>44</v>
      </c>
      <c r="I139" s="2">
        <v>55</v>
      </c>
      <c r="J139" s="3">
        <f t="shared" si="15"/>
        <v>31</v>
      </c>
    </row>
    <row r="140" spans="2:10">
      <c r="B140">
        <v>13</v>
      </c>
      <c r="C140" s="2" t="s">
        <v>1</v>
      </c>
      <c r="D140" s="2">
        <v>30</v>
      </c>
      <c r="E140" s="2">
        <v>7</v>
      </c>
      <c r="F140" s="2">
        <v>9</v>
      </c>
      <c r="G140" s="2">
        <f t="shared" si="14"/>
        <v>14</v>
      </c>
      <c r="H140" s="2">
        <v>43</v>
      </c>
      <c r="I140" s="2">
        <v>51</v>
      </c>
      <c r="J140" s="3">
        <f t="shared" si="15"/>
        <v>30</v>
      </c>
    </row>
    <row r="141" spans="2:10">
      <c r="B141">
        <v>14</v>
      </c>
      <c r="C141" s="2" t="s">
        <v>3</v>
      </c>
      <c r="D141" s="2">
        <v>30</v>
      </c>
      <c r="E141" s="2">
        <v>8</v>
      </c>
      <c r="F141" s="2">
        <v>6</v>
      </c>
      <c r="G141" s="2">
        <f t="shared" si="14"/>
        <v>16</v>
      </c>
      <c r="H141" s="2">
        <v>33</v>
      </c>
      <c r="I141" s="2">
        <v>48</v>
      </c>
      <c r="J141" s="3">
        <f t="shared" si="15"/>
        <v>30</v>
      </c>
    </row>
    <row r="142" spans="2:10">
      <c r="B142">
        <v>15</v>
      </c>
      <c r="C142" s="2" t="s">
        <v>30</v>
      </c>
      <c r="D142" s="2">
        <v>30</v>
      </c>
      <c r="E142" s="2">
        <v>5</v>
      </c>
      <c r="F142" s="2">
        <v>7</v>
      </c>
      <c r="G142" s="2">
        <f t="shared" si="14"/>
        <v>18</v>
      </c>
      <c r="H142" s="2">
        <v>24</v>
      </c>
      <c r="I142" s="2">
        <v>50</v>
      </c>
      <c r="J142" s="3">
        <f t="shared" si="15"/>
        <v>22</v>
      </c>
    </row>
    <row r="143" spans="2:10">
      <c r="B143">
        <v>16</v>
      </c>
      <c r="C143" s="2" t="s">
        <v>36</v>
      </c>
      <c r="D143" s="2">
        <v>30</v>
      </c>
      <c r="E143" s="2">
        <v>3</v>
      </c>
      <c r="F143" s="2">
        <v>10</v>
      </c>
      <c r="G143" s="2">
        <f t="shared" si="14"/>
        <v>17</v>
      </c>
      <c r="H143" s="2">
        <v>35</v>
      </c>
      <c r="I143" s="2">
        <v>60</v>
      </c>
      <c r="J143" s="3">
        <f t="shared" si="15"/>
        <v>19</v>
      </c>
    </row>
    <row r="145" spans="2:10">
      <c r="B145" s="20" t="s">
        <v>40</v>
      </c>
      <c r="C145" s="20"/>
      <c r="D145" s="20"/>
      <c r="E145" s="20"/>
      <c r="F145" s="20"/>
      <c r="G145" s="20"/>
      <c r="H145" s="20"/>
      <c r="I145" s="20"/>
      <c r="J145" s="20"/>
    </row>
    <row r="146" spans="2:10">
      <c r="B146">
        <v>1</v>
      </c>
      <c r="C146" s="2" t="s">
        <v>23</v>
      </c>
      <c r="D146" s="2">
        <v>30</v>
      </c>
      <c r="E146" s="2">
        <v>21</v>
      </c>
      <c r="F146" s="2">
        <v>3</v>
      </c>
      <c r="G146" s="2">
        <f>D146-E146-F146</f>
        <v>6</v>
      </c>
      <c r="H146" s="2">
        <v>86</v>
      </c>
      <c r="I146" s="2">
        <v>34</v>
      </c>
      <c r="J146" s="3">
        <f>E146*3+F146*1</f>
        <v>66</v>
      </c>
    </row>
    <row r="147" spans="2:10">
      <c r="B147">
        <v>2</v>
      </c>
      <c r="C147" s="2" t="s">
        <v>24</v>
      </c>
      <c r="D147" s="2">
        <v>30</v>
      </c>
      <c r="E147" s="2">
        <v>19</v>
      </c>
      <c r="F147" s="2">
        <v>5</v>
      </c>
      <c r="G147" s="2">
        <f t="shared" ref="G147:G161" si="16">D147-E147-F147</f>
        <v>6</v>
      </c>
      <c r="H147" s="2">
        <v>70</v>
      </c>
      <c r="I147" s="2">
        <v>33</v>
      </c>
      <c r="J147" s="3">
        <f t="shared" ref="J147:J161" si="17">E147*3+F147*1</f>
        <v>62</v>
      </c>
    </row>
    <row r="148" spans="2:10">
      <c r="B148">
        <v>3</v>
      </c>
      <c r="C148" s="2" t="s">
        <v>18</v>
      </c>
      <c r="D148" s="2">
        <v>30</v>
      </c>
      <c r="E148" s="2">
        <v>16</v>
      </c>
      <c r="F148" s="2">
        <v>6</v>
      </c>
      <c r="G148" s="2">
        <f t="shared" si="16"/>
        <v>8</v>
      </c>
      <c r="H148" s="2">
        <v>89</v>
      </c>
      <c r="I148" s="2">
        <v>53</v>
      </c>
      <c r="J148" s="3">
        <f t="shared" si="17"/>
        <v>54</v>
      </c>
    </row>
    <row r="149" spans="2:10">
      <c r="B149">
        <v>4</v>
      </c>
      <c r="C149" s="2" t="s">
        <v>32</v>
      </c>
      <c r="D149" s="2">
        <v>30</v>
      </c>
      <c r="E149" s="2">
        <v>13</v>
      </c>
      <c r="F149" s="2">
        <v>8</v>
      </c>
      <c r="G149" s="2">
        <f t="shared" si="16"/>
        <v>9</v>
      </c>
      <c r="H149" s="2">
        <v>63</v>
      </c>
      <c r="I149" s="2">
        <v>42</v>
      </c>
      <c r="J149" s="3">
        <f t="shared" si="17"/>
        <v>47</v>
      </c>
    </row>
    <row r="150" spans="2:10">
      <c r="B150">
        <v>5</v>
      </c>
      <c r="C150" s="2" t="s">
        <v>27</v>
      </c>
      <c r="D150" s="2">
        <v>30</v>
      </c>
      <c r="E150" s="2">
        <v>14</v>
      </c>
      <c r="F150" s="2">
        <v>5</v>
      </c>
      <c r="G150" s="2">
        <f t="shared" si="16"/>
        <v>11</v>
      </c>
      <c r="H150" s="2">
        <v>61</v>
      </c>
      <c r="I150" s="2">
        <v>45</v>
      </c>
      <c r="J150" s="3">
        <f t="shared" si="17"/>
        <v>47</v>
      </c>
    </row>
    <row r="151" spans="2:10">
      <c r="B151">
        <v>6</v>
      </c>
      <c r="C151" s="2" t="s">
        <v>0</v>
      </c>
      <c r="D151" s="2">
        <v>30</v>
      </c>
      <c r="E151" s="2">
        <v>14</v>
      </c>
      <c r="F151" s="2">
        <v>4</v>
      </c>
      <c r="G151" s="2">
        <f t="shared" si="16"/>
        <v>12</v>
      </c>
      <c r="H151" s="2">
        <v>67</v>
      </c>
      <c r="I151" s="2">
        <v>43</v>
      </c>
      <c r="J151" s="3">
        <f t="shared" si="17"/>
        <v>46</v>
      </c>
    </row>
    <row r="152" spans="2:10">
      <c r="B152">
        <v>7</v>
      </c>
      <c r="C152" s="2" t="s">
        <v>33</v>
      </c>
      <c r="D152" s="2">
        <v>30</v>
      </c>
      <c r="E152" s="2">
        <v>13</v>
      </c>
      <c r="F152" s="2">
        <v>6</v>
      </c>
      <c r="G152" s="2">
        <f t="shared" si="16"/>
        <v>11</v>
      </c>
      <c r="H152" s="2">
        <v>67</v>
      </c>
      <c r="I152" s="2">
        <v>47</v>
      </c>
      <c r="J152" s="3">
        <f t="shared" si="17"/>
        <v>45</v>
      </c>
    </row>
    <row r="153" spans="2:10">
      <c r="B153">
        <v>8</v>
      </c>
      <c r="C153" s="2" t="s">
        <v>3</v>
      </c>
      <c r="D153" s="2">
        <v>30</v>
      </c>
      <c r="E153" s="2">
        <v>11</v>
      </c>
      <c r="F153" s="2">
        <v>9</v>
      </c>
      <c r="G153" s="2">
        <f t="shared" si="16"/>
        <v>10</v>
      </c>
      <c r="H153" s="2">
        <v>54</v>
      </c>
      <c r="I153" s="2">
        <v>53</v>
      </c>
      <c r="J153" s="3">
        <f t="shared" si="17"/>
        <v>42</v>
      </c>
    </row>
    <row r="154" spans="2:10">
      <c r="B154">
        <v>9</v>
      </c>
      <c r="C154" s="2" t="s">
        <v>28</v>
      </c>
      <c r="D154" s="2">
        <v>30</v>
      </c>
      <c r="E154" s="2">
        <v>10</v>
      </c>
      <c r="F154" s="2">
        <v>10</v>
      </c>
      <c r="G154" s="2">
        <f t="shared" si="16"/>
        <v>10</v>
      </c>
      <c r="H154" s="2">
        <v>38</v>
      </c>
      <c r="I154" s="2">
        <v>43</v>
      </c>
      <c r="J154" s="3">
        <f t="shared" si="17"/>
        <v>40</v>
      </c>
    </row>
    <row r="155" spans="2:10">
      <c r="B155">
        <v>10</v>
      </c>
      <c r="C155" s="2" t="s">
        <v>25</v>
      </c>
      <c r="D155" s="2">
        <v>30</v>
      </c>
      <c r="E155" s="2">
        <v>11</v>
      </c>
      <c r="F155" s="2">
        <v>5</v>
      </c>
      <c r="G155" s="2">
        <f t="shared" si="16"/>
        <v>14</v>
      </c>
      <c r="H155" s="2">
        <v>58</v>
      </c>
      <c r="I155" s="2">
        <v>48</v>
      </c>
      <c r="J155" s="3">
        <f t="shared" si="17"/>
        <v>38</v>
      </c>
    </row>
    <row r="156" spans="2:10">
      <c r="B156">
        <v>11</v>
      </c>
      <c r="C156" s="2" t="s">
        <v>38</v>
      </c>
      <c r="D156" s="2">
        <v>30</v>
      </c>
      <c r="E156" s="2">
        <v>12</v>
      </c>
      <c r="F156" s="2">
        <v>1</v>
      </c>
      <c r="G156" s="2">
        <f t="shared" si="16"/>
        <v>17</v>
      </c>
      <c r="H156" s="2">
        <v>44</v>
      </c>
      <c r="I156" s="2">
        <v>57</v>
      </c>
      <c r="J156" s="3">
        <f t="shared" si="17"/>
        <v>37</v>
      </c>
    </row>
    <row r="157" spans="2:10">
      <c r="B157">
        <v>12</v>
      </c>
      <c r="C157" s="2" t="s">
        <v>6</v>
      </c>
      <c r="D157" s="2">
        <v>30</v>
      </c>
      <c r="E157" s="2">
        <v>9</v>
      </c>
      <c r="F157" s="2">
        <v>9</v>
      </c>
      <c r="G157" s="2">
        <f t="shared" si="16"/>
        <v>12</v>
      </c>
      <c r="H157" s="2">
        <v>48</v>
      </c>
      <c r="I157" s="2">
        <v>52</v>
      </c>
      <c r="J157" s="3">
        <f t="shared" si="17"/>
        <v>36</v>
      </c>
    </row>
    <row r="158" spans="2:10">
      <c r="B158">
        <v>13</v>
      </c>
      <c r="C158" s="2" t="s">
        <v>4</v>
      </c>
      <c r="D158" s="2">
        <v>30</v>
      </c>
      <c r="E158" s="2">
        <v>9</v>
      </c>
      <c r="F158" s="2">
        <v>6</v>
      </c>
      <c r="G158" s="2">
        <f t="shared" si="16"/>
        <v>15</v>
      </c>
      <c r="H158" s="2">
        <v>33</v>
      </c>
      <c r="I158" s="2">
        <v>48</v>
      </c>
      <c r="J158" s="3">
        <f t="shared" si="17"/>
        <v>33</v>
      </c>
    </row>
    <row r="159" spans="2:10">
      <c r="B159">
        <v>14</v>
      </c>
      <c r="C159" s="2" t="s">
        <v>41</v>
      </c>
      <c r="D159" s="2">
        <v>30</v>
      </c>
      <c r="E159" s="2">
        <v>7</v>
      </c>
      <c r="F159" s="2">
        <v>7</v>
      </c>
      <c r="G159" s="2">
        <f t="shared" si="16"/>
        <v>16</v>
      </c>
      <c r="H159" s="2">
        <v>44</v>
      </c>
      <c r="I159" s="2">
        <v>73</v>
      </c>
      <c r="J159" s="3">
        <f t="shared" si="17"/>
        <v>28</v>
      </c>
    </row>
    <row r="160" spans="2:10">
      <c r="B160">
        <v>15</v>
      </c>
      <c r="C160" t="s">
        <v>34</v>
      </c>
      <c r="D160">
        <v>27</v>
      </c>
      <c r="E160">
        <v>3</v>
      </c>
      <c r="F160">
        <v>0</v>
      </c>
      <c r="G160">
        <f t="shared" si="16"/>
        <v>24</v>
      </c>
      <c r="H160">
        <v>11</v>
      </c>
      <c r="I160">
        <v>167</v>
      </c>
      <c r="J160" s="1">
        <f t="shared" si="17"/>
        <v>9</v>
      </c>
    </row>
    <row r="161" spans="2:10">
      <c r="B161">
        <v>16</v>
      </c>
      <c r="C161" t="s">
        <v>34</v>
      </c>
      <c r="D161">
        <v>0</v>
      </c>
      <c r="E161">
        <v>0</v>
      </c>
      <c r="F161">
        <v>0</v>
      </c>
      <c r="G161">
        <f t="shared" si="16"/>
        <v>0</v>
      </c>
      <c r="H161">
        <v>0</v>
      </c>
      <c r="I161">
        <v>0</v>
      </c>
      <c r="J161" s="1">
        <f t="shared" si="17"/>
        <v>0</v>
      </c>
    </row>
    <row r="163" spans="2:10">
      <c r="B163" s="20" t="s">
        <v>42</v>
      </c>
      <c r="C163" s="20"/>
      <c r="D163" s="20"/>
      <c r="E163" s="20"/>
      <c r="F163" s="20"/>
      <c r="G163" s="20"/>
      <c r="H163" s="20"/>
      <c r="I163" s="20"/>
      <c r="J163" s="20"/>
    </row>
    <row r="164" spans="2:10">
      <c r="B164">
        <v>1</v>
      </c>
      <c r="C164" s="2" t="s">
        <v>43</v>
      </c>
      <c r="D164" s="2">
        <v>30</v>
      </c>
      <c r="E164" s="2">
        <v>21</v>
      </c>
      <c r="F164" s="2">
        <v>7</v>
      </c>
      <c r="G164" s="2">
        <f>D164-E164-F164</f>
        <v>2</v>
      </c>
      <c r="H164" s="2">
        <v>73</v>
      </c>
      <c r="I164" s="2">
        <v>21</v>
      </c>
      <c r="J164" s="3">
        <f>E164*3+F164*1</f>
        <v>70</v>
      </c>
    </row>
    <row r="165" spans="2:10">
      <c r="B165">
        <v>2</v>
      </c>
      <c r="C165" s="2" t="s">
        <v>24</v>
      </c>
      <c r="D165" s="2">
        <v>30</v>
      </c>
      <c r="E165" s="2">
        <v>21</v>
      </c>
      <c r="F165" s="2">
        <v>6</v>
      </c>
      <c r="G165" s="2">
        <f t="shared" ref="G165:G179" si="18">D165-E165-F165</f>
        <v>3</v>
      </c>
      <c r="H165" s="2">
        <v>69</v>
      </c>
      <c r="I165" s="2">
        <v>17</v>
      </c>
      <c r="J165" s="3">
        <f t="shared" ref="J165:J179" si="19">E165*3+F165*1</f>
        <v>69</v>
      </c>
    </row>
    <row r="166" spans="2:10">
      <c r="B166">
        <v>3</v>
      </c>
      <c r="C166" s="2" t="s">
        <v>18</v>
      </c>
      <c r="D166" s="2">
        <v>30</v>
      </c>
      <c r="E166" s="2">
        <v>21</v>
      </c>
      <c r="F166" s="2">
        <v>4</v>
      </c>
      <c r="G166" s="2">
        <f t="shared" si="18"/>
        <v>5</v>
      </c>
      <c r="H166" s="2">
        <v>92</v>
      </c>
      <c r="I166" s="2">
        <v>32</v>
      </c>
      <c r="J166" s="3">
        <f t="shared" si="19"/>
        <v>67</v>
      </c>
    </row>
    <row r="167" spans="2:10">
      <c r="B167">
        <v>4</v>
      </c>
      <c r="C167" s="2" t="s">
        <v>23</v>
      </c>
      <c r="D167" s="2">
        <v>30</v>
      </c>
      <c r="E167" s="2">
        <v>15</v>
      </c>
      <c r="F167" s="2">
        <v>8</v>
      </c>
      <c r="G167" s="2">
        <f t="shared" si="18"/>
        <v>7</v>
      </c>
      <c r="H167" s="2">
        <v>60</v>
      </c>
      <c r="I167" s="2">
        <v>27</v>
      </c>
      <c r="J167" s="3">
        <f t="shared" si="19"/>
        <v>53</v>
      </c>
    </row>
    <row r="168" spans="2:10">
      <c r="B168">
        <v>5</v>
      </c>
      <c r="C168" s="2" t="s">
        <v>0</v>
      </c>
      <c r="D168" s="2">
        <v>30</v>
      </c>
      <c r="E168" s="2">
        <v>15</v>
      </c>
      <c r="F168" s="2">
        <v>6</v>
      </c>
      <c r="G168" s="2">
        <f t="shared" si="18"/>
        <v>9</v>
      </c>
      <c r="H168" s="2">
        <v>73</v>
      </c>
      <c r="I168" s="2">
        <v>36</v>
      </c>
      <c r="J168" s="3">
        <f t="shared" si="19"/>
        <v>51</v>
      </c>
    </row>
    <row r="169" spans="2:10">
      <c r="B169">
        <v>6</v>
      </c>
      <c r="C169" s="2" t="s">
        <v>33</v>
      </c>
      <c r="D169" s="2">
        <v>30</v>
      </c>
      <c r="E169" s="2">
        <v>14</v>
      </c>
      <c r="F169" s="2">
        <v>5</v>
      </c>
      <c r="G169" s="2">
        <f t="shared" si="18"/>
        <v>11</v>
      </c>
      <c r="H169" s="2">
        <v>53</v>
      </c>
      <c r="I169" s="2">
        <v>36</v>
      </c>
      <c r="J169" s="3">
        <f t="shared" si="19"/>
        <v>47</v>
      </c>
    </row>
    <row r="170" spans="2:10">
      <c r="B170">
        <v>7</v>
      </c>
      <c r="C170" s="2" t="s">
        <v>27</v>
      </c>
      <c r="D170" s="2">
        <v>30</v>
      </c>
      <c r="E170" s="2">
        <v>11</v>
      </c>
      <c r="F170" s="2">
        <v>10</v>
      </c>
      <c r="G170" s="2">
        <f t="shared" si="18"/>
        <v>9</v>
      </c>
      <c r="H170" s="2">
        <v>47</v>
      </c>
      <c r="I170" s="2">
        <v>27</v>
      </c>
      <c r="J170" s="3">
        <f t="shared" si="19"/>
        <v>43</v>
      </c>
    </row>
    <row r="171" spans="2:10">
      <c r="B171">
        <v>8</v>
      </c>
      <c r="C171" s="2" t="s">
        <v>4</v>
      </c>
      <c r="D171" s="2">
        <v>30</v>
      </c>
      <c r="E171" s="2">
        <v>12</v>
      </c>
      <c r="F171" s="2">
        <v>5</v>
      </c>
      <c r="G171" s="2">
        <f t="shared" si="18"/>
        <v>13</v>
      </c>
      <c r="H171" s="2">
        <v>48</v>
      </c>
      <c r="I171" s="2">
        <v>46</v>
      </c>
      <c r="J171" s="3">
        <f t="shared" si="19"/>
        <v>41</v>
      </c>
    </row>
    <row r="172" spans="2:10">
      <c r="B172">
        <v>9</v>
      </c>
      <c r="C172" s="2" t="s">
        <v>32</v>
      </c>
      <c r="D172" s="2">
        <v>30</v>
      </c>
      <c r="E172" s="2">
        <v>11</v>
      </c>
      <c r="F172" s="2">
        <v>7</v>
      </c>
      <c r="G172" s="2">
        <f t="shared" si="18"/>
        <v>12</v>
      </c>
      <c r="H172" s="2">
        <v>50</v>
      </c>
      <c r="I172" s="2">
        <v>42</v>
      </c>
      <c r="J172" s="3">
        <f t="shared" si="19"/>
        <v>40</v>
      </c>
    </row>
    <row r="173" spans="2:10">
      <c r="B173">
        <v>10</v>
      </c>
      <c r="C173" s="2" t="s">
        <v>9</v>
      </c>
      <c r="D173" s="2">
        <v>30</v>
      </c>
      <c r="E173" s="2">
        <v>11</v>
      </c>
      <c r="F173" s="2">
        <v>5</v>
      </c>
      <c r="G173" s="2">
        <f t="shared" si="18"/>
        <v>14</v>
      </c>
      <c r="H173" s="2">
        <v>42</v>
      </c>
      <c r="I173" s="2">
        <v>40</v>
      </c>
      <c r="J173" s="3">
        <f t="shared" si="19"/>
        <v>38</v>
      </c>
    </row>
    <row r="174" spans="2:10">
      <c r="B174">
        <v>11</v>
      </c>
      <c r="C174" s="2" t="s">
        <v>3</v>
      </c>
      <c r="D174" s="2">
        <v>30</v>
      </c>
      <c r="E174" s="2">
        <v>10</v>
      </c>
      <c r="F174" s="2">
        <v>4</v>
      </c>
      <c r="G174" s="2">
        <f t="shared" si="18"/>
        <v>16</v>
      </c>
      <c r="H174" s="2">
        <v>41</v>
      </c>
      <c r="I174" s="2">
        <v>54</v>
      </c>
      <c r="J174" s="3">
        <f t="shared" si="19"/>
        <v>34</v>
      </c>
    </row>
    <row r="175" spans="2:10">
      <c r="B175">
        <v>12</v>
      </c>
      <c r="C175" s="2" t="s">
        <v>25</v>
      </c>
      <c r="D175" s="2">
        <v>30</v>
      </c>
      <c r="E175" s="2">
        <v>9</v>
      </c>
      <c r="F175" s="2">
        <v>6</v>
      </c>
      <c r="G175" s="2">
        <f t="shared" si="18"/>
        <v>15</v>
      </c>
      <c r="H175" s="2">
        <v>44</v>
      </c>
      <c r="I175" s="2">
        <v>51</v>
      </c>
      <c r="J175" s="3">
        <f t="shared" si="19"/>
        <v>33</v>
      </c>
    </row>
    <row r="176" spans="2:10">
      <c r="B176">
        <v>13</v>
      </c>
      <c r="C176" s="2" t="s">
        <v>41</v>
      </c>
      <c r="D176" s="2">
        <v>30</v>
      </c>
      <c r="E176" s="2">
        <v>9</v>
      </c>
      <c r="F176" s="2">
        <v>4</v>
      </c>
      <c r="G176" s="2">
        <f t="shared" si="18"/>
        <v>17</v>
      </c>
      <c r="H176" s="2">
        <v>42</v>
      </c>
      <c r="I176" s="2">
        <v>53</v>
      </c>
      <c r="J176" s="3">
        <f t="shared" si="19"/>
        <v>31</v>
      </c>
    </row>
    <row r="177" spans="2:10">
      <c r="B177">
        <v>14</v>
      </c>
      <c r="C177" s="2" t="s">
        <v>38</v>
      </c>
      <c r="D177" s="2">
        <v>30</v>
      </c>
      <c r="E177" s="2">
        <v>4</v>
      </c>
      <c r="F177" s="2">
        <v>3</v>
      </c>
      <c r="G177" s="2">
        <f t="shared" si="18"/>
        <v>23</v>
      </c>
      <c r="H177" s="2">
        <v>26</v>
      </c>
      <c r="I177" s="2">
        <v>88</v>
      </c>
      <c r="J177" s="3">
        <f t="shared" si="19"/>
        <v>15</v>
      </c>
    </row>
    <row r="178" spans="2:10">
      <c r="B178">
        <v>15</v>
      </c>
      <c r="C178" t="s">
        <v>34</v>
      </c>
      <c r="D178">
        <v>0</v>
      </c>
      <c r="E178">
        <v>0</v>
      </c>
      <c r="F178">
        <v>0</v>
      </c>
      <c r="G178">
        <f t="shared" si="18"/>
        <v>0</v>
      </c>
      <c r="H178">
        <v>0</v>
      </c>
      <c r="I178">
        <v>0</v>
      </c>
      <c r="J178" s="1">
        <f t="shared" si="19"/>
        <v>0</v>
      </c>
    </row>
    <row r="179" spans="2:10">
      <c r="B179">
        <v>16</v>
      </c>
      <c r="C179" t="s">
        <v>34</v>
      </c>
      <c r="D179">
        <v>18</v>
      </c>
      <c r="E179">
        <v>0</v>
      </c>
      <c r="F179">
        <v>0</v>
      </c>
      <c r="G179">
        <f t="shared" si="18"/>
        <v>18</v>
      </c>
      <c r="H179">
        <v>0</v>
      </c>
      <c r="I179">
        <v>180</v>
      </c>
      <c r="J179" s="1">
        <f t="shared" si="19"/>
        <v>0</v>
      </c>
    </row>
    <row r="181" spans="2:10">
      <c r="B181" s="20" t="s">
        <v>44</v>
      </c>
      <c r="C181" s="20"/>
      <c r="D181" s="20"/>
      <c r="E181" s="20"/>
      <c r="F181" s="20"/>
      <c r="G181" s="20"/>
      <c r="H181" s="20"/>
      <c r="I181" s="20"/>
      <c r="J181" s="20"/>
    </row>
    <row r="182" spans="2:10">
      <c r="B182">
        <v>1</v>
      </c>
      <c r="C182" s="2" t="s">
        <v>24</v>
      </c>
      <c r="D182" s="2">
        <v>30</v>
      </c>
      <c r="E182" s="2">
        <v>24</v>
      </c>
      <c r="F182" s="2">
        <v>4</v>
      </c>
      <c r="G182" s="2">
        <f>D182-E182-F182</f>
        <v>2</v>
      </c>
      <c r="H182" s="2">
        <v>83</v>
      </c>
      <c r="I182" s="2">
        <v>15</v>
      </c>
      <c r="J182" s="3">
        <f>E182*3+F182*1</f>
        <v>76</v>
      </c>
    </row>
    <row r="183" spans="2:10">
      <c r="B183">
        <v>2</v>
      </c>
      <c r="C183" s="2" t="s">
        <v>23</v>
      </c>
      <c r="D183" s="2">
        <v>30</v>
      </c>
      <c r="E183" s="2">
        <v>23</v>
      </c>
      <c r="F183" s="2">
        <v>4</v>
      </c>
      <c r="G183" s="2">
        <f t="shared" ref="G183:G197" si="20">D183-E183-F183</f>
        <v>3</v>
      </c>
      <c r="H183" s="2">
        <v>106</v>
      </c>
      <c r="I183" s="2">
        <v>18</v>
      </c>
      <c r="J183" s="3">
        <f t="shared" ref="J183:J197" si="21">E183*3+F183*1</f>
        <v>73</v>
      </c>
    </row>
    <row r="184" spans="2:10">
      <c r="B184">
        <v>3</v>
      </c>
      <c r="C184" s="2" t="s">
        <v>18</v>
      </c>
      <c r="D184" s="2">
        <v>30</v>
      </c>
      <c r="E184" s="2">
        <v>21</v>
      </c>
      <c r="F184" s="2">
        <v>3</v>
      </c>
      <c r="G184" s="2">
        <f t="shared" si="20"/>
        <v>6</v>
      </c>
      <c r="H184" s="2">
        <v>104</v>
      </c>
      <c r="I184" s="2">
        <v>30</v>
      </c>
      <c r="J184" s="3">
        <f t="shared" si="21"/>
        <v>66</v>
      </c>
    </row>
    <row r="185" spans="2:10">
      <c r="B185">
        <v>4</v>
      </c>
      <c r="C185" s="2" t="s">
        <v>32</v>
      </c>
      <c r="D185" s="2">
        <v>30</v>
      </c>
      <c r="E185" s="2">
        <v>19</v>
      </c>
      <c r="F185" s="2">
        <v>6</v>
      </c>
      <c r="G185" s="2">
        <f t="shared" si="20"/>
        <v>5</v>
      </c>
      <c r="H185" s="2">
        <v>83</v>
      </c>
      <c r="I185" s="2">
        <v>22</v>
      </c>
      <c r="J185" s="3">
        <f t="shared" si="21"/>
        <v>63</v>
      </c>
    </row>
    <row r="186" spans="2:10">
      <c r="B186">
        <v>5</v>
      </c>
      <c r="C186" s="2" t="s">
        <v>27</v>
      </c>
      <c r="D186" s="2">
        <v>30</v>
      </c>
      <c r="E186" s="2">
        <v>19</v>
      </c>
      <c r="F186" s="2">
        <v>4</v>
      </c>
      <c r="G186" s="2">
        <f t="shared" si="20"/>
        <v>7</v>
      </c>
      <c r="H186" s="2">
        <v>92</v>
      </c>
      <c r="I186" s="2">
        <v>29</v>
      </c>
      <c r="J186" s="3">
        <f t="shared" si="21"/>
        <v>61</v>
      </c>
    </row>
    <row r="187" spans="2:10">
      <c r="B187">
        <v>6</v>
      </c>
      <c r="C187" s="2" t="s">
        <v>43</v>
      </c>
      <c r="D187" s="2">
        <v>30</v>
      </c>
      <c r="E187" s="2">
        <v>16</v>
      </c>
      <c r="F187" s="2">
        <v>5</v>
      </c>
      <c r="G187" s="2">
        <f t="shared" si="20"/>
        <v>9</v>
      </c>
      <c r="H187" s="2">
        <v>73</v>
      </c>
      <c r="I187" s="2">
        <v>30</v>
      </c>
      <c r="J187" s="3">
        <f t="shared" si="21"/>
        <v>53</v>
      </c>
    </row>
    <row r="188" spans="2:10">
      <c r="B188">
        <v>7</v>
      </c>
      <c r="C188" s="2" t="s">
        <v>33</v>
      </c>
      <c r="D188" s="2">
        <v>30</v>
      </c>
      <c r="E188" s="2">
        <v>13</v>
      </c>
      <c r="F188" s="2">
        <v>7</v>
      </c>
      <c r="G188" s="2">
        <f t="shared" si="20"/>
        <v>10</v>
      </c>
      <c r="H188" s="2">
        <v>71</v>
      </c>
      <c r="I188" s="2">
        <v>39</v>
      </c>
      <c r="J188" s="3">
        <f t="shared" si="21"/>
        <v>46</v>
      </c>
    </row>
    <row r="189" spans="2:10">
      <c r="B189">
        <v>8</v>
      </c>
      <c r="C189" s="2" t="s">
        <v>25</v>
      </c>
      <c r="D189" s="2">
        <v>30</v>
      </c>
      <c r="E189" s="2">
        <v>13</v>
      </c>
      <c r="F189" s="2">
        <v>6</v>
      </c>
      <c r="G189" s="2">
        <f t="shared" si="20"/>
        <v>11</v>
      </c>
      <c r="H189" s="2">
        <v>74</v>
      </c>
      <c r="I189" s="2">
        <v>50</v>
      </c>
      <c r="J189" s="3">
        <f t="shared" si="21"/>
        <v>45</v>
      </c>
    </row>
    <row r="190" spans="2:10">
      <c r="B190">
        <v>9</v>
      </c>
      <c r="C190" s="2" t="s">
        <v>9</v>
      </c>
      <c r="D190" s="2">
        <v>30</v>
      </c>
      <c r="E190" s="2">
        <v>10</v>
      </c>
      <c r="F190" s="2">
        <v>7</v>
      </c>
      <c r="G190" s="2">
        <f t="shared" si="20"/>
        <v>13</v>
      </c>
      <c r="H190" s="2">
        <v>64</v>
      </c>
      <c r="I190" s="2">
        <v>45</v>
      </c>
      <c r="J190" s="3">
        <f t="shared" si="21"/>
        <v>37</v>
      </c>
    </row>
    <row r="191" spans="2:10">
      <c r="B191">
        <v>10</v>
      </c>
      <c r="C191" s="2" t="s">
        <v>4</v>
      </c>
      <c r="D191" s="2">
        <v>30</v>
      </c>
      <c r="E191" s="2">
        <v>10</v>
      </c>
      <c r="F191" s="2">
        <v>7</v>
      </c>
      <c r="G191" s="2">
        <f t="shared" si="20"/>
        <v>13</v>
      </c>
      <c r="H191" s="2">
        <v>52</v>
      </c>
      <c r="I191" s="2">
        <v>56</v>
      </c>
      <c r="J191" s="3">
        <f t="shared" si="21"/>
        <v>37</v>
      </c>
    </row>
    <row r="192" spans="2:10">
      <c r="B192">
        <v>11</v>
      </c>
      <c r="C192" s="2" t="s">
        <v>3</v>
      </c>
      <c r="D192" s="2">
        <v>30</v>
      </c>
      <c r="E192" s="2">
        <v>10</v>
      </c>
      <c r="F192" s="2">
        <v>5</v>
      </c>
      <c r="G192" s="2">
        <f t="shared" si="20"/>
        <v>15</v>
      </c>
      <c r="H192" s="2">
        <v>52</v>
      </c>
      <c r="I192" s="2">
        <v>58</v>
      </c>
      <c r="J192" s="3">
        <f t="shared" si="21"/>
        <v>35</v>
      </c>
    </row>
    <row r="193" spans="2:10">
      <c r="B193">
        <v>12</v>
      </c>
      <c r="C193" s="2" t="s">
        <v>45</v>
      </c>
      <c r="D193" s="2">
        <v>30</v>
      </c>
      <c r="E193" s="2">
        <v>9</v>
      </c>
      <c r="F193" s="2">
        <v>4</v>
      </c>
      <c r="G193" s="2">
        <f t="shared" si="20"/>
        <v>17</v>
      </c>
      <c r="H193" s="2">
        <v>45</v>
      </c>
      <c r="I193" s="2">
        <v>57</v>
      </c>
      <c r="J193" s="3">
        <f t="shared" si="21"/>
        <v>31</v>
      </c>
    </row>
    <row r="194" spans="2:10">
      <c r="B194">
        <v>13</v>
      </c>
      <c r="C194" s="2" t="s">
        <v>41</v>
      </c>
      <c r="D194" s="2">
        <v>30</v>
      </c>
      <c r="E194" s="2">
        <v>9</v>
      </c>
      <c r="F194" s="2">
        <v>4</v>
      </c>
      <c r="G194" s="2">
        <f t="shared" si="20"/>
        <v>17</v>
      </c>
      <c r="H194" s="2">
        <v>57</v>
      </c>
      <c r="I194" s="2">
        <v>73</v>
      </c>
      <c r="J194" s="3">
        <f t="shared" si="21"/>
        <v>31</v>
      </c>
    </row>
    <row r="195" spans="2:10">
      <c r="B195">
        <v>14</v>
      </c>
      <c r="C195" s="2" t="s">
        <v>38</v>
      </c>
      <c r="D195" s="2">
        <v>30</v>
      </c>
      <c r="E195" s="2">
        <v>3</v>
      </c>
      <c r="F195" s="2">
        <v>1</v>
      </c>
      <c r="G195" s="2">
        <f t="shared" si="20"/>
        <v>26</v>
      </c>
      <c r="H195" s="2">
        <v>23</v>
      </c>
      <c r="I195" s="2">
        <v>122</v>
      </c>
      <c r="J195" s="3">
        <f t="shared" si="21"/>
        <v>10</v>
      </c>
    </row>
    <row r="196" spans="2:10">
      <c r="B196">
        <v>15</v>
      </c>
      <c r="C196" t="s">
        <v>34</v>
      </c>
      <c r="D196">
        <v>21</v>
      </c>
      <c r="E196">
        <v>2</v>
      </c>
      <c r="F196">
        <v>0</v>
      </c>
      <c r="G196">
        <f t="shared" si="20"/>
        <v>19</v>
      </c>
      <c r="H196">
        <v>5</v>
      </c>
      <c r="I196">
        <v>177</v>
      </c>
      <c r="J196" s="1">
        <f t="shared" si="21"/>
        <v>6</v>
      </c>
    </row>
    <row r="197" spans="2:10">
      <c r="B197">
        <v>16</v>
      </c>
      <c r="C197" t="s">
        <v>34</v>
      </c>
      <c r="D197">
        <v>14</v>
      </c>
      <c r="E197">
        <v>1</v>
      </c>
      <c r="F197">
        <v>0</v>
      </c>
      <c r="G197">
        <f t="shared" si="20"/>
        <v>13</v>
      </c>
      <c r="H197">
        <v>3</v>
      </c>
      <c r="I197">
        <v>123</v>
      </c>
      <c r="J197" s="1">
        <f t="shared" si="21"/>
        <v>3</v>
      </c>
    </row>
    <row r="199" spans="2:10">
      <c r="B199" s="20" t="s">
        <v>46</v>
      </c>
      <c r="C199" s="20"/>
      <c r="D199" s="20"/>
      <c r="E199" s="20"/>
      <c r="F199" s="20"/>
      <c r="G199" s="20"/>
      <c r="H199" s="20"/>
      <c r="I199" s="20"/>
      <c r="J199" s="20"/>
    </row>
    <row r="200" spans="2:10">
      <c r="B200">
        <v>1</v>
      </c>
      <c r="C200" s="2" t="s">
        <v>24</v>
      </c>
      <c r="D200" s="2">
        <v>30</v>
      </c>
      <c r="E200" s="2">
        <v>27</v>
      </c>
      <c r="F200" s="2">
        <v>3</v>
      </c>
      <c r="G200" s="2">
        <f>D200-E200-F200</f>
        <v>0</v>
      </c>
      <c r="H200" s="2">
        <v>115</v>
      </c>
      <c r="I200" s="2">
        <v>8</v>
      </c>
      <c r="J200" s="3">
        <f>E200*3+F200*1</f>
        <v>84</v>
      </c>
    </row>
    <row r="201" spans="2:10">
      <c r="B201">
        <v>2</v>
      </c>
      <c r="C201" s="2" t="s">
        <v>18</v>
      </c>
      <c r="D201" s="2">
        <v>30</v>
      </c>
      <c r="E201" s="2">
        <v>21</v>
      </c>
      <c r="F201" s="2">
        <v>5</v>
      </c>
      <c r="G201" s="2">
        <f t="shared" ref="G201:G215" si="22">D201-E201-F201</f>
        <v>4</v>
      </c>
      <c r="H201" s="2">
        <v>142</v>
      </c>
      <c r="I201" s="2">
        <v>28</v>
      </c>
      <c r="J201" s="3">
        <f t="shared" ref="J201:J215" si="23">E201*3+F201*1</f>
        <v>68</v>
      </c>
    </row>
    <row r="202" spans="2:10">
      <c r="B202">
        <v>3</v>
      </c>
      <c r="C202" s="2" t="s">
        <v>33</v>
      </c>
      <c r="D202" s="2">
        <v>30</v>
      </c>
      <c r="E202" s="2">
        <v>21</v>
      </c>
      <c r="F202" s="2">
        <v>3</v>
      </c>
      <c r="G202" s="2">
        <f t="shared" si="22"/>
        <v>6</v>
      </c>
      <c r="H202" s="2">
        <v>121</v>
      </c>
      <c r="I202" s="2">
        <v>25</v>
      </c>
      <c r="J202" s="3">
        <f t="shared" si="23"/>
        <v>66</v>
      </c>
    </row>
    <row r="203" spans="2:10">
      <c r="B203">
        <v>4</v>
      </c>
      <c r="C203" s="2" t="s">
        <v>23</v>
      </c>
      <c r="D203" s="2">
        <v>30</v>
      </c>
      <c r="E203" s="2">
        <v>20</v>
      </c>
      <c r="F203" s="2">
        <v>5</v>
      </c>
      <c r="G203" s="2">
        <f t="shared" si="22"/>
        <v>5</v>
      </c>
      <c r="H203" s="2">
        <v>116</v>
      </c>
      <c r="I203" s="2">
        <v>25</v>
      </c>
      <c r="J203" s="3">
        <f t="shared" si="23"/>
        <v>65</v>
      </c>
    </row>
    <row r="204" spans="2:10">
      <c r="B204">
        <v>5</v>
      </c>
      <c r="C204" s="2" t="s">
        <v>32</v>
      </c>
      <c r="D204" s="2">
        <v>30</v>
      </c>
      <c r="E204" s="2">
        <v>20</v>
      </c>
      <c r="F204" s="2">
        <v>4</v>
      </c>
      <c r="G204" s="2">
        <f t="shared" si="22"/>
        <v>6</v>
      </c>
      <c r="H204" s="2">
        <v>92</v>
      </c>
      <c r="I204" s="2">
        <v>22</v>
      </c>
      <c r="J204" s="3">
        <f t="shared" si="23"/>
        <v>64</v>
      </c>
    </row>
    <row r="205" spans="2:10">
      <c r="B205">
        <v>6</v>
      </c>
      <c r="C205" s="2" t="s">
        <v>43</v>
      </c>
      <c r="D205" s="2">
        <v>30</v>
      </c>
      <c r="E205" s="2">
        <v>17</v>
      </c>
      <c r="F205" s="2">
        <v>3</v>
      </c>
      <c r="G205" s="2">
        <f t="shared" si="22"/>
        <v>10</v>
      </c>
      <c r="H205" s="2">
        <v>100</v>
      </c>
      <c r="I205" s="2">
        <v>36</v>
      </c>
      <c r="J205" s="3">
        <f t="shared" si="23"/>
        <v>54</v>
      </c>
    </row>
    <row r="206" spans="2:10">
      <c r="B206">
        <v>7</v>
      </c>
      <c r="C206" s="2" t="s">
        <v>27</v>
      </c>
      <c r="D206" s="2">
        <v>30</v>
      </c>
      <c r="E206" s="2">
        <v>16</v>
      </c>
      <c r="F206" s="2">
        <v>2</v>
      </c>
      <c r="G206" s="2">
        <f t="shared" si="22"/>
        <v>12</v>
      </c>
      <c r="H206" s="2">
        <v>96</v>
      </c>
      <c r="I206" s="2">
        <v>38</v>
      </c>
      <c r="J206" s="3">
        <f t="shared" si="23"/>
        <v>50</v>
      </c>
    </row>
    <row r="207" spans="2:10">
      <c r="B207">
        <v>8</v>
      </c>
      <c r="C207" s="2" t="s">
        <v>4</v>
      </c>
      <c r="D207" s="2">
        <v>30</v>
      </c>
      <c r="E207" s="2">
        <v>14</v>
      </c>
      <c r="F207" s="2">
        <v>4</v>
      </c>
      <c r="G207" s="2">
        <f t="shared" si="22"/>
        <v>12</v>
      </c>
      <c r="H207" s="2">
        <v>93</v>
      </c>
      <c r="I207" s="2">
        <v>34</v>
      </c>
      <c r="J207" s="3">
        <f t="shared" si="23"/>
        <v>46</v>
      </c>
    </row>
    <row r="208" spans="2:10">
      <c r="B208">
        <v>9</v>
      </c>
      <c r="C208" s="2" t="s">
        <v>9</v>
      </c>
      <c r="D208" s="2">
        <v>30</v>
      </c>
      <c r="E208" s="2">
        <v>12</v>
      </c>
      <c r="F208" s="2">
        <v>7</v>
      </c>
      <c r="G208" s="2">
        <f t="shared" si="22"/>
        <v>11</v>
      </c>
      <c r="H208" s="2">
        <v>87</v>
      </c>
      <c r="I208" s="2">
        <v>46</v>
      </c>
      <c r="J208" s="3">
        <f t="shared" si="23"/>
        <v>43</v>
      </c>
    </row>
    <row r="209" spans="2:10">
      <c r="B209">
        <v>10</v>
      </c>
      <c r="C209" s="2" t="s">
        <v>47</v>
      </c>
      <c r="D209" s="2">
        <v>30</v>
      </c>
      <c r="E209" s="2">
        <v>12</v>
      </c>
      <c r="F209" s="2">
        <v>3</v>
      </c>
      <c r="G209" s="2">
        <f t="shared" si="22"/>
        <v>15</v>
      </c>
      <c r="H209" s="2">
        <v>85</v>
      </c>
      <c r="I209" s="2">
        <v>52</v>
      </c>
      <c r="J209" s="3">
        <f t="shared" si="23"/>
        <v>39</v>
      </c>
    </row>
    <row r="210" spans="2:10">
      <c r="B210">
        <v>11</v>
      </c>
      <c r="C210" s="2" t="s">
        <v>41</v>
      </c>
      <c r="D210" s="2">
        <v>30</v>
      </c>
      <c r="E210" s="2">
        <v>11</v>
      </c>
      <c r="F210" s="2">
        <v>3</v>
      </c>
      <c r="G210" s="2">
        <f t="shared" si="22"/>
        <v>16</v>
      </c>
      <c r="H210" s="2">
        <v>70</v>
      </c>
      <c r="I210" s="2">
        <v>58</v>
      </c>
      <c r="J210" s="3">
        <f t="shared" si="23"/>
        <v>36</v>
      </c>
    </row>
    <row r="211" spans="2:10">
      <c r="B211">
        <v>12</v>
      </c>
      <c r="C211" s="2" t="s">
        <v>48</v>
      </c>
      <c r="D211" s="2">
        <v>30</v>
      </c>
      <c r="E211" s="2">
        <v>10</v>
      </c>
      <c r="F211" s="2">
        <v>5</v>
      </c>
      <c r="G211" s="2">
        <f t="shared" si="22"/>
        <v>15</v>
      </c>
      <c r="H211" s="2">
        <v>70</v>
      </c>
      <c r="I211" s="2">
        <v>55</v>
      </c>
      <c r="J211" s="3">
        <f t="shared" si="23"/>
        <v>35</v>
      </c>
    </row>
    <row r="212" spans="2:10">
      <c r="B212">
        <v>13</v>
      </c>
      <c r="C212" t="s">
        <v>34</v>
      </c>
      <c r="D212">
        <v>24</v>
      </c>
      <c r="E212">
        <v>2</v>
      </c>
      <c r="F212">
        <v>1</v>
      </c>
      <c r="G212">
        <f t="shared" si="22"/>
        <v>21</v>
      </c>
      <c r="H212">
        <v>4</v>
      </c>
      <c r="I212">
        <v>210</v>
      </c>
      <c r="J212" s="1">
        <f t="shared" si="23"/>
        <v>7</v>
      </c>
    </row>
    <row r="213" spans="2:10">
      <c r="B213">
        <v>14</v>
      </c>
      <c r="C213" t="s">
        <v>34</v>
      </c>
      <c r="D213">
        <v>26</v>
      </c>
      <c r="E213">
        <v>2</v>
      </c>
      <c r="F213">
        <v>1</v>
      </c>
      <c r="G213">
        <f t="shared" si="22"/>
        <v>23</v>
      </c>
      <c r="H213">
        <v>3</v>
      </c>
      <c r="I213">
        <v>236</v>
      </c>
      <c r="J213" s="1">
        <f t="shared" si="23"/>
        <v>7</v>
      </c>
    </row>
    <row r="214" spans="2:10">
      <c r="B214">
        <v>15</v>
      </c>
      <c r="C214" t="s">
        <v>34</v>
      </c>
      <c r="D214">
        <v>17</v>
      </c>
      <c r="E214">
        <v>2</v>
      </c>
      <c r="F214">
        <v>0</v>
      </c>
      <c r="G214">
        <f t="shared" si="22"/>
        <v>15</v>
      </c>
      <c r="H214">
        <v>4</v>
      </c>
      <c r="I214">
        <v>144</v>
      </c>
      <c r="J214" s="1">
        <f t="shared" si="23"/>
        <v>6</v>
      </c>
    </row>
    <row r="215" spans="2:10">
      <c r="B215">
        <v>16</v>
      </c>
      <c r="C215" t="s">
        <v>34</v>
      </c>
      <c r="D215">
        <v>13</v>
      </c>
      <c r="E215">
        <v>0</v>
      </c>
      <c r="F215">
        <v>0</v>
      </c>
      <c r="G215">
        <f t="shared" si="22"/>
        <v>13</v>
      </c>
      <c r="H215">
        <v>0</v>
      </c>
      <c r="I215">
        <v>111</v>
      </c>
      <c r="J215" s="1">
        <f t="shared" si="23"/>
        <v>0</v>
      </c>
    </row>
    <row r="217" spans="2:10">
      <c r="B217" s="20" t="s">
        <v>49</v>
      </c>
      <c r="C217" s="20"/>
      <c r="D217" s="20"/>
      <c r="E217" s="20"/>
      <c r="F217" s="20"/>
      <c r="G217" s="20"/>
      <c r="H217" s="20"/>
      <c r="I217" s="20"/>
      <c r="J217" s="20"/>
    </row>
    <row r="218" spans="2:10">
      <c r="B218">
        <v>1</v>
      </c>
      <c r="C218" s="2" t="s">
        <v>43</v>
      </c>
      <c r="D218" s="2">
        <v>30</v>
      </c>
      <c r="E218" s="2">
        <v>25</v>
      </c>
      <c r="F218" s="2">
        <v>3</v>
      </c>
      <c r="G218" s="2">
        <f>D218-E218-F218</f>
        <v>2</v>
      </c>
      <c r="H218" s="2">
        <v>104</v>
      </c>
      <c r="I218" s="2">
        <v>15</v>
      </c>
      <c r="J218" s="3">
        <f>E218*3+F218*1</f>
        <v>78</v>
      </c>
    </row>
    <row r="219" spans="2:10">
      <c r="B219">
        <v>2</v>
      </c>
      <c r="C219" s="2" t="s">
        <v>24</v>
      </c>
      <c r="D219" s="2">
        <v>30</v>
      </c>
      <c r="E219" s="2">
        <v>24</v>
      </c>
      <c r="F219" s="2">
        <v>3</v>
      </c>
      <c r="G219" s="2">
        <f t="shared" ref="G219:G233" si="24">D219-E219-F219</f>
        <v>3</v>
      </c>
      <c r="H219" s="2">
        <v>103</v>
      </c>
      <c r="I219" s="2">
        <v>26</v>
      </c>
      <c r="J219" s="3">
        <f t="shared" ref="J219:J233" si="25">E219*3+F219*1</f>
        <v>75</v>
      </c>
    </row>
    <row r="220" spans="2:10">
      <c r="B220">
        <v>3</v>
      </c>
      <c r="C220" s="2" t="s">
        <v>18</v>
      </c>
      <c r="D220" s="2">
        <v>30</v>
      </c>
      <c r="E220" s="2">
        <v>22</v>
      </c>
      <c r="F220" s="2">
        <v>4</v>
      </c>
      <c r="G220" s="2">
        <f t="shared" si="24"/>
        <v>4</v>
      </c>
      <c r="H220" s="2">
        <v>120</v>
      </c>
      <c r="I220" s="2">
        <v>27</v>
      </c>
      <c r="J220" s="3">
        <f t="shared" si="25"/>
        <v>70</v>
      </c>
    </row>
    <row r="221" spans="2:10">
      <c r="B221">
        <v>4</v>
      </c>
      <c r="C221" s="2" t="s">
        <v>33</v>
      </c>
      <c r="D221" s="2">
        <v>30</v>
      </c>
      <c r="E221" s="2">
        <v>21</v>
      </c>
      <c r="F221" s="2">
        <v>3</v>
      </c>
      <c r="G221" s="2">
        <f t="shared" si="24"/>
        <v>6</v>
      </c>
      <c r="H221" s="2">
        <v>86</v>
      </c>
      <c r="I221" s="2">
        <v>31</v>
      </c>
      <c r="J221" s="3">
        <f t="shared" si="25"/>
        <v>66</v>
      </c>
    </row>
    <row r="222" spans="2:10">
      <c r="B222">
        <v>5</v>
      </c>
      <c r="C222" s="2" t="s">
        <v>32</v>
      </c>
      <c r="D222" s="2">
        <v>30</v>
      </c>
      <c r="E222" s="2">
        <v>20</v>
      </c>
      <c r="F222" s="2">
        <v>3</v>
      </c>
      <c r="G222" s="2">
        <f t="shared" si="24"/>
        <v>7</v>
      </c>
      <c r="H222" s="2">
        <v>72</v>
      </c>
      <c r="I222" s="2">
        <v>22</v>
      </c>
      <c r="J222" s="3">
        <f t="shared" si="25"/>
        <v>63</v>
      </c>
    </row>
    <row r="223" spans="2:10">
      <c r="B223">
        <v>6</v>
      </c>
      <c r="C223" s="2" t="s">
        <v>27</v>
      </c>
      <c r="D223" s="2">
        <v>30</v>
      </c>
      <c r="E223" s="2">
        <v>15</v>
      </c>
      <c r="F223" s="2">
        <v>9</v>
      </c>
      <c r="G223" s="2">
        <f t="shared" si="24"/>
        <v>6</v>
      </c>
      <c r="H223" s="2">
        <v>69</v>
      </c>
      <c r="I223" s="2">
        <v>29</v>
      </c>
      <c r="J223" s="3">
        <f t="shared" si="25"/>
        <v>54</v>
      </c>
    </row>
    <row r="224" spans="2:10">
      <c r="B224">
        <v>7</v>
      </c>
      <c r="C224" s="2" t="s">
        <v>50</v>
      </c>
      <c r="D224" s="2">
        <v>30</v>
      </c>
      <c r="E224" s="2">
        <v>13</v>
      </c>
      <c r="F224" s="2">
        <v>2</v>
      </c>
      <c r="G224" s="2">
        <f t="shared" si="24"/>
        <v>15</v>
      </c>
      <c r="H224" s="2">
        <v>49</v>
      </c>
      <c r="I224" s="2">
        <v>55</v>
      </c>
      <c r="J224" s="3">
        <f t="shared" si="25"/>
        <v>41</v>
      </c>
    </row>
    <row r="225" spans="2:10">
      <c r="B225">
        <v>8</v>
      </c>
      <c r="C225" s="2" t="s">
        <v>47</v>
      </c>
      <c r="D225" s="2">
        <v>30</v>
      </c>
      <c r="E225" s="2">
        <v>12</v>
      </c>
      <c r="F225" s="2">
        <v>4</v>
      </c>
      <c r="G225" s="2">
        <f t="shared" si="24"/>
        <v>14</v>
      </c>
      <c r="H225" s="2">
        <v>60</v>
      </c>
      <c r="I225" s="2">
        <v>41</v>
      </c>
      <c r="J225" s="3">
        <f t="shared" si="25"/>
        <v>40</v>
      </c>
    </row>
    <row r="226" spans="2:10">
      <c r="B226">
        <v>9</v>
      </c>
      <c r="C226" s="2" t="s">
        <v>51</v>
      </c>
      <c r="D226" s="2">
        <v>30</v>
      </c>
      <c r="E226" s="2">
        <v>12</v>
      </c>
      <c r="F226" s="2">
        <v>2</v>
      </c>
      <c r="G226" s="2">
        <f t="shared" si="24"/>
        <v>16</v>
      </c>
      <c r="H226" s="2">
        <v>56</v>
      </c>
      <c r="I226" s="2">
        <v>50</v>
      </c>
      <c r="J226" s="3">
        <f t="shared" si="25"/>
        <v>38</v>
      </c>
    </row>
    <row r="227" spans="2:10">
      <c r="B227">
        <v>10</v>
      </c>
      <c r="C227" s="2" t="s">
        <v>48</v>
      </c>
      <c r="D227" s="2">
        <v>30</v>
      </c>
      <c r="E227" s="2">
        <v>8</v>
      </c>
      <c r="F227" s="2">
        <v>8</v>
      </c>
      <c r="G227" s="2">
        <f t="shared" si="24"/>
        <v>14</v>
      </c>
      <c r="H227" s="2">
        <v>46</v>
      </c>
      <c r="I227" s="2">
        <v>59</v>
      </c>
      <c r="J227" s="3">
        <f t="shared" si="25"/>
        <v>32</v>
      </c>
    </row>
    <row r="228" spans="2:10">
      <c r="B228">
        <v>11</v>
      </c>
      <c r="C228" s="2" t="s">
        <v>52</v>
      </c>
      <c r="D228" s="2">
        <v>30</v>
      </c>
      <c r="E228" s="2">
        <v>9</v>
      </c>
      <c r="F228" s="2">
        <v>5</v>
      </c>
      <c r="G228" s="2">
        <f t="shared" si="24"/>
        <v>16</v>
      </c>
      <c r="H228" s="2">
        <v>45</v>
      </c>
      <c r="I228" s="2">
        <v>72</v>
      </c>
      <c r="J228" s="3">
        <f t="shared" si="25"/>
        <v>32</v>
      </c>
    </row>
    <row r="229" spans="2:10">
      <c r="B229">
        <v>12</v>
      </c>
      <c r="C229" s="2" t="s">
        <v>53</v>
      </c>
      <c r="D229" s="2">
        <v>30</v>
      </c>
      <c r="E229" s="2">
        <v>8</v>
      </c>
      <c r="F229" s="2">
        <v>3</v>
      </c>
      <c r="G229" s="2">
        <f t="shared" si="24"/>
        <v>19</v>
      </c>
      <c r="H229" s="2">
        <v>31</v>
      </c>
      <c r="I229" s="2">
        <v>50</v>
      </c>
      <c r="J229" s="3">
        <f t="shared" si="25"/>
        <v>27</v>
      </c>
    </row>
    <row r="230" spans="2:10">
      <c r="B230">
        <v>13</v>
      </c>
      <c r="C230" s="2" t="s">
        <v>9</v>
      </c>
      <c r="D230" s="2">
        <v>30</v>
      </c>
      <c r="E230" s="2">
        <v>3</v>
      </c>
      <c r="F230" s="2">
        <v>6</v>
      </c>
      <c r="G230" s="2">
        <f t="shared" si="24"/>
        <v>21</v>
      </c>
      <c r="H230" s="2">
        <v>17</v>
      </c>
      <c r="I230" s="2">
        <v>64</v>
      </c>
      <c r="J230" s="3">
        <f t="shared" si="25"/>
        <v>15</v>
      </c>
    </row>
    <row r="231" spans="2:10">
      <c r="B231">
        <v>14</v>
      </c>
      <c r="C231" s="2" t="s">
        <v>41</v>
      </c>
      <c r="D231" s="2">
        <v>30</v>
      </c>
      <c r="E231" s="2">
        <v>3</v>
      </c>
      <c r="F231" s="2">
        <v>5</v>
      </c>
      <c r="G231" s="2">
        <f t="shared" si="24"/>
        <v>22</v>
      </c>
      <c r="H231" s="2">
        <v>26</v>
      </c>
      <c r="I231" s="2">
        <v>73</v>
      </c>
      <c r="J231" s="3">
        <f t="shared" si="25"/>
        <v>14</v>
      </c>
    </row>
    <row r="232" spans="2:10">
      <c r="B232">
        <v>15</v>
      </c>
      <c r="C232" t="s">
        <v>34</v>
      </c>
      <c r="D232">
        <v>30</v>
      </c>
      <c r="E232">
        <v>2</v>
      </c>
      <c r="F232">
        <v>0</v>
      </c>
      <c r="G232">
        <f t="shared" si="24"/>
        <v>28</v>
      </c>
      <c r="H232">
        <v>6</v>
      </c>
      <c r="I232">
        <v>283</v>
      </c>
      <c r="J232" s="1">
        <f t="shared" si="25"/>
        <v>6</v>
      </c>
    </row>
    <row r="233" spans="2:10">
      <c r="B233">
        <v>16</v>
      </c>
      <c r="C233" t="s">
        <v>34</v>
      </c>
      <c r="D233">
        <v>1</v>
      </c>
      <c r="E233">
        <v>0</v>
      </c>
      <c r="F233">
        <v>0</v>
      </c>
      <c r="G233">
        <f t="shared" si="24"/>
        <v>1</v>
      </c>
      <c r="H233">
        <v>0</v>
      </c>
      <c r="I233">
        <v>9</v>
      </c>
      <c r="J233" s="1">
        <f t="shared" si="25"/>
        <v>0</v>
      </c>
    </row>
    <row r="235" spans="2:10">
      <c r="B235" s="20" t="s">
        <v>54</v>
      </c>
      <c r="C235" s="20"/>
      <c r="D235" s="20"/>
      <c r="E235" s="20"/>
      <c r="F235" s="20"/>
      <c r="G235" s="20"/>
      <c r="H235" s="20"/>
      <c r="I235" s="20"/>
      <c r="J235" s="20"/>
    </row>
    <row r="236" spans="2:10">
      <c r="B236">
        <v>1</v>
      </c>
      <c r="C236" s="2" t="s">
        <v>18</v>
      </c>
      <c r="D236" s="2">
        <v>30</v>
      </c>
      <c r="E236" s="2">
        <v>27</v>
      </c>
      <c r="F236" s="2">
        <v>1</v>
      </c>
      <c r="G236" s="2">
        <f>D236-E236-F236</f>
        <v>2</v>
      </c>
      <c r="H236" s="2">
        <v>163</v>
      </c>
      <c r="I236" s="2">
        <v>16</v>
      </c>
      <c r="J236" s="3">
        <f>E236*3+F236*1</f>
        <v>82</v>
      </c>
    </row>
    <row r="237" spans="2:10">
      <c r="B237">
        <v>2</v>
      </c>
      <c r="C237" s="2" t="s">
        <v>43</v>
      </c>
      <c r="D237" s="2">
        <v>30</v>
      </c>
      <c r="E237" s="2">
        <v>25</v>
      </c>
      <c r="F237" s="2">
        <v>2</v>
      </c>
      <c r="G237" s="2">
        <f t="shared" ref="G237:G251" si="26">D237-E237-F237</f>
        <v>3</v>
      </c>
      <c r="H237" s="2">
        <v>108</v>
      </c>
      <c r="I237" s="2">
        <v>17</v>
      </c>
      <c r="J237" s="3">
        <f t="shared" ref="J237:J251" si="27">E237*3+F237*1</f>
        <v>77</v>
      </c>
    </row>
    <row r="238" spans="2:10">
      <c r="B238">
        <v>3</v>
      </c>
      <c r="C238" s="2" t="s">
        <v>32</v>
      </c>
      <c r="D238" s="2">
        <v>30</v>
      </c>
      <c r="E238" s="2">
        <v>21</v>
      </c>
      <c r="F238" s="2">
        <v>7</v>
      </c>
      <c r="G238" s="2">
        <f t="shared" si="26"/>
        <v>2</v>
      </c>
      <c r="H238" s="2">
        <v>104</v>
      </c>
      <c r="I238" s="2">
        <v>17</v>
      </c>
      <c r="J238" s="3">
        <f t="shared" si="27"/>
        <v>70</v>
      </c>
    </row>
    <row r="239" spans="2:10">
      <c r="B239">
        <v>4</v>
      </c>
      <c r="C239" s="2" t="s">
        <v>33</v>
      </c>
      <c r="D239" s="2">
        <v>30</v>
      </c>
      <c r="E239" s="2">
        <v>18</v>
      </c>
      <c r="F239" s="2">
        <v>6</v>
      </c>
      <c r="G239" s="2">
        <f t="shared" si="26"/>
        <v>6</v>
      </c>
      <c r="H239" s="2">
        <v>105</v>
      </c>
      <c r="I239" s="2">
        <v>30</v>
      </c>
      <c r="J239" s="3">
        <f t="shared" si="27"/>
        <v>60</v>
      </c>
    </row>
    <row r="240" spans="2:10">
      <c r="B240">
        <v>5</v>
      </c>
      <c r="C240" s="2" t="s">
        <v>27</v>
      </c>
      <c r="D240" s="2">
        <v>30</v>
      </c>
      <c r="E240" s="2">
        <v>17</v>
      </c>
      <c r="F240" s="2">
        <v>7</v>
      </c>
      <c r="G240" s="2">
        <f t="shared" si="26"/>
        <v>6</v>
      </c>
      <c r="H240" s="2">
        <v>78</v>
      </c>
      <c r="I240" s="2">
        <v>18</v>
      </c>
      <c r="J240" s="3">
        <f t="shared" si="27"/>
        <v>58</v>
      </c>
    </row>
    <row r="241" spans="2:10">
      <c r="B241">
        <v>6</v>
      </c>
      <c r="C241" s="2" t="s">
        <v>51</v>
      </c>
      <c r="D241" s="2">
        <v>30</v>
      </c>
      <c r="E241" s="2">
        <v>17</v>
      </c>
      <c r="F241" s="2">
        <v>4</v>
      </c>
      <c r="G241" s="2">
        <f t="shared" si="26"/>
        <v>9</v>
      </c>
      <c r="H241" s="2">
        <v>82</v>
      </c>
      <c r="I241" s="2">
        <v>36</v>
      </c>
      <c r="J241" s="3">
        <f t="shared" si="27"/>
        <v>55</v>
      </c>
    </row>
    <row r="242" spans="2:10">
      <c r="B242">
        <v>7</v>
      </c>
      <c r="C242" s="2" t="s">
        <v>55</v>
      </c>
      <c r="D242" s="2">
        <v>30</v>
      </c>
      <c r="E242" s="2">
        <v>14</v>
      </c>
      <c r="F242" s="2">
        <v>4</v>
      </c>
      <c r="G242" s="2">
        <f t="shared" si="26"/>
        <v>12</v>
      </c>
      <c r="H242" s="2">
        <v>64</v>
      </c>
      <c r="I242" s="2">
        <v>37</v>
      </c>
      <c r="J242" s="3">
        <f t="shared" si="27"/>
        <v>46</v>
      </c>
    </row>
    <row r="243" spans="2:10">
      <c r="B243">
        <v>8</v>
      </c>
      <c r="C243" s="2" t="s">
        <v>53</v>
      </c>
      <c r="D243" s="2">
        <v>30</v>
      </c>
      <c r="E243" s="2">
        <v>12</v>
      </c>
      <c r="F243" s="2">
        <v>4</v>
      </c>
      <c r="G243" s="2">
        <f t="shared" si="26"/>
        <v>14</v>
      </c>
      <c r="H243" s="2">
        <v>64</v>
      </c>
      <c r="I243" s="2">
        <v>54</v>
      </c>
      <c r="J243" s="3">
        <f t="shared" si="27"/>
        <v>40</v>
      </c>
    </row>
    <row r="244" spans="2:10">
      <c r="B244">
        <v>9</v>
      </c>
      <c r="C244" s="2" t="s">
        <v>41</v>
      </c>
      <c r="D244" s="2">
        <v>30</v>
      </c>
      <c r="E244" s="2">
        <v>11</v>
      </c>
      <c r="F244" s="2">
        <v>5</v>
      </c>
      <c r="G244" s="2">
        <f t="shared" si="26"/>
        <v>14</v>
      </c>
      <c r="H244" s="2">
        <v>56</v>
      </c>
      <c r="I244" s="2">
        <v>42</v>
      </c>
      <c r="J244" s="3">
        <f t="shared" si="27"/>
        <v>38</v>
      </c>
    </row>
    <row r="245" spans="2:10">
      <c r="B245">
        <v>10</v>
      </c>
      <c r="C245" s="2" t="s">
        <v>47</v>
      </c>
      <c r="D245" s="2">
        <v>30</v>
      </c>
      <c r="E245" s="2">
        <v>11</v>
      </c>
      <c r="F245" s="2">
        <v>5</v>
      </c>
      <c r="G245" s="2">
        <f t="shared" si="26"/>
        <v>14</v>
      </c>
      <c r="H245" s="2">
        <v>67</v>
      </c>
      <c r="I245" s="2">
        <v>60</v>
      </c>
      <c r="J245" s="3">
        <f t="shared" si="27"/>
        <v>38</v>
      </c>
    </row>
    <row r="246" spans="2:10">
      <c r="B246">
        <v>11</v>
      </c>
      <c r="C246" s="2" t="s">
        <v>50</v>
      </c>
      <c r="D246" s="2">
        <v>30</v>
      </c>
      <c r="E246" s="2">
        <v>12</v>
      </c>
      <c r="F246" s="2">
        <v>0</v>
      </c>
      <c r="G246" s="2">
        <f t="shared" si="26"/>
        <v>18</v>
      </c>
      <c r="H246" s="2">
        <v>72</v>
      </c>
      <c r="I246" s="2">
        <v>55</v>
      </c>
      <c r="J246" s="3">
        <f t="shared" si="27"/>
        <v>36</v>
      </c>
    </row>
    <row r="247" spans="2:10">
      <c r="B247">
        <v>12</v>
      </c>
      <c r="C247" s="2" t="s">
        <v>56</v>
      </c>
      <c r="D247" s="2">
        <v>30</v>
      </c>
      <c r="E247" s="2">
        <v>9</v>
      </c>
      <c r="F247" s="2">
        <v>4</v>
      </c>
      <c r="G247" s="2">
        <f t="shared" si="26"/>
        <v>17</v>
      </c>
      <c r="H247" s="2">
        <v>47</v>
      </c>
      <c r="I247" s="2">
        <v>69</v>
      </c>
      <c r="J247" s="3">
        <f t="shared" si="27"/>
        <v>31</v>
      </c>
    </row>
    <row r="248" spans="2:10">
      <c r="B248">
        <v>13</v>
      </c>
      <c r="C248" s="2" t="s">
        <v>52</v>
      </c>
      <c r="D248" s="2">
        <v>30</v>
      </c>
      <c r="E248" s="2">
        <v>9</v>
      </c>
      <c r="F248" s="2">
        <v>2</v>
      </c>
      <c r="G248" s="2">
        <f t="shared" si="26"/>
        <v>19</v>
      </c>
      <c r="H248" s="2">
        <v>46</v>
      </c>
      <c r="I248" s="2">
        <v>67</v>
      </c>
      <c r="J248" s="3">
        <f t="shared" si="27"/>
        <v>29</v>
      </c>
    </row>
    <row r="249" spans="2:10">
      <c r="B249">
        <v>14</v>
      </c>
      <c r="C249" s="2" t="s">
        <v>24</v>
      </c>
      <c r="D249" s="2">
        <v>30</v>
      </c>
      <c r="E249" s="2">
        <v>5</v>
      </c>
      <c r="F249" s="2">
        <v>1</v>
      </c>
      <c r="G249" s="2">
        <f t="shared" si="26"/>
        <v>24</v>
      </c>
      <c r="H249" s="2">
        <v>31</v>
      </c>
      <c r="I249" s="2">
        <v>175</v>
      </c>
      <c r="J249" s="3">
        <f t="shared" si="27"/>
        <v>16</v>
      </c>
    </row>
    <row r="250" spans="2:10">
      <c r="B250">
        <v>15</v>
      </c>
      <c r="C250" t="s">
        <v>34</v>
      </c>
      <c r="D250">
        <v>30</v>
      </c>
      <c r="E250">
        <v>2</v>
      </c>
      <c r="F250">
        <v>0</v>
      </c>
      <c r="G250">
        <f t="shared" si="26"/>
        <v>28</v>
      </c>
      <c r="H250">
        <v>6</v>
      </c>
      <c r="I250">
        <v>287</v>
      </c>
      <c r="J250" s="1">
        <f t="shared" si="27"/>
        <v>6</v>
      </c>
    </row>
    <row r="251" spans="2:10">
      <c r="B251">
        <v>16</v>
      </c>
      <c r="C251" t="s">
        <v>34</v>
      </c>
      <c r="D251">
        <v>6</v>
      </c>
      <c r="E251">
        <v>0</v>
      </c>
      <c r="F251">
        <v>0</v>
      </c>
      <c r="G251">
        <f t="shared" si="26"/>
        <v>6</v>
      </c>
      <c r="H251">
        <v>0</v>
      </c>
      <c r="I251">
        <v>52</v>
      </c>
      <c r="J251" s="1">
        <f t="shared" si="27"/>
        <v>0</v>
      </c>
    </row>
    <row r="253" spans="2:10">
      <c r="B253" s="20" t="s">
        <v>57</v>
      </c>
      <c r="C253" s="20"/>
      <c r="D253" s="20"/>
      <c r="E253" s="20"/>
      <c r="F253" s="20"/>
      <c r="G253" s="20"/>
      <c r="H253" s="20"/>
      <c r="I253" s="20"/>
      <c r="J253" s="20"/>
    </row>
    <row r="254" spans="2:10">
      <c r="B254">
        <v>1</v>
      </c>
      <c r="C254" s="2" t="s">
        <v>18</v>
      </c>
      <c r="D254" s="2">
        <v>30</v>
      </c>
      <c r="E254" s="2">
        <v>23</v>
      </c>
      <c r="F254" s="2">
        <v>4</v>
      </c>
      <c r="G254" s="2">
        <f>D254-E254-F254</f>
        <v>3</v>
      </c>
      <c r="H254" s="2">
        <v>144</v>
      </c>
      <c r="I254" s="2">
        <v>23</v>
      </c>
      <c r="J254" s="3">
        <f>E254*3+F254*1</f>
        <v>73</v>
      </c>
    </row>
    <row r="255" spans="2:10">
      <c r="B255">
        <v>2</v>
      </c>
      <c r="C255" s="2" t="s">
        <v>33</v>
      </c>
      <c r="D255" s="2">
        <v>30</v>
      </c>
      <c r="E255" s="2">
        <v>22</v>
      </c>
      <c r="F255" s="2">
        <v>5</v>
      </c>
      <c r="G255" s="2">
        <f t="shared" ref="G255:G269" si="28">D255-E255-F255</f>
        <v>3</v>
      </c>
      <c r="H255" s="2">
        <v>107</v>
      </c>
      <c r="I255" s="2">
        <v>19</v>
      </c>
      <c r="J255" s="3">
        <f t="shared" ref="J255:J269" si="29">E255*3+F255*1</f>
        <v>71</v>
      </c>
    </row>
    <row r="256" spans="2:10">
      <c r="B256">
        <v>3</v>
      </c>
      <c r="C256" s="2" t="s">
        <v>32</v>
      </c>
      <c r="D256" s="2">
        <v>30</v>
      </c>
      <c r="E256" s="2">
        <v>20</v>
      </c>
      <c r="F256" s="2">
        <v>9</v>
      </c>
      <c r="G256" s="2">
        <f t="shared" si="28"/>
        <v>1</v>
      </c>
      <c r="H256" s="2">
        <v>121</v>
      </c>
      <c r="I256" s="2">
        <v>19</v>
      </c>
      <c r="J256" s="3">
        <f t="shared" si="29"/>
        <v>69</v>
      </c>
    </row>
    <row r="257" spans="2:10">
      <c r="B257">
        <v>4</v>
      </c>
      <c r="C257" s="2" t="s">
        <v>27</v>
      </c>
      <c r="D257" s="2">
        <v>30</v>
      </c>
      <c r="E257" s="2">
        <v>19</v>
      </c>
      <c r="F257" s="2">
        <v>4</v>
      </c>
      <c r="G257" s="2">
        <f t="shared" si="28"/>
        <v>7</v>
      </c>
      <c r="H257" s="2">
        <v>77</v>
      </c>
      <c r="I257" s="2">
        <v>30</v>
      </c>
      <c r="J257" s="3">
        <f t="shared" si="29"/>
        <v>61</v>
      </c>
    </row>
    <row r="258" spans="2:10">
      <c r="B258">
        <v>5</v>
      </c>
      <c r="C258" s="2" t="s">
        <v>51</v>
      </c>
      <c r="D258" s="2">
        <v>30</v>
      </c>
      <c r="E258" s="2">
        <v>17</v>
      </c>
      <c r="F258" s="2">
        <v>7</v>
      </c>
      <c r="G258" s="2">
        <f t="shared" si="28"/>
        <v>6</v>
      </c>
      <c r="H258" s="2">
        <v>69</v>
      </c>
      <c r="I258" s="2">
        <v>31</v>
      </c>
      <c r="J258" s="3">
        <f t="shared" si="29"/>
        <v>58</v>
      </c>
    </row>
    <row r="259" spans="2:10">
      <c r="B259">
        <v>6</v>
      </c>
      <c r="C259" s="2" t="s">
        <v>43</v>
      </c>
      <c r="D259" s="2">
        <v>30</v>
      </c>
      <c r="E259" s="2">
        <v>16</v>
      </c>
      <c r="F259" s="2">
        <v>8</v>
      </c>
      <c r="G259" s="2">
        <f t="shared" si="28"/>
        <v>6</v>
      </c>
      <c r="H259" s="2">
        <v>78</v>
      </c>
      <c r="I259" s="2">
        <v>30</v>
      </c>
      <c r="J259" s="3">
        <f t="shared" si="29"/>
        <v>56</v>
      </c>
    </row>
    <row r="260" spans="2:10">
      <c r="B260">
        <v>7</v>
      </c>
      <c r="C260" s="2" t="s">
        <v>50</v>
      </c>
      <c r="D260" s="2">
        <v>30</v>
      </c>
      <c r="E260" s="2">
        <v>14</v>
      </c>
      <c r="F260" s="2">
        <v>6</v>
      </c>
      <c r="G260" s="2">
        <f t="shared" si="28"/>
        <v>10</v>
      </c>
      <c r="H260" s="2">
        <v>62</v>
      </c>
      <c r="I260" s="2">
        <v>44</v>
      </c>
      <c r="J260" s="3">
        <f t="shared" si="29"/>
        <v>48</v>
      </c>
    </row>
    <row r="261" spans="2:10">
      <c r="B261">
        <v>8</v>
      </c>
      <c r="C261" s="2" t="s">
        <v>24</v>
      </c>
      <c r="D261" s="2">
        <v>30</v>
      </c>
      <c r="E261" s="2">
        <v>14</v>
      </c>
      <c r="F261" s="2">
        <v>5</v>
      </c>
      <c r="G261" s="2">
        <f t="shared" si="28"/>
        <v>11</v>
      </c>
      <c r="H261" s="2">
        <v>94</v>
      </c>
      <c r="I261" s="2">
        <v>43</v>
      </c>
      <c r="J261" s="3">
        <f t="shared" si="29"/>
        <v>47</v>
      </c>
    </row>
    <row r="262" spans="2:10">
      <c r="B262">
        <v>9</v>
      </c>
      <c r="C262" s="2" t="s">
        <v>55</v>
      </c>
      <c r="D262" s="2">
        <v>30</v>
      </c>
      <c r="E262" s="2">
        <v>13</v>
      </c>
      <c r="F262" s="2">
        <v>8</v>
      </c>
      <c r="G262" s="2">
        <f t="shared" si="28"/>
        <v>9</v>
      </c>
      <c r="H262" s="2">
        <v>58</v>
      </c>
      <c r="I262" s="2">
        <v>40</v>
      </c>
      <c r="J262" s="3">
        <f t="shared" si="29"/>
        <v>47</v>
      </c>
    </row>
    <row r="263" spans="2:10">
      <c r="B263">
        <v>10</v>
      </c>
      <c r="C263" s="2" t="s">
        <v>58</v>
      </c>
      <c r="D263" s="2">
        <v>30</v>
      </c>
      <c r="E263" s="2">
        <v>9</v>
      </c>
      <c r="F263" s="2">
        <v>7</v>
      </c>
      <c r="G263" s="2">
        <f t="shared" si="28"/>
        <v>14</v>
      </c>
      <c r="H263" s="2">
        <v>67</v>
      </c>
      <c r="I263" s="2">
        <v>61</v>
      </c>
      <c r="J263" s="3">
        <f t="shared" si="29"/>
        <v>34</v>
      </c>
    </row>
    <row r="264" spans="2:10">
      <c r="B264">
        <v>11</v>
      </c>
      <c r="C264" s="2" t="s">
        <v>53</v>
      </c>
      <c r="D264" s="2">
        <v>30</v>
      </c>
      <c r="E264" s="2">
        <v>10</v>
      </c>
      <c r="F264" s="2">
        <v>4</v>
      </c>
      <c r="G264" s="2">
        <f t="shared" si="28"/>
        <v>16</v>
      </c>
      <c r="H264" s="2">
        <v>44</v>
      </c>
      <c r="I264" s="2">
        <v>58</v>
      </c>
      <c r="J264" s="3">
        <f t="shared" si="29"/>
        <v>34</v>
      </c>
    </row>
    <row r="265" spans="2:10">
      <c r="B265">
        <v>12</v>
      </c>
      <c r="C265" s="2" t="s">
        <v>56</v>
      </c>
      <c r="D265" s="2">
        <v>30</v>
      </c>
      <c r="E265" s="2">
        <v>9</v>
      </c>
      <c r="F265" s="2">
        <v>4</v>
      </c>
      <c r="G265" s="2">
        <f t="shared" si="28"/>
        <v>17</v>
      </c>
      <c r="H265" s="2">
        <v>51</v>
      </c>
      <c r="I265" s="2">
        <v>70</v>
      </c>
      <c r="J265" s="3">
        <f t="shared" si="29"/>
        <v>31</v>
      </c>
    </row>
    <row r="266" spans="2:10">
      <c r="B266">
        <v>13</v>
      </c>
      <c r="C266" s="2" t="s">
        <v>59</v>
      </c>
      <c r="D266" s="2">
        <v>30</v>
      </c>
      <c r="E266" s="2">
        <v>6</v>
      </c>
      <c r="F266" s="2">
        <v>3</v>
      </c>
      <c r="G266" s="2">
        <f t="shared" si="28"/>
        <v>21</v>
      </c>
      <c r="H266" s="2">
        <v>27</v>
      </c>
      <c r="I266" s="2">
        <v>69</v>
      </c>
      <c r="J266" s="3">
        <f t="shared" si="29"/>
        <v>21</v>
      </c>
    </row>
    <row r="267" spans="2:10">
      <c r="B267">
        <v>14</v>
      </c>
      <c r="C267" s="2" t="s">
        <v>52</v>
      </c>
      <c r="D267" s="2">
        <v>30</v>
      </c>
      <c r="E267" s="2">
        <v>4</v>
      </c>
      <c r="F267" s="2">
        <v>2</v>
      </c>
      <c r="G267" s="2">
        <f t="shared" si="28"/>
        <v>24</v>
      </c>
      <c r="H267" s="2">
        <v>33</v>
      </c>
      <c r="I267" s="2">
        <v>84</v>
      </c>
      <c r="J267" s="3">
        <f t="shared" si="29"/>
        <v>14</v>
      </c>
    </row>
    <row r="268" spans="2:10">
      <c r="B268">
        <v>15</v>
      </c>
      <c r="C268" t="s">
        <v>34</v>
      </c>
      <c r="D268">
        <v>8</v>
      </c>
      <c r="E268">
        <v>0</v>
      </c>
      <c r="F268">
        <v>0</v>
      </c>
      <c r="G268">
        <f t="shared" si="28"/>
        <v>8</v>
      </c>
      <c r="H268">
        <v>0</v>
      </c>
      <c r="I268">
        <v>92</v>
      </c>
      <c r="J268" s="1">
        <f t="shared" si="29"/>
        <v>0</v>
      </c>
    </row>
    <row r="269" spans="2:10">
      <c r="B269">
        <v>16</v>
      </c>
      <c r="C269" t="s">
        <v>34</v>
      </c>
      <c r="D269">
        <v>24</v>
      </c>
      <c r="E269">
        <v>0</v>
      </c>
      <c r="F269">
        <v>0</v>
      </c>
      <c r="G269">
        <f t="shared" si="28"/>
        <v>24</v>
      </c>
      <c r="H269">
        <v>0</v>
      </c>
      <c r="I269">
        <v>271</v>
      </c>
      <c r="J269" s="1">
        <f t="shared" si="29"/>
        <v>0</v>
      </c>
    </row>
    <row r="271" spans="2:10">
      <c r="B271" s="20" t="s">
        <v>60</v>
      </c>
      <c r="C271" s="20"/>
      <c r="D271" s="20"/>
      <c r="E271" s="20"/>
      <c r="F271" s="20"/>
      <c r="G271" s="20"/>
      <c r="H271" s="20"/>
      <c r="I271" s="20"/>
      <c r="J271" s="20"/>
    </row>
    <row r="272" spans="2:10">
      <c r="B272">
        <v>1</v>
      </c>
      <c r="C272" s="2" t="s">
        <v>33</v>
      </c>
      <c r="D272" s="2">
        <v>30</v>
      </c>
      <c r="E272" s="2">
        <v>28</v>
      </c>
      <c r="F272" s="2">
        <v>1</v>
      </c>
      <c r="G272" s="2">
        <f>D272-E272-F272</f>
        <v>1</v>
      </c>
      <c r="H272" s="2">
        <v>121</v>
      </c>
      <c r="I272" s="2">
        <v>13</v>
      </c>
      <c r="J272" s="3">
        <f>E272*3+F272*1</f>
        <v>85</v>
      </c>
    </row>
    <row r="273" spans="2:10">
      <c r="B273">
        <v>2</v>
      </c>
      <c r="C273" s="2" t="s">
        <v>18</v>
      </c>
      <c r="D273" s="2">
        <v>30</v>
      </c>
      <c r="E273" s="2">
        <v>25</v>
      </c>
      <c r="F273" s="2">
        <v>3</v>
      </c>
      <c r="G273" s="2">
        <f t="shared" ref="G273:G287" si="30">D273-E273-F273</f>
        <v>2</v>
      </c>
      <c r="H273" s="2">
        <v>128</v>
      </c>
      <c r="I273" s="2">
        <v>20</v>
      </c>
      <c r="J273" s="3">
        <f t="shared" ref="J273:J287" si="31">E273*3+F273*1</f>
        <v>78</v>
      </c>
    </row>
    <row r="274" spans="2:10">
      <c r="B274">
        <v>3</v>
      </c>
      <c r="C274" s="2" t="s">
        <v>32</v>
      </c>
      <c r="D274" s="2">
        <v>30</v>
      </c>
      <c r="E274" s="2">
        <v>23</v>
      </c>
      <c r="F274" s="2">
        <v>2</v>
      </c>
      <c r="G274" s="2">
        <f t="shared" si="30"/>
        <v>5</v>
      </c>
      <c r="H274" s="2">
        <v>105</v>
      </c>
      <c r="I274" s="2">
        <v>23</v>
      </c>
      <c r="J274" s="3">
        <f t="shared" si="31"/>
        <v>71</v>
      </c>
    </row>
    <row r="275" spans="2:10">
      <c r="B275">
        <v>4</v>
      </c>
      <c r="C275" s="2" t="s">
        <v>24</v>
      </c>
      <c r="D275" s="2">
        <v>30</v>
      </c>
      <c r="E275" s="2">
        <v>20</v>
      </c>
      <c r="F275" s="2">
        <v>3</v>
      </c>
      <c r="G275" s="2">
        <f t="shared" si="30"/>
        <v>7</v>
      </c>
      <c r="H275" s="2">
        <v>112</v>
      </c>
      <c r="I275" s="2">
        <v>36</v>
      </c>
      <c r="J275" s="3">
        <f t="shared" si="31"/>
        <v>63</v>
      </c>
    </row>
    <row r="276" spans="2:10">
      <c r="B276">
        <v>5</v>
      </c>
      <c r="C276" s="2" t="s">
        <v>51</v>
      </c>
      <c r="D276" s="2">
        <v>30</v>
      </c>
      <c r="E276" s="2">
        <v>19</v>
      </c>
      <c r="F276" s="2">
        <v>4</v>
      </c>
      <c r="G276" s="2">
        <f t="shared" si="30"/>
        <v>7</v>
      </c>
      <c r="H276" s="2">
        <v>81</v>
      </c>
      <c r="I276" s="2">
        <v>34</v>
      </c>
      <c r="J276" s="3">
        <f t="shared" si="31"/>
        <v>61</v>
      </c>
    </row>
    <row r="277" spans="2:10">
      <c r="B277">
        <v>6</v>
      </c>
      <c r="C277" s="2" t="s">
        <v>50</v>
      </c>
      <c r="D277" s="2">
        <v>30</v>
      </c>
      <c r="E277" s="2">
        <v>17</v>
      </c>
      <c r="F277" s="2">
        <v>2</v>
      </c>
      <c r="G277" s="2">
        <f t="shared" si="30"/>
        <v>11</v>
      </c>
      <c r="H277" s="2">
        <v>70</v>
      </c>
      <c r="I277" s="2">
        <v>39</v>
      </c>
      <c r="J277" s="3">
        <f t="shared" si="31"/>
        <v>53</v>
      </c>
    </row>
    <row r="278" spans="2:10">
      <c r="B278">
        <v>7</v>
      </c>
      <c r="C278" s="2" t="s">
        <v>43</v>
      </c>
      <c r="D278" s="2">
        <v>30</v>
      </c>
      <c r="E278" s="2">
        <v>16</v>
      </c>
      <c r="F278" s="2">
        <v>3</v>
      </c>
      <c r="G278" s="2">
        <f t="shared" si="30"/>
        <v>11</v>
      </c>
      <c r="H278" s="2">
        <v>62</v>
      </c>
      <c r="I278" s="2">
        <v>34</v>
      </c>
      <c r="J278" s="3">
        <f t="shared" si="31"/>
        <v>51</v>
      </c>
    </row>
    <row r="279" spans="2:10">
      <c r="B279">
        <v>8</v>
      </c>
      <c r="C279" s="2" t="s">
        <v>55</v>
      </c>
      <c r="D279" s="2">
        <v>30</v>
      </c>
      <c r="E279" s="2">
        <v>13</v>
      </c>
      <c r="F279" s="2">
        <v>4</v>
      </c>
      <c r="G279" s="2">
        <f t="shared" si="30"/>
        <v>13</v>
      </c>
      <c r="H279" s="2">
        <v>56</v>
      </c>
      <c r="I279" s="2">
        <v>44</v>
      </c>
      <c r="J279" s="3">
        <f t="shared" si="31"/>
        <v>43</v>
      </c>
    </row>
    <row r="280" spans="2:10">
      <c r="B280">
        <v>9</v>
      </c>
      <c r="C280" s="2" t="s">
        <v>53</v>
      </c>
      <c r="D280" s="2">
        <v>30</v>
      </c>
      <c r="E280" s="2">
        <v>11</v>
      </c>
      <c r="F280" s="2">
        <v>6</v>
      </c>
      <c r="G280" s="2">
        <f t="shared" si="30"/>
        <v>13</v>
      </c>
      <c r="H280" s="2">
        <v>32</v>
      </c>
      <c r="I280" s="2">
        <v>48</v>
      </c>
      <c r="J280" s="3">
        <f t="shared" si="31"/>
        <v>39</v>
      </c>
    </row>
    <row r="281" spans="2:10">
      <c r="B281">
        <v>10</v>
      </c>
      <c r="C281" s="2" t="s">
        <v>58</v>
      </c>
      <c r="D281" s="2">
        <v>30</v>
      </c>
      <c r="E281" s="2">
        <v>9</v>
      </c>
      <c r="F281" s="2">
        <v>5</v>
      </c>
      <c r="G281" s="2">
        <f t="shared" si="30"/>
        <v>16</v>
      </c>
      <c r="H281" s="2">
        <v>42</v>
      </c>
      <c r="I281" s="2">
        <v>60</v>
      </c>
      <c r="J281" s="3">
        <f t="shared" si="31"/>
        <v>32</v>
      </c>
    </row>
    <row r="282" spans="2:10">
      <c r="B282">
        <v>11</v>
      </c>
      <c r="C282" s="2" t="s">
        <v>56</v>
      </c>
      <c r="D282" s="2">
        <v>30</v>
      </c>
      <c r="E282" s="2">
        <v>8</v>
      </c>
      <c r="F282" s="2">
        <v>3</v>
      </c>
      <c r="G282" s="2">
        <f t="shared" si="30"/>
        <v>19</v>
      </c>
      <c r="H282" s="2">
        <v>38</v>
      </c>
      <c r="I282" s="2">
        <v>77</v>
      </c>
      <c r="J282" s="3">
        <f t="shared" si="31"/>
        <v>27</v>
      </c>
    </row>
    <row r="283" spans="2:10">
      <c r="B283">
        <v>12</v>
      </c>
      <c r="C283" s="2" t="s">
        <v>61</v>
      </c>
      <c r="D283" s="2">
        <v>30</v>
      </c>
      <c r="E283" s="2">
        <v>6</v>
      </c>
      <c r="F283" s="2">
        <v>6</v>
      </c>
      <c r="G283" s="2">
        <f t="shared" si="30"/>
        <v>18</v>
      </c>
      <c r="H283" s="2">
        <v>36</v>
      </c>
      <c r="I283" s="2">
        <v>82</v>
      </c>
      <c r="J283" s="3">
        <f t="shared" si="31"/>
        <v>24</v>
      </c>
    </row>
    <row r="284" spans="2:10">
      <c r="B284">
        <v>13</v>
      </c>
      <c r="C284" s="2" t="s">
        <v>52</v>
      </c>
      <c r="D284" s="2">
        <v>30</v>
      </c>
      <c r="E284" s="2">
        <v>5</v>
      </c>
      <c r="F284" s="2">
        <v>3</v>
      </c>
      <c r="G284" s="2">
        <f t="shared" si="30"/>
        <v>22</v>
      </c>
      <c r="H284" s="2">
        <v>23</v>
      </c>
      <c r="I284" s="2">
        <v>96</v>
      </c>
      <c r="J284" s="3">
        <f t="shared" si="31"/>
        <v>18</v>
      </c>
    </row>
    <row r="285" spans="2:10">
      <c r="B285">
        <v>14</v>
      </c>
      <c r="C285" s="2" t="s">
        <v>59</v>
      </c>
      <c r="D285" s="2">
        <v>30</v>
      </c>
      <c r="E285" s="2">
        <v>4</v>
      </c>
      <c r="F285" s="2">
        <v>5</v>
      </c>
      <c r="G285" s="2">
        <f t="shared" si="30"/>
        <v>21</v>
      </c>
      <c r="H285" s="2">
        <v>16</v>
      </c>
      <c r="I285" s="2">
        <v>83</v>
      </c>
      <c r="J285" s="3">
        <f t="shared" si="31"/>
        <v>17</v>
      </c>
    </row>
    <row r="286" spans="2:10">
      <c r="B286">
        <v>15</v>
      </c>
      <c r="C286" s="2" t="s">
        <v>62</v>
      </c>
      <c r="D286" s="2">
        <v>30</v>
      </c>
      <c r="E286" s="2">
        <v>5</v>
      </c>
      <c r="F286" s="2">
        <v>1</v>
      </c>
      <c r="G286" s="2">
        <f t="shared" si="30"/>
        <v>24</v>
      </c>
      <c r="H286" s="2">
        <v>22</v>
      </c>
      <c r="I286" s="2">
        <v>72</v>
      </c>
      <c r="J286" s="3">
        <f t="shared" si="31"/>
        <v>16</v>
      </c>
    </row>
    <row r="287" spans="2:10">
      <c r="B287">
        <v>16</v>
      </c>
      <c r="C287" t="s">
        <v>34</v>
      </c>
      <c r="D287">
        <v>18</v>
      </c>
      <c r="E287">
        <v>0</v>
      </c>
      <c r="F287">
        <v>0</v>
      </c>
      <c r="G287">
        <f t="shared" si="30"/>
        <v>18</v>
      </c>
      <c r="H287">
        <v>0</v>
      </c>
      <c r="I287">
        <v>183</v>
      </c>
      <c r="J287" s="1">
        <f t="shared" si="31"/>
        <v>0</v>
      </c>
    </row>
    <row r="289" spans="2:10">
      <c r="B289" s="20" t="s">
        <v>63</v>
      </c>
      <c r="C289" s="20"/>
      <c r="D289" s="20"/>
      <c r="E289" s="20"/>
      <c r="F289" s="20"/>
      <c r="G289" s="20"/>
      <c r="H289" s="20"/>
      <c r="I289" s="20"/>
      <c r="J289" s="20"/>
    </row>
    <row r="290" spans="2:10">
      <c r="B290">
        <v>1</v>
      </c>
      <c r="C290" s="2" t="s">
        <v>18</v>
      </c>
      <c r="D290" s="2">
        <v>30</v>
      </c>
      <c r="E290" s="2">
        <v>26</v>
      </c>
      <c r="F290" s="2">
        <v>2</v>
      </c>
      <c r="G290" s="2">
        <f>D290-E290-F290</f>
        <v>2</v>
      </c>
      <c r="H290" s="2">
        <v>136</v>
      </c>
      <c r="I290" s="2">
        <v>14</v>
      </c>
      <c r="J290" s="3">
        <f>E290*3+F290*1</f>
        <v>80</v>
      </c>
    </row>
    <row r="291" spans="2:10">
      <c r="B291">
        <v>2</v>
      </c>
      <c r="C291" s="2" t="s">
        <v>32</v>
      </c>
      <c r="D291" s="2">
        <v>30</v>
      </c>
      <c r="E291" s="2">
        <v>26</v>
      </c>
      <c r="F291" s="2">
        <v>2</v>
      </c>
      <c r="G291" s="2">
        <f t="shared" ref="G291:G305" si="32">D291-E291-F291</f>
        <v>2</v>
      </c>
      <c r="H291" s="2">
        <v>137</v>
      </c>
      <c r="I291" s="2">
        <v>16</v>
      </c>
      <c r="J291" s="3">
        <f t="shared" ref="J291:J305" si="33">E291*3+F291*1</f>
        <v>80</v>
      </c>
    </row>
    <row r="292" spans="2:10">
      <c r="B292">
        <v>3</v>
      </c>
      <c r="C292" s="2" t="s">
        <v>33</v>
      </c>
      <c r="D292" s="2">
        <v>30</v>
      </c>
      <c r="E292" s="2">
        <v>23</v>
      </c>
      <c r="F292" s="2">
        <v>3</v>
      </c>
      <c r="G292" s="2">
        <f t="shared" si="32"/>
        <v>4</v>
      </c>
      <c r="H292" s="2">
        <v>136</v>
      </c>
      <c r="I292" s="2">
        <v>23</v>
      </c>
      <c r="J292" s="3">
        <f t="shared" si="33"/>
        <v>72</v>
      </c>
    </row>
    <row r="293" spans="2:10">
      <c r="B293">
        <v>4</v>
      </c>
      <c r="C293" s="2" t="s">
        <v>43</v>
      </c>
      <c r="D293" s="2">
        <v>30</v>
      </c>
      <c r="E293" s="2">
        <v>20</v>
      </c>
      <c r="F293" s="2">
        <v>7</v>
      </c>
      <c r="G293" s="2">
        <f t="shared" si="32"/>
        <v>3</v>
      </c>
      <c r="H293" s="2">
        <v>115</v>
      </c>
      <c r="I293" s="2">
        <v>20</v>
      </c>
      <c r="J293" s="3">
        <f t="shared" si="33"/>
        <v>67</v>
      </c>
    </row>
    <row r="294" spans="2:10">
      <c r="B294">
        <v>5</v>
      </c>
      <c r="C294" s="2" t="s">
        <v>51</v>
      </c>
      <c r="D294" s="2">
        <v>30</v>
      </c>
      <c r="E294" s="2">
        <v>18</v>
      </c>
      <c r="F294" s="2">
        <v>3</v>
      </c>
      <c r="G294" s="2">
        <f t="shared" si="32"/>
        <v>9</v>
      </c>
      <c r="H294" s="2">
        <v>73</v>
      </c>
      <c r="I294" s="2">
        <v>34</v>
      </c>
      <c r="J294" s="3">
        <f t="shared" si="33"/>
        <v>57</v>
      </c>
    </row>
    <row r="295" spans="2:10">
      <c r="B295">
        <v>6</v>
      </c>
      <c r="C295" s="2" t="s">
        <v>58</v>
      </c>
      <c r="D295" s="2">
        <v>30</v>
      </c>
      <c r="E295" s="2">
        <v>14</v>
      </c>
      <c r="F295" s="2">
        <v>7</v>
      </c>
      <c r="G295" s="2">
        <f t="shared" si="32"/>
        <v>9</v>
      </c>
      <c r="H295" s="2">
        <v>69</v>
      </c>
      <c r="I295" s="2">
        <v>46</v>
      </c>
      <c r="J295" s="3">
        <f t="shared" si="33"/>
        <v>49</v>
      </c>
    </row>
    <row r="296" spans="2:10">
      <c r="B296">
        <v>7</v>
      </c>
      <c r="C296" s="2" t="s">
        <v>61</v>
      </c>
      <c r="D296" s="2">
        <v>30</v>
      </c>
      <c r="E296" s="2">
        <v>14</v>
      </c>
      <c r="F296" s="2">
        <v>5</v>
      </c>
      <c r="G296" s="2">
        <f t="shared" si="32"/>
        <v>11</v>
      </c>
      <c r="H296" s="2">
        <v>50</v>
      </c>
      <c r="I296" s="2">
        <v>63</v>
      </c>
      <c r="J296" s="3">
        <f t="shared" si="33"/>
        <v>47</v>
      </c>
    </row>
    <row r="297" spans="2:10">
      <c r="B297">
        <v>8</v>
      </c>
      <c r="C297" s="2" t="s">
        <v>55</v>
      </c>
      <c r="D297" s="2">
        <v>30</v>
      </c>
      <c r="E297" s="2">
        <v>14</v>
      </c>
      <c r="F297" s="2">
        <v>2</v>
      </c>
      <c r="G297" s="2">
        <f t="shared" si="32"/>
        <v>14</v>
      </c>
      <c r="H297" s="2">
        <v>56</v>
      </c>
      <c r="I297" s="2">
        <v>57</v>
      </c>
      <c r="J297" s="3">
        <f t="shared" si="33"/>
        <v>44</v>
      </c>
    </row>
    <row r="298" spans="2:10">
      <c r="B298">
        <v>9</v>
      </c>
      <c r="C298" s="2" t="s">
        <v>50</v>
      </c>
      <c r="D298" s="2">
        <v>30</v>
      </c>
      <c r="E298" s="2">
        <v>12</v>
      </c>
      <c r="F298" s="2">
        <v>4</v>
      </c>
      <c r="G298" s="2">
        <f t="shared" si="32"/>
        <v>14</v>
      </c>
      <c r="H298" s="2">
        <v>57</v>
      </c>
      <c r="I298" s="2">
        <v>48</v>
      </c>
      <c r="J298" s="3">
        <f t="shared" si="33"/>
        <v>40</v>
      </c>
    </row>
    <row r="299" spans="2:10">
      <c r="B299">
        <v>10</v>
      </c>
      <c r="C299" s="2" t="s">
        <v>64</v>
      </c>
      <c r="D299" s="2">
        <v>30</v>
      </c>
      <c r="E299" s="2">
        <v>11</v>
      </c>
      <c r="F299" s="2">
        <v>2</v>
      </c>
      <c r="G299" s="2">
        <f t="shared" si="32"/>
        <v>17</v>
      </c>
      <c r="H299" s="2">
        <v>47</v>
      </c>
      <c r="I299" s="2">
        <v>55</v>
      </c>
      <c r="J299" s="3">
        <f t="shared" si="33"/>
        <v>35</v>
      </c>
    </row>
    <row r="300" spans="2:10">
      <c r="B300">
        <v>11</v>
      </c>
      <c r="C300" s="2" t="s">
        <v>65</v>
      </c>
      <c r="D300" s="2">
        <v>30</v>
      </c>
      <c r="E300" s="2">
        <v>9</v>
      </c>
      <c r="F300" s="2">
        <v>5</v>
      </c>
      <c r="G300" s="2">
        <f t="shared" si="32"/>
        <v>16</v>
      </c>
      <c r="H300" s="2">
        <v>50</v>
      </c>
      <c r="I300" s="2">
        <v>60</v>
      </c>
      <c r="J300" s="3">
        <f t="shared" si="33"/>
        <v>32</v>
      </c>
    </row>
    <row r="301" spans="2:10">
      <c r="B301">
        <v>12</v>
      </c>
      <c r="C301" s="2" t="s">
        <v>53</v>
      </c>
      <c r="D301" s="2">
        <v>30</v>
      </c>
      <c r="E301" s="2">
        <v>7</v>
      </c>
      <c r="F301" s="2">
        <v>5</v>
      </c>
      <c r="G301" s="2">
        <f t="shared" si="32"/>
        <v>18</v>
      </c>
      <c r="H301" s="2">
        <v>33</v>
      </c>
      <c r="I301" s="2">
        <v>53</v>
      </c>
      <c r="J301" s="3">
        <f t="shared" si="33"/>
        <v>26</v>
      </c>
    </row>
    <row r="302" spans="2:10">
      <c r="B302">
        <v>13</v>
      </c>
      <c r="C302" s="2" t="s">
        <v>56</v>
      </c>
      <c r="D302" s="2">
        <v>30</v>
      </c>
      <c r="E302" s="2">
        <v>7</v>
      </c>
      <c r="F302" s="2">
        <v>5</v>
      </c>
      <c r="G302" s="2">
        <f t="shared" si="32"/>
        <v>18</v>
      </c>
      <c r="H302" s="2">
        <v>42</v>
      </c>
      <c r="I302" s="2">
        <v>75</v>
      </c>
      <c r="J302" s="3">
        <f t="shared" si="33"/>
        <v>26</v>
      </c>
    </row>
    <row r="303" spans="2:10">
      <c r="B303">
        <v>14</v>
      </c>
      <c r="C303" s="2" t="s">
        <v>52</v>
      </c>
      <c r="D303" s="2">
        <v>30</v>
      </c>
      <c r="E303" s="2">
        <v>6</v>
      </c>
      <c r="F303" s="2">
        <v>5</v>
      </c>
      <c r="G303" s="2">
        <f t="shared" si="32"/>
        <v>19</v>
      </c>
      <c r="H303" s="2">
        <v>45</v>
      </c>
      <c r="I303" s="2">
        <v>74</v>
      </c>
      <c r="J303" s="3">
        <f t="shared" si="33"/>
        <v>23</v>
      </c>
    </row>
    <row r="304" spans="2:10">
      <c r="B304">
        <v>15</v>
      </c>
      <c r="C304" t="s">
        <v>34</v>
      </c>
      <c r="D304">
        <v>28</v>
      </c>
      <c r="E304">
        <v>1</v>
      </c>
      <c r="F304">
        <v>0</v>
      </c>
      <c r="G304">
        <f t="shared" si="32"/>
        <v>27</v>
      </c>
      <c r="H304">
        <v>3</v>
      </c>
      <c r="I304">
        <v>303</v>
      </c>
      <c r="J304" s="1">
        <f t="shared" si="33"/>
        <v>3</v>
      </c>
    </row>
    <row r="305" spans="2:10">
      <c r="B305">
        <v>16</v>
      </c>
      <c r="C305" t="s">
        <v>34</v>
      </c>
      <c r="D305">
        <v>0</v>
      </c>
      <c r="E305">
        <v>0</v>
      </c>
      <c r="F305">
        <v>0</v>
      </c>
      <c r="G305">
        <f t="shared" si="32"/>
        <v>0</v>
      </c>
      <c r="H305">
        <v>0</v>
      </c>
      <c r="I305">
        <v>0</v>
      </c>
      <c r="J305" s="1">
        <f t="shared" si="33"/>
        <v>0</v>
      </c>
    </row>
    <row r="307" spans="2:10">
      <c r="B307" s="20" t="s">
        <v>66</v>
      </c>
      <c r="C307" s="20"/>
      <c r="D307" s="20"/>
      <c r="E307" s="20"/>
      <c r="F307" s="20"/>
      <c r="G307" s="20"/>
      <c r="H307" s="20"/>
      <c r="I307" s="20"/>
      <c r="J307" s="20"/>
    </row>
    <row r="308" spans="2:10">
      <c r="B308">
        <v>1</v>
      </c>
      <c r="C308" s="2" t="s">
        <v>18</v>
      </c>
      <c r="D308" s="2">
        <v>30</v>
      </c>
      <c r="E308" s="2">
        <v>27</v>
      </c>
      <c r="F308" s="2">
        <v>2</v>
      </c>
      <c r="G308" s="2">
        <f>D308-E308-F308</f>
        <v>1</v>
      </c>
      <c r="H308" s="2">
        <v>101</v>
      </c>
      <c r="I308" s="2">
        <v>17</v>
      </c>
      <c r="J308" s="3">
        <f>E308*3+F308*1</f>
        <v>83</v>
      </c>
    </row>
    <row r="309" spans="2:10">
      <c r="B309">
        <v>2</v>
      </c>
      <c r="C309" s="2" t="s">
        <v>32</v>
      </c>
      <c r="D309" s="2">
        <v>30</v>
      </c>
      <c r="E309" s="2">
        <v>27</v>
      </c>
      <c r="F309" s="2">
        <v>1</v>
      </c>
      <c r="G309" s="2">
        <f t="shared" ref="G309:G323" si="34">D309-E309-F309</f>
        <v>2</v>
      </c>
      <c r="H309" s="2">
        <v>122</v>
      </c>
      <c r="I309" s="2">
        <v>13</v>
      </c>
      <c r="J309" s="3">
        <f t="shared" ref="J309:J323" si="35">E309*3+F309*1</f>
        <v>82</v>
      </c>
    </row>
    <row r="310" spans="2:10">
      <c r="B310">
        <v>3</v>
      </c>
      <c r="C310" s="2" t="s">
        <v>33</v>
      </c>
      <c r="D310" s="2">
        <v>30</v>
      </c>
      <c r="E310" s="2">
        <v>26</v>
      </c>
      <c r="F310" s="2">
        <v>3</v>
      </c>
      <c r="G310" s="2">
        <f t="shared" si="34"/>
        <v>1</v>
      </c>
      <c r="H310" s="2">
        <v>106</v>
      </c>
      <c r="I310" s="2">
        <v>11</v>
      </c>
      <c r="J310" s="3">
        <f t="shared" si="35"/>
        <v>81</v>
      </c>
    </row>
    <row r="311" spans="2:10">
      <c r="B311">
        <v>4</v>
      </c>
      <c r="C311" s="2" t="s">
        <v>51</v>
      </c>
      <c r="D311" s="2">
        <v>30</v>
      </c>
      <c r="E311" s="2">
        <v>17</v>
      </c>
      <c r="F311" s="2">
        <v>4</v>
      </c>
      <c r="G311" s="2">
        <f t="shared" si="34"/>
        <v>9</v>
      </c>
      <c r="H311" s="2">
        <v>50</v>
      </c>
      <c r="I311" s="2">
        <v>35</v>
      </c>
      <c r="J311" s="3">
        <f t="shared" si="35"/>
        <v>55</v>
      </c>
    </row>
    <row r="312" spans="2:10">
      <c r="B312">
        <v>5</v>
      </c>
      <c r="C312" s="2" t="s">
        <v>43</v>
      </c>
      <c r="D312" s="2">
        <v>30</v>
      </c>
      <c r="E312" s="2">
        <v>16</v>
      </c>
      <c r="F312" s="2">
        <v>3</v>
      </c>
      <c r="G312" s="2">
        <f t="shared" si="34"/>
        <v>11</v>
      </c>
      <c r="H312" s="2">
        <v>72</v>
      </c>
      <c r="I312" s="2">
        <v>37</v>
      </c>
      <c r="J312" s="3">
        <f t="shared" si="35"/>
        <v>51</v>
      </c>
    </row>
    <row r="313" spans="2:10">
      <c r="B313">
        <v>6</v>
      </c>
      <c r="C313" s="2" t="s">
        <v>50</v>
      </c>
      <c r="D313" s="2">
        <v>30</v>
      </c>
      <c r="E313" s="2">
        <v>16</v>
      </c>
      <c r="F313" s="2">
        <v>3</v>
      </c>
      <c r="G313" s="2">
        <f t="shared" si="34"/>
        <v>11</v>
      </c>
      <c r="H313" s="2">
        <v>50</v>
      </c>
      <c r="I313" s="2">
        <v>40</v>
      </c>
      <c r="J313" s="3">
        <f t="shared" si="35"/>
        <v>51</v>
      </c>
    </row>
    <row r="314" spans="2:10">
      <c r="B314">
        <v>7</v>
      </c>
      <c r="C314" s="2" t="s">
        <v>64</v>
      </c>
      <c r="D314" s="2">
        <v>30</v>
      </c>
      <c r="E314" s="2">
        <v>11</v>
      </c>
      <c r="F314" s="2">
        <v>6</v>
      </c>
      <c r="G314" s="2">
        <f t="shared" si="34"/>
        <v>13</v>
      </c>
      <c r="H314" s="2">
        <v>33</v>
      </c>
      <c r="I314" s="2">
        <v>40</v>
      </c>
      <c r="J314" s="3">
        <f t="shared" si="35"/>
        <v>39</v>
      </c>
    </row>
    <row r="315" spans="2:10">
      <c r="B315">
        <v>8</v>
      </c>
      <c r="C315" s="2" t="s">
        <v>58</v>
      </c>
      <c r="D315" s="2">
        <v>30</v>
      </c>
      <c r="E315" s="2">
        <v>11</v>
      </c>
      <c r="F315" s="2">
        <v>5</v>
      </c>
      <c r="G315" s="2">
        <f t="shared" si="34"/>
        <v>14</v>
      </c>
      <c r="H315" s="2">
        <v>35</v>
      </c>
      <c r="I315" s="2">
        <v>50</v>
      </c>
      <c r="J315" s="3">
        <f t="shared" si="35"/>
        <v>38</v>
      </c>
    </row>
    <row r="316" spans="2:10">
      <c r="B316">
        <v>9</v>
      </c>
      <c r="C316" s="2" t="s">
        <v>55</v>
      </c>
      <c r="D316" s="2">
        <v>30</v>
      </c>
      <c r="E316" s="2">
        <v>10</v>
      </c>
      <c r="F316" s="2">
        <v>7</v>
      </c>
      <c r="G316" s="2">
        <f t="shared" si="34"/>
        <v>13</v>
      </c>
      <c r="H316" s="2">
        <v>43</v>
      </c>
      <c r="I316" s="2">
        <v>53</v>
      </c>
      <c r="J316" s="3">
        <f t="shared" si="35"/>
        <v>37</v>
      </c>
    </row>
    <row r="317" spans="2:10">
      <c r="B317">
        <v>10</v>
      </c>
      <c r="C317" s="2" t="s">
        <v>67</v>
      </c>
      <c r="D317" s="2">
        <v>30</v>
      </c>
      <c r="E317" s="2">
        <v>7</v>
      </c>
      <c r="F317" s="2">
        <v>11</v>
      </c>
      <c r="G317" s="2">
        <f t="shared" si="34"/>
        <v>12</v>
      </c>
      <c r="H317" s="2">
        <v>29</v>
      </c>
      <c r="I317" s="2">
        <v>47</v>
      </c>
      <c r="J317" s="3">
        <f t="shared" si="35"/>
        <v>32</v>
      </c>
    </row>
    <row r="318" spans="2:10">
      <c r="B318">
        <v>11</v>
      </c>
      <c r="C318" s="2" t="s">
        <v>61</v>
      </c>
      <c r="D318" s="2">
        <v>30</v>
      </c>
      <c r="E318" s="2">
        <v>8</v>
      </c>
      <c r="F318" s="2">
        <v>5</v>
      </c>
      <c r="G318" s="2">
        <f t="shared" si="34"/>
        <v>17</v>
      </c>
      <c r="H318" s="2">
        <v>35</v>
      </c>
      <c r="I318" s="2">
        <v>72</v>
      </c>
      <c r="J318" s="3">
        <f t="shared" si="35"/>
        <v>29</v>
      </c>
    </row>
    <row r="319" spans="2:10">
      <c r="B319">
        <v>12</v>
      </c>
      <c r="C319" s="2" t="s">
        <v>53</v>
      </c>
      <c r="D319" s="2">
        <v>30</v>
      </c>
      <c r="E319" s="2">
        <v>7</v>
      </c>
      <c r="F319" s="2">
        <v>6</v>
      </c>
      <c r="G319" s="2">
        <f t="shared" si="34"/>
        <v>17</v>
      </c>
      <c r="H319" s="2">
        <v>20</v>
      </c>
      <c r="I319" s="2">
        <v>60</v>
      </c>
      <c r="J319" s="3">
        <f t="shared" si="35"/>
        <v>27</v>
      </c>
    </row>
    <row r="320" spans="2:10">
      <c r="B320">
        <v>13</v>
      </c>
      <c r="C320" s="2" t="s">
        <v>52</v>
      </c>
      <c r="D320" s="2">
        <v>30</v>
      </c>
      <c r="E320" s="2">
        <v>7</v>
      </c>
      <c r="F320" s="2">
        <v>5</v>
      </c>
      <c r="G320" s="2">
        <f t="shared" si="34"/>
        <v>18</v>
      </c>
      <c r="H320" s="2">
        <v>31</v>
      </c>
      <c r="I320" s="2">
        <v>69</v>
      </c>
      <c r="J320" s="3">
        <f t="shared" si="35"/>
        <v>26</v>
      </c>
    </row>
    <row r="321" spans="2:10">
      <c r="B321">
        <v>14</v>
      </c>
      <c r="C321" s="2" t="s">
        <v>56</v>
      </c>
      <c r="D321" s="2">
        <v>30</v>
      </c>
      <c r="E321" s="2">
        <v>6</v>
      </c>
      <c r="F321" s="2">
        <v>5</v>
      </c>
      <c r="G321" s="2">
        <f t="shared" si="34"/>
        <v>19</v>
      </c>
      <c r="H321" s="2">
        <v>26</v>
      </c>
      <c r="I321" s="2">
        <v>81</v>
      </c>
      <c r="J321" s="3">
        <f t="shared" si="35"/>
        <v>23</v>
      </c>
    </row>
    <row r="322" spans="2:10">
      <c r="B322">
        <v>15</v>
      </c>
      <c r="C322" s="2" t="s">
        <v>68</v>
      </c>
      <c r="D322" s="2">
        <v>30</v>
      </c>
      <c r="E322" s="2">
        <v>4</v>
      </c>
      <c r="F322" s="2">
        <v>6</v>
      </c>
      <c r="G322" s="2">
        <f t="shared" si="34"/>
        <v>20</v>
      </c>
      <c r="H322" s="2">
        <v>24</v>
      </c>
      <c r="I322" s="2">
        <v>86</v>
      </c>
      <c r="J322" s="3">
        <f t="shared" si="35"/>
        <v>18</v>
      </c>
    </row>
    <row r="323" spans="2:10">
      <c r="B323">
        <v>16</v>
      </c>
      <c r="C323" s="2" t="s">
        <v>65</v>
      </c>
      <c r="D323" s="2">
        <v>30</v>
      </c>
      <c r="E323" s="2">
        <v>3</v>
      </c>
      <c r="F323" s="2">
        <v>2</v>
      </c>
      <c r="G323" s="2">
        <f t="shared" si="34"/>
        <v>25</v>
      </c>
      <c r="H323" s="2">
        <v>19</v>
      </c>
      <c r="I323" s="2">
        <v>85</v>
      </c>
      <c r="J323" s="3">
        <f t="shared" si="35"/>
        <v>11</v>
      </c>
    </row>
    <row r="325" spans="2:10">
      <c r="B325" s="20" t="s">
        <v>69</v>
      </c>
      <c r="C325" s="20"/>
      <c r="D325" s="20"/>
      <c r="E325" s="20"/>
      <c r="F325" s="20"/>
      <c r="G325" s="20"/>
      <c r="H325" s="20"/>
      <c r="I325" s="20"/>
      <c r="J325" s="20"/>
    </row>
    <row r="326" spans="2:10">
      <c r="B326">
        <v>1</v>
      </c>
      <c r="C326" s="2" t="s">
        <v>32</v>
      </c>
      <c r="D326" s="2">
        <v>30</v>
      </c>
      <c r="E326" s="2">
        <v>26</v>
      </c>
      <c r="F326" s="2">
        <v>2</v>
      </c>
      <c r="G326" s="2">
        <f>D326-E326-F326</f>
        <v>2</v>
      </c>
      <c r="H326" s="2">
        <v>121</v>
      </c>
      <c r="I326" s="2">
        <v>12</v>
      </c>
      <c r="J326" s="3">
        <f>E326*3+F326*1</f>
        <v>80</v>
      </c>
    </row>
    <row r="327" spans="2:10">
      <c r="B327">
        <v>2</v>
      </c>
      <c r="C327" s="2" t="s">
        <v>18</v>
      </c>
      <c r="D327" s="2">
        <v>30</v>
      </c>
      <c r="E327" s="2">
        <v>26</v>
      </c>
      <c r="F327" s="2">
        <v>1</v>
      </c>
      <c r="G327" s="2">
        <f t="shared" ref="G327:G341" si="36">D327-E327-F327</f>
        <v>3</v>
      </c>
      <c r="H327" s="2">
        <v>115</v>
      </c>
      <c r="I327" s="2">
        <v>16</v>
      </c>
      <c r="J327" s="3">
        <f t="shared" ref="J327:J341" si="37">E327*3+F327*1</f>
        <v>79</v>
      </c>
    </row>
    <row r="328" spans="2:10">
      <c r="B328">
        <v>3</v>
      </c>
      <c r="C328" s="2" t="s">
        <v>33</v>
      </c>
      <c r="D328" s="2">
        <v>30</v>
      </c>
      <c r="E328" s="2">
        <v>24</v>
      </c>
      <c r="F328" s="2">
        <v>2</v>
      </c>
      <c r="G328" s="2">
        <f t="shared" si="36"/>
        <v>4</v>
      </c>
      <c r="H328" s="2">
        <v>91</v>
      </c>
      <c r="I328" s="2">
        <v>21</v>
      </c>
      <c r="J328" s="3">
        <f t="shared" si="37"/>
        <v>74</v>
      </c>
    </row>
    <row r="329" spans="2:10">
      <c r="B329">
        <v>4</v>
      </c>
      <c r="C329" s="2" t="s">
        <v>51</v>
      </c>
      <c r="D329" s="2">
        <v>30</v>
      </c>
      <c r="E329" s="2">
        <v>20</v>
      </c>
      <c r="F329" s="2">
        <v>3</v>
      </c>
      <c r="G329" s="2">
        <f t="shared" si="36"/>
        <v>7</v>
      </c>
      <c r="H329" s="2">
        <v>78</v>
      </c>
      <c r="I329" s="2">
        <v>25</v>
      </c>
      <c r="J329" s="3">
        <f t="shared" si="37"/>
        <v>63</v>
      </c>
    </row>
    <row r="330" spans="2:10">
      <c r="B330">
        <v>5</v>
      </c>
      <c r="C330" s="2" t="s">
        <v>43</v>
      </c>
      <c r="D330" s="2">
        <v>30</v>
      </c>
      <c r="E330" s="2">
        <v>19</v>
      </c>
      <c r="F330" s="2">
        <v>5</v>
      </c>
      <c r="G330" s="2">
        <f t="shared" si="36"/>
        <v>6</v>
      </c>
      <c r="H330" s="2">
        <v>70</v>
      </c>
      <c r="I330" s="2">
        <v>23</v>
      </c>
      <c r="J330" s="3">
        <f t="shared" si="37"/>
        <v>62</v>
      </c>
    </row>
    <row r="331" spans="2:10">
      <c r="B331">
        <v>6</v>
      </c>
      <c r="C331" s="2" t="s">
        <v>70</v>
      </c>
      <c r="D331" s="2">
        <v>30</v>
      </c>
      <c r="E331" s="2">
        <v>16</v>
      </c>
      <c r="F331" s="2">
        <v>6</v>
      </c>
      <c r="G331" s="2">
        <f t="shared" si="36"/>
        <v>8</v>
      </c>
      <c r="H331" s="2">
        <v>65</v>
      </c>
      <c r="I331" s="2">
        <v>37</v>
      </c>
      <c r="J331" s="3">
        <f t="shared" si="37"/>
        <v>54</v>
      </c>
    </row>
    <row r="332" spans="2:10">
      <c r="B332">
        <v>7</v>
      </c>
      <c r="C332" s="2" t="s">
        <v>64</v>
      </c>
      <c r="D332" s="2">
        <v>30</v>
      </c>
      <c r="E332" s="2">
        <v>12</v>
      </c>
      <c r="F332" s="2">
        <v>6</v>
      </c>
      <c r="G332" s="2">
        <f t="shared" si="36"/>
        <v>12</v>
      </c>
      <c r="H332" s="2">
        <v>35</v>
      </c>
      <c r="I332" s="2">
        <v>37</v>
      </c>
      <c r="J332" s="3">
        <f t="shared" si="37"/>
        <v>42</v>
      </c>
    </row>
    <row r="333" spans="2:10">
      <c r="B333">
        <v>8</v>
      </c>
      <c r="C333" s="2" t="s">
        <v>50</v>
      </c>
      <c r="D333" s="2">
        <v>30</v>
      </c>
      <c r="E333" s="2">
        <v>12</v>
      </c>
      <c r="F333" s="2">
        <v>3</v>
      </c>
      <c r="G333" s="2">
        <f t="shared" si="36"/>
        <v>15</v>
      </c>
      <c r="H333" s="2">
        <v>34</v>
      </c>
      <c r="I333" s="2">
        <v>49</v>
      </c>
      <c r="J333" s="3">
        <f t="shared" si="37"/>
        <v>39</v>
      </c>
    </row>
    <row r="334" spans="2:10">
      <c r="B334">
        <v>9</v>
      </c>
      <c r="C334" s="2" t="s">
        <v>71</v>
      </c>
      <c r="D334" s="2">
        <v>30</v>
      </c>
      <c r="E334" s="2">
        <v>11</v>
      </c>
      <c r="F334" s="2">
        <v>4</v>
      </c>
      <c r="G334" s="2">
        <f t="shared" si="36"/>
        <v>15</v>
      </c>
      <c r="H334" s="2">
        <v>41</v>
      </c>
      <c r="I334" s="2">
        <v>45</v>
      </c>
      <c r="J334" s="3">
        <f t="shared" si="37"/>
        <v>37</v>
      </c>
    </row>
    <row r="335" spans="2:10">
      <c r="B335">
        <v>10</v>
      </c>
      <c r="C335" s="2" t="s">
        <v>52</v>
      </c>
      <c r="D335" s="2">
        <v>30</v>
      </c>
      <c r="E335" s="2">
        <v>10</v>
      </c>
      <c r="F335" s="2">
        <v>4</v>
      </c>
      <c r="G335" s="2">
        <f t="shared" si="36"/>
        <v>16</v>
      </c>
      <c r="H335" s="2">
        <v>35</v>
      </c>
      <c r="I335" s="2">
        <v>61</v>
      </c>
      <c r="J335" s="3">
        <f t="shared" si="37"/>
        <v>34</v>
      </c>
    </row>
    <row r="336" spans="2:10">
      <c r="B336">
        <v>11</v>
      </c>
      <c r="C336" s="2" t="s">
        <v>58</v>
      </c>
      <c r="D336" s="2">
        <v>30</v>
      </c>
      <c r="E336" s="2">
        <v>9</v>
      </c>
      <c r="F336" s="2">
        <v>4</v>
      </c>
      <c r="G336" s="2">
        <f t="shared" si="36"/>
        <v>17</v>
      </c>
      <c r="H336" s="2">
        <v>36</v>
      </c>
      <c r="I336" s="2">
        <v>68</v>
      </c>
      <c r="J336" s="3">
        <f t="shared" si="37"/>
        <v>31</v>
      </c>
    </row>
    <row r="337" spans="2:10">
      <c r="B337">
        <v>12</v>
      </c>
      <c r="C337" s="2" t="s">
        <v>61</v>
      </c>
      <c r="D337" s="2">
        <v>30</v>
      </c>
      <c r="E337" s="2">
        <v>7</v>
      </c>
      <c r="F337" s="2">
        <v>4</v>
      </c>
      <c r="G337" s="2">
        <f t="shared" si="36"/>
        <v>19</v>
      </c>
      <c r="H337" s="2">
        <v>16</v>
      </c>
      <c r="I337" s="2">
        <v>84</v>
      </c>
      <c r="J337" s="3">
        <f t="shared" si="37"/>
        <v>25</v>
      </c>
    </row>
    <row r="338" spans="2:10">
      <c r="B338">
        <v>13</v>
      </c>
      <c r="C338" s="2" t="s">
        <v>56</v>
      </c>
      <c r="D338" s="2">
        <v>30</v>
      </c>
      <c r="E338" s="2">
        <v>6</v>
      </c>
      <c r="F338" s="2">
        <v>6</v>
      </c>
      <c r="G338" s="2">
        <f t="shared" si="36"/>
        <v>18</v>
      </c>
      <c r="H338" s="2">
        <v>24</v>
      </c>
      <c r="I338" s="2">
        <v>89</v>
      </c>
      <c r="J338" s="3">
        <f t="shared" si="37"/>
        <v>24</v>
      </c>
    </row>
    <row r="339" spans="2:10">
      <c r="B339">
        <v>14</v>
      </c>
      <c r="C339" s="2" t="s">
        <v>67</v>
      </c>
      <c r="D339" s="2">
        <v>30</v>
      </c>
      <c r="E339" s="2">
        <v>7</v>
      </c>
      <c r="F339" s="2">
        <v>1</v>
      </c>
      <c r="G339" s="2">
        <f t="shared" si="36"/>
        <v>22</v>
      </c>
      <c r="H339" s="2">
        <v>19</v>
      </c>
      <c r="I339" s="2">
        <v>79</v>
      </c>
      <c r="J339" s="3">
        <f t="shared" si="37"/>
        <v>22</v>
      </c>
    </row>
    <row r="340" spans="2:10">
      <c r="B340">
        <v>15</v>
      </c>
      <c r="C340" s="2" t="s">
        <v>53</v>
      </c>
      <c r="D340" s="2">
        <v>30</v>
      </c>
      <c r="E340" s="2">
        <v>6</v>
      </c>
      <c r="F340" s="2">
        <v>3</v>
      </c>
      <c r="G340" s="2">
        <f t="shared" si="36"/>
        <v>21</v>
      </c>
      <c r="H340" s="2">
        <v>22</v>
      </c>
      <c r="I340" s="2">
        <v>69</v>
      </c>
      <c r="J340" s="3">
        <f t="shared" si="37"/>
        <v>21</v>
      </c>
    </row>
    <row r="341" spans="2:10">
      <c r="B341">
        <v>16</v>
      </c>
      <c r="C341" s="2" t="s">
        <v>105</v>
      </c>
      <c r="D341" s="2">
        <v>30</v>
      </c>
      <c r="E341" s="2">
        <v>0</v>
      </c>
      <c r="F341" s="2">
        <v>4</v>
      </c>
      <c r="G341" s="2">
        <f t="shared" si="36"/>
        <v>26</v>
      </c>
      <c r="H341" s="2">
        <v>14</v>
      </c>
      <c r="I341" s="2">
        <v>101</v>
      </c>
      <c r="J341" s="3">
        <f t="shared" si="37"/>
        <v>4</v>
      </c>
    </row>
    <row r="343" spans="2:10">
      <c r="B343" s="20" t="s">
        <v>93</v>
      </c>
      <c r="C343" s="20"/>
      <c r="D343" s="20"/>
      <c r="E343" s="20"/>
      <c r="F343" s="20"/>
      <c r="G343" s="20"/>
      <c r="H343" s="20"/>
      <c r="I343" s="20"/>
      <c r="J343" s="20"/>
    </row>
    <row r="344" spans="2:10">
      <c r="B344">
        <v>1</v>
      </c>
      <c r="C344" s="2" t="s">
        <v>32</v>
      </c>
      <c r="D344" s="2">
        <v>30</v>
      </c>
      <c r="E344" s="2">
        <v>27</v>
      </c>
      <c r="F344" s="2">
        <v>2</v>
      </c>
      <c r="G344" s="2">
        <f>D344-E344-F344</f>
        <v>1</v>
      </c>
      <c r="H344" s="2">
        <v>112</v>
      </c>
      <c r="I344" s="2">
        <v>15</v>
      </c>
      <c r="J344" s="3">
        <f>E344*3+F344*1</f>
        <v>83</v>
      </c>
    </row>
    <row r="345" spans="2:10">
      <c r="B345">
        <v>2</v>
      </c>
      <c r="C345" s="2" t="s">
        <v>18</v>
      </c>
      <c r="D345" s="2">
        <v>30</v>
      </c>
      <c r="E345" s="2">
        <v>26</v>
      </c>
      <c r="F345" s="2">
        <v>0</v>
      </c>
      <c r="G345" s="2">
        <f t="shared" ref="G345:G359" si="38">D345-E345-F345</f>
        <v>4</v>
      </c>
      <c r="H345" s="2">
        <v>98</v>
      </c>
      <c r="I345" s="2">
        <v>19</v>
      </c>
      <c r="J345" s="3">
        <f t="shared" ref="J345:J359" si="39">E345*3+F345*1</f>
        <v>78</v>
      </c>
    </row>
    <row r="346" spans="2:10">
      <c r="B346">
        <v>3</v>
      </c>
      <c r="C346" s="2" t="s">
        <v>51</v>
      </c>
      <c r="D346" s="2">
        <v>30</v>
      </c>
      <c r="E346" s="2">
        <v>21</v>
      </c>
      <c r="F346" s="2">
        <v>3</v>
      </c>
      <c r="G346" s="2">
        <f t="shared" si="38"/>
        <v>6</v>
      </c>
      <c r="H346" s="2">
        <v>89</v>
      </c>
      <c r="I346" s="2">
        <v>20</v>
      </c>
      <c r="J346" s="3">
        <f t="shared" si="39"/>
        <v>66</v>
      </c>
    </row>
    <row r="347" spans="2:10">
      <c r="B347">
        <v>4</v>
      </c>
      <c r="C347" s="2" t="s">
        <v>43</v>
      </c>
      <c r="D347" s="2">
        <v>30</v>
      </c>
      <c r="E347" s="2">
        <v>21</v>
      </c>
      <c r="F347" s="2">
        <v>1</v>
      </c>
      <c r="G347" s="2">
        <f t="shared" si="38"/>
        <v>8</v>
      </c>
      <c r="H347" s="2">
        <v>96</v>
      </c>
      <c r="I347" s="2">
        <v>34</v>
      </c>
      <c r="J347" s="3">
        <f t="shared" si="39"/>
        <v>64</v>
      </c>
    </row>
    <row r="348" spans="2:10">
      <c r="B348">
        <v>5</v>
      </c>
      <c r="C348" s="2" t="s">
        <v>64</v>
      </c>
      <c r="D348" s="2">
        <v>30</v>
      </c>
      <c r="E348" s="2">
        <v>19</v>
      </c>
      <c r="F348" s="2">
        <v>4</v>
      </c>
      <c r="G348" s="2">
        <f t="shared" si="38"/>
        <v>7</v>
      </c>
      <c r="H348" s="2">
        <v>87</v>
      </c>
      <c r="I348" s="2">
        <v>23</v>
      </c>
      <c r="J348" s="3">
        <f t="shared" si="39"/>
        <v>61</v>
      </c>
    </row>
    <row r="349" spans="2:10">
      <c r="B349">
        <v>6</v>
      </c>
      <c r="C349" s="2" t="s">
        <v>33</v>
      </c>
      <c r="D349" s="2">
        <v>30</v>
      </c>
      <c r="E349" s="2">
        <v>18</v>
      </c>
      <c r="F349" s="2">
        <v>3</v>
      </c>
      <c r="G349" s="2">
        <f t="shared" si="38"/>
        <v>9</v>
      </c>
      <c r="H349" s="2">
        <v>73</v>
      </c>
      <c r="I349" s="2">
        <v>34</v>
      </c>
      <c r="J349" s="3">
        <f t="shared" si="39"/>
        <v>57</v>
      </c>
    </row>
    <row r="350" spans="2:10">
      <c r="B350">
        <v>7</v>
      </c>
      <c r="C350" s="2" t="s">
        <v>70</v>
      </c>
      <c r="D350" s="2">
        <v>30</v>
      </c>
      <c r="E350" s="2">
        <v>18</v>
      </c>
      <c r="F350" s="2">
        <v>2</v>
      </c>
      <c r="G350" s="2">
        <f t="shared" si="38"/>
        <v>10</v>
      </c>
      <c r="H350" s="2">
        <v>65</v>
      </c>
      <c r="I350" s="2">
        <v>35</v>
      </c>
      <c r="J350" s="3">
        <f t="shared" si="39"/>
        <v>56</v>
      </c>
    </row>
    <row r="351" spans="2:10">
      <c r="B351">
        <v>8</v>
      </c>
      <c r="C351" s="2" t="s">
        <v>50</v>
      </c>
      <c r="D351" s="2">
        <v>30</v>
      </c>
      <c r="E351" s="2">
        <v>14</v>
      </c>
      <c r="F351" s="2">
        <v>3</v>
      </c>
      <c r="G351" s="2">
        <f t="shared" si="38"/>
        <v>13</v>
      </c>
      <c r="H351" s="2">
        <v>52</v>
      </c>
      <c r="I351" s="2">
        <v>46</v>
      </c>
      <c r="J351" s="3">
        <f t="shared" si="39"/>
        <v>45</v>
      </c>
    </row>
    <row r="352" spans="2:10">
      <c r="B352">
        <v>9</v>
      </c>
      <c r="C352" s="2" t="s">
        <v>58</v>
      </c>
      <c r="D352" s="2">
        <v>30</v>
      </c>
      <c r="E352" s="2">
        <v>13</v>
      </c>
      <c r="F352" s="2">
        <v>4</v>
      </c>
      <c r="G352" s="2">
        <f t="shared" si="38"/>
        <v>13</v>
      </c>
      <c r="H352" s="2">
        <v>57</v>
      </c>
      <c r="I352" s="2">
        <v>56</v>
      </c>
      <c r="J352" s="3">
        <f t="shared" si="39"/>
        <v>43</v>
      </c>
    </row>
    <row r="353" spans="2:10">
      <c r="B353">
        <v>10</v>
      </c>
      <c r="C353" s="2" t="s">
        <v>52</v>
      </c>
      <c r="D353" s="2">
        <v>30</v>
      </c>
      <c r="E353" s="2">
        <v>10</v>
      </c>
      <c r="F353" s="2">
        <v>5</v>
      </c>
      <c r="G353" s="2">
        <f t="shared" si="38"/>
        <v>15</v>
      </c>
      <c r="H353" s="2">
        <v>56</v>
      </c>
      <c r="I353" s="2">
        <v>58</v>
      </c>
      <c r="J353" s="3">
        <f t="shared" si="39"/>
        <v>35</v>
      </c>
    </row>
    <row r="354" spans="2:10">
      <c r="B354">
        <v>11</v>
      </c>
      <c r="C354" s="2" t="s">
        <v>71</v>
      </c>
      <c r="D354" s="2">
        <v>30</v>
      </c>
      <c r="E354" s="2">
        <v>9</v>
      </c>
      <c r="F354" s="2">
        <v>2</v>
      </c>
      <c r="G354" s="2">
        <f t="shared" si="38"/>
        <v>19</v>
      </c>
      <c r="H354" s="2">
        <v>39</v>
      </c>
      <c r="I354" s="2">
        <v>57</v>
      </c>
      <c r="J354" s="3">
        <f t="shared" si="39"/>
        <v>29</v>
      </c>
    </row>
    <row r="355" spans="2:10">
      <c r="B355">
        <v>12</v>
      </c>
      <c r="C355" s="2" t="s">
        <v>56</v>
      </c>
      <c r="D355" s="2">
        <v>30</v>
      </c>
      <c r="E355" s="2">
        <v>8</v>
      </c>
      <c r="F355" s="2">
        <v>2</v>
      </c>
      <c r="G355" s="2">
        <f t="shared" si="38"/>
        <v>20</v>
      </c>
      <c r="H355" s="2">
        <v>32</v>
      </c>
      <c r="I355" s="2">
        <v>74</v>
      </c>
      <c r="J355" s="3">
        <f t="shared" si="39"/>
        <v>26</v>
      </c>
    </row>
    <row r="356" spans="2:10">
      <c r="B356">
        <v>13</v>
      </c>
      <c r="C356" s="2" t="s">
        <v>61</v>
      </c>
      <c r="D356" s="2">
        <v>30</v>
      </c>
      <c r="E356" s="2">
        <v>8</v>
      </c>
      <c r="F356" s="2">
        <v>1</v>
      </c>
      <c r="G356" s="2">
        <f t="shared" si="38"/>
        <v>21</v>
      </c>
      <c r="H356" s="2">
        <v>33</v>
      </c>
      <c r="I356" s="2">
        <v>68</v>
      </c>
      <c r="J356" s="3">
        <f t="shared" si="39"/>
        <v>25</v>
      </c>
    </row>
    <row r="357" spans="2:10">
      <c r="B357">
        <v>14</v>
      </c>
      <c r="C357" s="2" t="s">
        <v>94</v>
      </c>
      <c r="D357" s="2">
        <v>30</v>
      </c>
      <c r="E357" s="2">
        <v>3</v>
      </c>
      <c r="F357" s="2">
        <v>6</v>
      </c>
      <c r="G357" s="2">
        <f t="shared" si="38"/>
        <v>21</v>
      </c>
      <c r="H357" s="2">
        <v>13</v>
      </c>
      <c r="I357" s="2">
        <v>77</v>
      </c>
      <c r="J357" s="3">
        <f t="shared" si="39"/>
        <v>15</v>
      </c>
    </row>
    <row r="358" spans="2:10">
      <c r="B358">
        <v>15</v>
      </c>
      <c r="C358" s="2" t="s">
        <v>95</v>
      </c>
      <c r="D358" s="2">
        <v>30</v>
      </c>
      <c r="E358" s="2">
        <v>4</v>
      </c>
      <c r="F358" s="2">
        <v>2</v>
      </c>
      <c r="G358" s="2">
        <f t="shared" si="38"/>
        <v>24</v>
      </c>
      <c r="H358" s="2">
        <v>28</v>
      </c>
      <c r="I358" s="2">
        <v>64</v>
      </c>
      <c r="J358" s="3">
        <f t="shared" si="39"/>
        <v>14</v>
      </c>
    </row>
    <row r="359" spans="2:10">
      <c r="B359">
        <v>16</v>
      </c>
      <c r="C359" s="2" t="s">
        <v>104</v>
      </c>
      <c r="D359" s="2">
        <v>9</v>
      </c>
      <c r="E359" s="2">
        <v>0</v>
      </c>
      <c r="F359" s="2">
        <v>0</v>
      </c>
      <c r="G359" s="2">
        <f t="shared" si="38"/>
        <v>9</v>
      </c>
      <c r="H359" s="2">
        <v>2</v>
      </c>
      <c r="I359" s="2">
        <v>27</v>
      </c>
      <c r="J359" s="3">
        <f t="shared" si="39"/>
        <v>0</v>
      </c>
    </row>
    <row r="361" spans="2:10">
      <c r="B361" s="20" t="s">
        <v>98</v>
      </c>
      <c r="C361" s="20"/>
      <c r="D361" s="20"/>
      <c r="E361" s="20"/>
      <c r="F361" s="20"/>
      <c r="G361" s="20"/>
      <c r="H361" s="20"/>
      <c r="I361" s="20"/>
      <c r="J361" s="20"/>
    </row>
    <row r="362" spans="2:10">
      <c r="B362">
        <v>1</v>
      </c>
      <c r="C362" s="2" t="s">
        <v>18</v>
      </c>
      <c r="D362" s="2">
        <v>30</v>
      </c>
      <c r="E362" s="2">
        <v>27</v>
      </c>
      <c r="F362" s="2">
        <v>3</v>
      </c>
      <c r="G362" s="2">
        <v>0</v>
      </c>
      <c r="H362" s="2">
        <v>112</v>
      </c>
      <c r="I362" s="2">
        <v>14</v>
      </c>
      <c r="J362" s="3">
        <v>84</v>
      </c>
    </row>
    <row r="363" spans="2:10">
      <c r="B363">
        <v>2</v>
      </c>
      <c r="C363" s="2" t="s">
        <v>32</v>
      </c>
      <c r="D363" s="2">
        <v>30</v>
      </c>
      <c r="E363" s="2">
        <v>27</v>
      </c>
      <c r="F363" s="2">
        <v>0</v>
      </c>
      <c r="G363" s="2">
        <v>3</v>
      </c>
      <c r="H363" s="2">
        <v>119</v>
      </c>
      <c r="I363" s="2">
        <v>19</v>
      </c>
      <c r="J363" s="3">
        <v>81</v>
      </c>
    </row>
    <row r="364" spans="2:10">
      <c r="B364">
        <v>3</v>
      </c>
      <c r="C364" s="2" t="s">
        <v>33</v>
      </c>
      <c r="D364" s="2">
        <v>30</v>
      </c>
      <c r="E364" s="2">
        <v>21</v>
      </c>
      <c r="F364" s="2">
        <v>2</v>
      </c>
      <c r="G364" s="2">
        <v>7</v>
      </c>
      <c r="H364" s="2">
        <v>71</v>
      </c>
      <c r="I364" s="2">
        <v>26</v>
      </c>
      <c r="J364" s="3">
        <v>65</v>
      </c>
    </row>
    <row r="365" spans="2:10">
      <c r="B365">
        <v>4</v>
      </c>
      <c r="C365" s="2" t="s">
        <v>43</v>
      </c>
      <c r="D365" s="2">
        <v>30</v>
      </c>
      <c r="E365" s="2">
        <v>19</v>
      </c>
      <c r="F365" s="2">
        <v>6</v>
      </c>
      <c r="G365" s="2">
        <v>5</v>
      </c>
      <c r="H365" s="2">
        <v>74</v>
      </c>
      <c r="I365" s="2">
        <v>28</v>
      </c>
      <c r="J365" s="3">
        <v>63</v>
      </c>
    </row>
    <row r="366" spans="2:10">
      <c r="B366">
        <v>5</v>
      </c>
      <c r="C366" s="2" t="s">
        <v>51</v>
      </c>
      <c r="D366" s="2">
        <v>30</v>
      </c>
      <c r="E366" s="2">
        <v>19</v>
      </c>
      <c r="F366" s="2">
        <v>2</v>
      </c>
      <c r="G366" s="2">
        <v>9</v>
      </c>
      <c r="H366" s="2">
        <v>69</v>
      </c>
      <c r="I366" s="2">
        <v>35</v>
      </c>
      <c r="J366" s="3">
        <v>59</v>
      </c>
    </row>
    <row r="367" spans="2:10">
      <c r="B367">
        <v>6</v>
      </c>
      <c r="C367" s="2" t="s">
        <v>70</v>
      </c>
      <c r="D367" s="2">
        <v>30</v>
      </c>
      <c r="E367" s="2">
        <v>18</v>
      </c>
      <c r="F367" s="2">
        <v>3</v>
      </c>
      <c r="G367" s="2">
        <v>9</v>
      </c>
      <c r="H367" s="2">
        <v>54</v>
      </c>
      <c r="I367" s="2">
        <v>50</v>
      </c>
      <c r="J367" s="3">
        <v>57</v>
      </c>
    </row>
    <row r="368" spans="2:10">
      <c r="B368">
        <v>7</v>
      </c>
      <c r="C368" s="2" t="s">
        <v>64</v>
      </c>
      <c r="D368" s="2">
        <v>30</v>
      </c>
      <c r="E368" s="2">
        <v>14</v>
      </c>
      <c r="F368" s="2">
        <v>5</v>
      </c>
      <c r="G368" s="2">
        <v>11</v>
      </c>
      <c r="H368" s="2">
        <v>52</v>
      </c>
      <c r="I368" s="2">
        <v>29</v>
      </c>
      <c r="J368" s="3">
        <v>47</v>
      </c>
    </row>
    <row r="369" spans="2:10">
      <c r="B369">
        <v>8</v>
      </c>
      <c r="C369" s="2" t="s">
        <v>50</v>
      </c>
      <c r="D369" s="2">
        <v>30</v>
      </c>
      <c r="E369" s="2">
        <v>10</v>
      </c>
      <c r="F369" s="2">
        <v>7</v>
      </c>
      <c r="G369" s="2">
        <v>13</v>
      </c>
      <c r="H369" s="2">
        <v>37</v>
      </c>
      <c r="I369" s="2">
        <v>41</v>
      </c>
      <c r="J369" s="3">
        <v>37</v>
      </c>
    </row>
    <row r="370" spans="2:10">
      <c r="B370">
        <v>9</v>
      </c>
      <c r="C370" s="2" t="s">
        <v>58</v>
      </c>
      <c r="D370" s="2">
        <v>30</v>
      </c>
      <c r="E370" s="2">
        <v>10</v>
      </c>
      <c r="F370" s="2">
        <v>7</v>
      </c>
      <c r="G370" s="2">
        <v>13</v>
      </c>
      <c r="H370" s="2">
        <v>35</v>
      </c>
      <c r="I370" s="2">
        <v>49</v>
      </c>
      <c r="J370" s="3">
        <v>37</v>
      </c>
    </row>
    <row r="371" spans="2:10">
      <c r="B371">
        <v>10</v>
      </c>
      <c r="C371" s="2" t="s">
        <v>71</v>
      </c>
      <c r="D371" s="2">
        <v>30</v>
      </c>
      <c r="E371" s="2">
        <v>9</v>
      </c>
      <c r="F371" s="2">
        <v>7</v>
      </c>
      <c r="G371" s="2">
        <v>14</v>
      </c>
      <c r="H371" s="2">
        <v>38</v>
      </c>
      <c r="I371" s="2">
        <v>59</v>
      </c>
      <c r="J371" s="3">
        <v>34</v>
      </c>
    </row>
    <row r="372" spans="2:10">
      <c r="B372">
        <v>11</v>
      </c>
      <c r="C372" s="2" t="s">
        <v>52</v>
      </c>
      <c r="D372" s="2">
        <v>30</v>
      </c>
      <c r="E372" s="2">
        <v>9</v>
      </c>
      <c r="F372" s="2">
        <v>5</v>
      </c>
      <c r="G372" s="2">
        <v>16</v>
      </c>
      <c r="H372" s="2">
        <v>36</v>
      </c>
      <c r="I372" s="2">
        <v>59</v>
      </c>
      <c r="J372" s="3">
        <v>32</v>
      </c>
    </row>
    <row r="373" spans="2:10">
      <c r="B373">
        <v>12</v>
      </c>
      <c r="C373" s="2" t="s">
        <v>99</v>
      </c>
      <c r="D373" s="2">
        <v>30</v>
      </c>
      <c r="E373" s="2">
        <v>7</v>
      </c>
      <c r="F373" s="2">
        <v>7</v>
      </c>
      <c r="G373" s="2">
        <v>16</v>
      </c>
      <c r="H373" s="2">
        <v>33</v>
      </c>
      <c r="I373" s="2">
        <v>75</v>
      </c>
      <c r="J373" s="3">
        <v>28</v>
      </c>
    </row>
    <row r="374" spans="2:10">
      <c r="B374">
        <v>13</v>
      </c>
      <c r="C374" s="2" t="s">
        <v>53</v>
      </c>
      <c r="D374" s="2">
        <v>30</v>
      </c>
      <c r="E374" s="2">
        <v>4</v>
      </c>
      <c r="F374" s="2">
        <v>7</v>
      </c>
      <c r="G374" s="2">
        <v>19</v>
      </c>
      <c r="H374" s="2">
        <v>21</v>
      </c>
      <c r="I374" s="2">
        <v>68</v>
      </c>
      <c r="J374" s="3">
        <v>19</v>
      </c>
    </row>
    <row r="375" spans="2:10">
      <c r="B375">
        <v>14</v>
      </c>
      <c r="C375" s="2" t="s">
        <v>100</v>
      </c>
      <c r="D375" s="2">
        <v>30</v>
      </c>
      <c r="E375" s="2">
        <v>2</v>
      </c>
      <c r="F375" s="2">
        <v>6</v>
      </c>
      <c r="G375" s="2">
        <v>22</v>
      </c>
      <c r="H375" s="2">
        <v>24</v>
      </c>
      <c r="I375" s="2">
        <v>84</v>
      </c>
      <c r="J375" s="3">
        <v>12</v>
      </c>
    </row>
    <row r="376" spans="2:10">
      <c r="B376">
        <v>15</v>
      </c>
      <c r="C376" s="2" t="s">
        <v>56</v>
      </c>
      <c r="D376" s="2">
        <v>30</v>
      </c>
      <c r="E376" s="2">
        <v>2</v>
      </c>
      <c r="F376" s="2">
        <v>4</v>
      </c>
      <c r="G376" s="2">
        <v>24</v>
      </c>
      <c r="H376" s="2">
        <v>18</v>
      </c>
      <c r="I376" s="2">
        <v>92</v>
      </c>
      <c r="J376" s="3">
        <v>10</v>
      </c>
    </row>
    <row r="377" spans="2:10">
      <c r="B377">
        <v>16</v>
      </c>
      <c r="C377" s="2" t="s">
        <v>101</v>
      </c>
      <c r="D377" s="2">
        <v>29</v>
      </c>
      <c r="E377" s="2">
        <v>4</v>
      </c>
      <c r="F377" s="2">
        <v>5</v>
      </c>
      <c r="G377" s="2">
        <v>20</v>
      </c>
      <c r="H377" s="2">
        <v>15</v>
      </c>
      <c r="I377" s="2">
        <v>74</v>
      </c>
      <c r="J377" s="3">
        <v>17</v>
      </c>
    </row>
    <row r="379" spans="2:10">
      <c r="B379" s="20" t="s">
        <v>102</v>
      </c>
      <c r="C379" s="20"/>
      <c r="D379" s="20"/>
      <c r="E379" s="20"/>
      <c r="F379" s="20"/>
      <c r="G379" s="20"/>
      <c r="H379" s="20"/>
      <c r="I379" s="20"/>
      <c r="J379" s="20"/>
    </row>
    <row r="380" spans="2:10">
      <c r="B380">
        <v>1</v>
      </c>
      <c r="C380" s="2" t="s">
        <v>64</v>
      </c>
      <c r="D380" s="21">
        <v>30</v>
      </c>
      <c r="E380" s="21">
        <v>26</v>
      </c>
      <c r="F380" s="21">
        <v>2</v>
      </c>
      <c r="G380" s="2">
        <v>2</v>
      </c>
      <c r="H380" s="2">
        <v>103</v>
      </c>
      <c r="I380" s="2">
        <v>16</v>
      </c>
      <c r="J380" s="3">
        <v>80</v>
      </c>
    </row>
    <row r="381" spans="2:10">
      <c r="B381">
        <v>2</v>
      </c>
      <c r="C381" s="2" t="s">
        <v>18</v>
      </c>
      <c r="D381" s="2">
        <v>30</v>
      </c>
      <c r="E381" s="2">
        <v>25</v>
      </c>
      <c r="F381" s="2">
        <v>3</v>
      </c>
      <c r="G381" s="2">
        <v>2</v>
      </c>
      <c r="H381" s="2">
        <v>106</v>
      </c>
      <c r="I381" s="2">
        <v>19</v>
      </c>
      <c r="J381" s="3">
        <v>78</v>
      </c>
    </row>
    <row r="382" spans="2:10">
      <c r="B382">
        <v>3</v>
      </c>
      <c r="C382" s="2" t="s">
        <v>32</v>
      </c>
      <c r="D382" s="2">
        <v>30</v>
      </c>
      <c r="E382" s="2">
        <v>25</v>
      </c>
      <c r="F382" s="2">
        <v>2</v>
      </c>
      <c r="G382" s="2">
        <v>3</v>
      </c>
      <c r="H382" s="2">
        <v>81</v>
      </c>
      <c r="I382" s="2">
        <v>22</v>
      </c>
      <c r="J382" s="3">
        <v>77</v>
      </c>
    </row>
    <row r="383" spans="2:10">
      <c r="B383">
        <v>4</v>
      </c>
      <c r="C383" s="2" t="s">
        <v>33</v>
      </c>
      <c r="D383" s="2">
        <v>30</v>
      </c>
      <c r="E383" s="2">
        <v>22</v>
      </c>
      <c r="F383" s="2">
        <v>3</v>
      </c>
      <c r="G383" s="2">
        <v>5</v>
      </c>
      <c r="H383" s="2">
        <v>96</v>
      </c>
      <c r="I383" s="2">
        <v>26</v>
      </c>
      <c r="J383" s="3">
        <v>69</v>
      </c>
    </row>
    <row r="384" spans="2:10">
      <c r="B384">
        <v>5</v>
      </c>
      <c r="C384" s="2" t="s">
        <v>70</v>
      </c>
      <c r="D384" s="2">
        <v>30</v>
      </c>
      <c r="E384" s="2">
        <v>20</v>
      </c>
      <c r="F384" s="2">
        <v>4</v>
      </c>
      <c r="G384" s="2">
        <v>6</v>
      </c>
      <c r="H384" s="2">
        <v>90</v>
      </c>
      <c r="I384" s="2">
        <v>34</v>
      </c>
      <c r="J384" s="3">
        <v>64</v>
      </c>
    </row>
    <row r="385" spans="2:10">
      <c r="B385">
        <v>6</v>
      </c>
      <c r="C385" s="2" t="s">
        <v>43</v>
      </c>
      <c r="D385" s="2">
        <v>30</v>
      </c>
      <c r="E385" s="2">
        <v>16</v>
      </c>
      <c r="F385" s="2">
        <v>2</v>
      </c>
      <c r="G385" s="2">
        <v>12</v>
      </c>
      <c r="H385" s="2">
        <v>67</v>
      </c>
      <c r="I385" s="2">
        <v>37</v>
      </c>
      <c r="J385" s="3">
        <v>50</v>
      </c>
    </row>
    <row r="386" spans="2:10">
      <c r="B386">
        <v>7</v>
      </c>
      <c r="C386" s="2" t="s">
        <v>50</v>
      </c>
      <c r="D386" s="2">
        <v>30</v>
      </c>
      <c r="E386" s="2">
        <v>11</v>
      </c>
      <c r="F386" s="2">
        <v>3</v>
      </c>
      <c r="G386" s="2">
        <v>16</v>
      </c>
      <c r="H386" s="2">
        <v>42</v>
      </c>
      <c r="I386" s="2">
        <v>55</v>
      </c>
      <c r="J386" s="3">
        <v>36</v>
      </c>
    </row>
    <row r="387" spans="2:10">
      <c r="B387">
        <v>8</v>
      </c>
      <c r="C387" s="2" t="s">
        <v>58</v>
      </c>
      <c r="D387" s="2">
        <v>30</v>
      </c>
      <c r="E387" s="2">
        <v>11</v>
      </c>
      <c r="F387" s="2">
        <v>3</v>
      </c>
      <c r="G387" s="2">
        <v>16</v>
      </c>
      <c r="H387" s="2">
        <v>40</v>
      </c>
      <c r="I387" s="2">
        <v>56</v>
      </c>
      <c r="J387" s="3">
        <v>36</v>
      </c>
    </row>
    <row r="388" spans="2:10">
      <c r="B388">
        <v>9</v>
      </c>
      <c r="C388" s="2" t="s">
        <v>99</v>
      </c>
      <c r="D388" s="2">
        <v>30</v>
      </c>
      <c r="E388" s="2">
        <v>8</v>
      </c>
      <c r="F388" s="2">
        <v>4</v>
      </c>
      <c r="G388" s="2">
        <v>18</v>
      </c>
      <c r="H388" s="2">
        <v>37</v>
      </c>
      <c r="I388" s="2">
        <v>65</v>
      </c>
      <c r="J388" s="3">
        <v>28</v>
      </c>
    </row>
    <row r="389" spans="2:10">
      <c r="B389">
        <v>10</v>
      </c>
      <c r="C389" s="2" t="s">
        <v>68</v>
      </c>
      <c r="D389" s="2">
        <v>30</v>
      </c>
      <c r="E389" s="2">
        <v>8</v>
      </c>
      <c r="F389" s="2">
        <v>4</v>
      </c>
      <c r="G389" s="2">
        <v>18</v>
      </c>
      <c r="H389" s="2">
        <v>40</v>
      </c>
      <c r="I389" s="2">
        <v>85</v>
      </c>
      <c r="J389" s="3">
        <v>28</v>
      </c>
    </row>
    <row r="390" spans="2:10">
      <c r="B390">
        <v>11</v>
      </c>
      <c r="C390" s="2" t="s">
        <v>52</v>
      </c>
      <c r="D390" s="2">
        <v>30</v>
      </c>
      <c r="E390" s="2">
        <v>8</v>
      </c>
      <c r="F390" s="2">
        <v>3</v>
      </c>
      <c r="G390" s="2">
        <v>19</v>
      </c>
      <c r="H390" s="2">
        <v>35</v>
      </c>
      <c r="I390" s="2">
        <v>86</v>
      </c>
      <c r="J390" s="3">
        <v>27</v>
      </c>
    </row>
    <row r="391" spans="2:10">
      <c r="B391">
        <v>12</v>
      </c>
      <c r="C391" s="2" t="s">
        <v>71</v>
      </c>
      <c r="D391" s="2">
        <v>30</v>
      </c>
      <c r="E391" s="2">
        <v>7</v>
      </c>
      <c r="F391" s="2">
        <v>3</v>
      </c>
      <c r="G391" s="2">
        <v>20</v>
      </c>
      <c r="H391" s="2">
        <v>36</v>
      </c>
      <c r="I391" s="2">
        <v>79</v>
      </c>
      <c r="J391" s="3">
        <v>24</v>
      </c>
    </row>
    <row r="392" spans="2:10">
      <c r="B392">
        <v>13</v>
      </c>
      <c r="C392" s="2" t="s">
        <v>53</v>
      </c>
      <c r="D392" s="2">
        <v>30</v>
      </c>
      <c r="E392" s="2">
        <v>5</v>
      </c>
      <c r="F392" s="2">
        <v>7</v>
      </c>
      <c r="G392" s="2">
        <v>18</v>
      </c>
      <c r="H392" s="2">
        <v>28</v>
      </c>
      <c r="I392" s="2">
        <v>68</v>
      </c>
      <c r="J392" s="3">
        <v>22</v>
      </c>
    </row>
    <row r="393" spans="2:10">
      <c r="B393">
        <v>14</v>
      </c>
      <c r="C393" s="2" t="s">
        <v>95</v>
      </c>
      <c r="D393" s="2">
        <v>30</v>
      </c>
      <c r="E393" s="2">
        <v>5</v>
      </c>
      <c r="F393" s="2">
        <v>4</v>
      </c>
      <c r="G393" s="2">
        <v>21</v>
      </c>
      <c r="H393" s="2">
        <v>17</v>
      </c>
      <c r="I393" s="2">
        <v>85</v>
      </c>
      <c r="J393" s="3">
        <v>19</v>
      </c>
    </row>
    <row r="394" spans="2:10">
      <c r="B394">
        <v>15</v>
      </c>
      <c r="C394" s="2" t="s">
        <v>100</v>
      </c>
      <c r="D394" s="2">
        <v>30</v>
      </c>
      <c r="E394" s="2">
        <v>4</v>
      </c>
      <c r="F394" s="2">
        <v>3</v>
      </c>
      <c r="G394" s="2">
        <v>23</v>
      </c>
      <c r="H394" s="2">
        <v>16</v>
      </c>
      <c r="I394" s="2">
        <v>91</v>
      </c>
      <c r="J394" s="3">
        <v>15</v>
      </c>
    </row>
    <row r="395" spans="2:10">
      <c r="B395">
        <v>16</v>
      </c>
      <c r="C395" s="2" t="s">
        <v>103</v>
      </c>
      <c r="D395" s="2">
        <v>25</v>
      </c>
      <c r="E395" s="2">
        <v>13</v>
      </c>
      <c r="F395" s="2">
        <v>2</v>
      </c>
      <c r="G395" s="2">
        <v>10</v>
      </c>
      <c r="H395" s="2">
        <v>62</v>
      </c>
      <c r="I395" s="2">
        <v>42</v>
      </c>
      <c r="J395" s="3">
        <v>41</v>
      </c>
    </row>
  </sheetData>
  <mergeCells count="22">
    <mergeCell ref="B361:J361"/>
    <mergeCell ref="B379:J379"/>
    <mergeCell ref="B199:J199"/>
    <mergeCell ref="B1:J1"/>
    <mergeCell ref="B19:J19"/>
    <mergeCell ref="B37:J37"/>
    <mergeCell ref="B55:J55"/>
    <mergeCell ref="B73:J73"/>
    <mergeCell ref="B91:J91"/>
    <mergeCell ref="B109:J109"/>
    <mergeCell ref="B127:J127"/>
    <mergeCell ref="B145:J145"/>
    <mergeCell ref="B163:J163"/>
    <mergeCell ref="B181:J181"/>
    <mergeCell ref="B343:J343"/>
    <mergeCell ref="B325:J325"/>
    <mergeCell ref="B307:J307"/>
    <mergeCell ref="B217:J217"/>
    <mergeCell ref="B235:J235"/>
    <mergeCell ref="B253:J253"/>
    <mergeCell ref="B271:J271"/>
    <mergeCell ref="B289:J289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4"/>
  <sheetViews>
    <sheetView workbookViewId="0">
      <selection activeCell="Q19" sqref="Q19"/>
    </sheetView>
  </sheetViews>
  <sheetFormatPr defaultRowHeight="15"/>
  <cols>
    <col min="3" max="3" width="9" bestFit="1" customWidth="1"/>
    <col min="4" max="4" width="30.7109375" bestFit="1" customWidth="1"/>
    <col min="9" max="10" width="11.5703125" customWidth="1"/>
    <col min="12" max="12" width="12.140625" style="11" customWidth="1"/>
    <col min="13" max="13" width="10.85546875" style="12" customWidth="1"/>
    <col min="14" max="14" width="11.42578125" style="12" customWidth="1"/>
  </cols>
  <sheetData>
    <row r="1" spans="1:14">
      <c r="A1" t="s">
        <v>97</v>
      </c>
      <c r="B1" t="s">
        <v>96</v>
      </c>
      <c r="C1" t="s">
        <v>72</v>
      </c>
      <c r="D1" t="s">
        <v>73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s="11" t="s">
        <v>84</v>
      </c>
      <c r="M1" s="12" t="s">
        <v>85</v>
      </c>
      <c r="N1" s="12" t="s">
        <v>86</v>
      </c>
    </row>
    <row r="2" spans="1:14">
      <c r="A2">
        <v>1</v>
      </c>
      <c r="B2">
        <f>C2-A2</f>
        <v>0</v>
      </c>
      <c r="C2">
        <v>1</v>
      </c>
      <c r="D2" s="8" t="s">
        <v>18</v>
      </c>
      <c r="E2" s="9">
        <v>630</v>
      </c>
      <c r="F2" s="8">
        <v>425</v>
      </c>
      <c r="G2" s="8">
        <v>88</v>
      </c>
      <c r="H2" s="8">
        <f>E2-F2-G2</f>
        <v>117</v>
      </c>
      <c r="I2" s="8">
        <v>1966</v>
      </c>
      <c r="J2" s="8">
        <v>576</v>
      </c>
      <c r="K2" s="10">
        <f>(F2*3)+G2</f>
        <v>1363</v>
      </c>
      <c r="L2" s="11">
        <f>K2/(E2*3)</f>
        <v>0.72116402116402112</v>
      </c>
      <c r="M2" s="12">
        <f>I2/E2</f>
        <v>3.1206349206349207</v>
      </c>
      <c r="N2" s="12">
        <f>J2/E2</f>
        <v>0.91428571428571426</v>
      </c>
    </row>
    <row r="3" spans="1:14">
      <c r="A3">
        <v>2</v>
      </c>
      <c r="B3">
        <f t="shared" ref="B3:B54" si="0">C3-A3</f>
        <v>0</v>
      </c>
      <c r="C3">
        <v>2</v>
      </c>
      <c r="D3" s="8" t="s">
        <v>32</v>
      </c>
      <c r="E3" s="9">
        <v>510</v>
      </c>
      <c r="F3" s="8">
        <v>348</v>
      </c>
      <c r="G3" s="8">
        <v>73</v>
      </c>
      <c r="H3" s="8">
        <f>E3-F3-G3</f>
        <v>89</v>
      </c>
      <c r="I3" s="8">
        <v>1535</v>
      </c>
      <c r="J3" s="8">
        <v>406</v>
      </c>
      <c r="K3" s="10">
        <f>(F3*3)+G3</f>
        <v>1117</v>
      </c>
      <c r="L3" s="11">
        <f>K3/(E3*3)</f>
        <v>0.73006535947712414</v>
      </c>
      <c r="M3" s="12">
        <f>I3/E3</f>
        <v>3.0098039215686274</v>
      </c>
      <c r="N3" s="12">
        <f>J3/E3</f>
        <v>0.79607843137254897</v>
      </c>
    </row>
    <row r="4" spans="1:14">
      <c r="A4">
        <v>3</v>
      </c>
      <c r="B4">
        <f t="shared" si="0"/>
        <v>0</v>
      </c>
      <c r="C4">
        <v>3</v>
      </c>
      <c r="D4" s="8" t="s">
        <v>33</v>
      </c>
      <c r="E4" s="9">
        <v>510</v>
      </c>
      <c r="F4" s="8">
        <v>329</v>
      </c>
      <c r="G4" s="8">
        <v>66</v>
      </c>
      <c r="H4" s="8">
        <f>E4-F4-G4</f>
        <v>115</v>
      </c>
      <c r="I4" s="8">
        <v>1463</v>
      </c>
      <c r="J4" s="8">
        <v>499</v>
      </c>
      <c r="K4" s="10">
        <f>(F4*3)+G4</f>
        <v>1053</v>
      </c>
      <c r="L4" s="11">
        <f>K4/(E4*3)</f>
        <v>0.68823529411764706</v>
      </c>
      <c r="M4" s="12">
        <f>I4/E4</f>
        <v>2.8686274509803922</v>
      </c>
      <c r="N4" s="12">
        <f>J4/E4</f>
        <v>0.97843137254901957</v>
      </c>
    </row>
    <row r="5" spans="1:14">
      <c r="A5">
        <v>4</v>
      </c>
      <c r="B5">
        <f t="shared" si="0"/>
        <v>1</v>
      </c>
      <c r="C5">
        <v>5</v>
      </c>
      <c r="D5" s="8" t="s">
        <v>43</v>
      </c>
      <c r="E5" s="9">
        <v>390</v>
      </c>
      <c r="F5" s="8">
        <v>247</v>
      </c>
      <c r="G5" s="8">
        <v>55</v>
      </c>
      <c r="H5" s="8">
        <f>E5-F5-G5</f>
        <v>88</v>
      </c>
      <c r="I5" s="8">
        <v>1092</v>
      </c>
      <c r="J5" s="8">
        <v>362</v>
      </c>
      <c r="K5" s="10">
        <f>(F5*3)+G5</f>
        <v>796</v>
      </c>
      <c r="L5" s="11">
        <f>K5/(E5*3)</f>
        <v>0.68034188034188037</v>
      </c>
      <c r="M5" s="12">
        <f>I5/E5</f>
        <v>2.8</v>
      </c>
      <c r="N5" s="12">
        <f>J5/E5</f>
        <v>0.92820512820512824</v>
      </c>
    </row>
    <row r="6" spans="1:14">
      <c r="A6">
        <v>5</v>
      </c>
      <c r="B6">
        <f t="shared" si="0"/>
        <v>-1</v>
      </c>
      <c r="C6">
        <v>4</v>
      </c>
      <c r="D6" t="s">
        <v>24</v>
      </c>
      <c r="E6" s="6">
        <v>420</v>
      </c>
      <c r="F6">
        <v>239</v>
      </c>
      <c r="G6">
        <v>69</v>
      </c>
      <c r="H6">
        <f>E6-F6-G6</f>
        <v>112</v>
      </c>
      <c r="I6">
        <v>952</v>
      </c>
      <c r="J6">
        <v>569</v>
      </c>
      <c r="K6" s="1">
        <f>(F6*3)+G6</f>
        <v>786</v>
      </c>
      <c r="L6" s="11">
        <f>K6/(E6*3)</f>
        <v>0.62380952380952381</v>
      </c>
      <c r="M6" s="12">
        <f>I6/E6</f>
        <v>2.2666666666666666</v>
      </c>
      <c r="N6" s="12">
        <f>J6/E6</f>
        <v>1.3547619047619048</v>
      </c>
    </row>
    <row r="7" spans="1:14">
      <c r="A7">
        <v>6</v>
      </c>
      <c r="B7">
        <f t="shared" si="0"/>
        <v>0</v>
      </c>
      <c r="C7">
        <v>6</v>
      </c>
      <c r="D7" t="s">
        <v>4</v>
      </c>
      <c r="E7" s="6">
        <v>360</v>
      </c>
      <c r="F7">
        <v>178</v>
      </c>
      <c r="G7">
        <v>69</v>
      </c>
      <c r="H7">
        <f>E7-F7-G7</f>
        <v>113</v>
      </c>
      <c r="I7">
        <v>647</v>
      </c>
      <c r="J7">
        <v>438</v>
      </c>
      <c r="K7" s="1">
        <f>(F7*3)+G7</f>
        <v>603</v>
      </c>
      <c r="L7" s="11">
        <f>K7/(E7*3)</f>
        <v>0.55833333333333335</v>
      </c>
      <c r="M7" s="12">
        <f>I7/E7</f>
        <v>1.7972222222222223</v>
      </c>
      <c r="N7" s="12">
        <f>J7/E7</f>
        <v>1.2166666666666666</v>
      </c>
    </row>
    <row r="8" spans="1:14">
      <c r="A8">
        <v>7</v>
      </c>
      <c r="B8">
        <f t="shared" si="0"/>
        <v>0</v>
      </c>
      <c r="C8">
        <v>7</v>
      </c>
      <c r="D8" t="s">
        <v>27</v>
      </c>
      <c r="E8" s="6">
        <v>360</v>
      </c>
      <c r="F8">
        <v>174</v>
      </c>
      <c r="G8">
        <v>74</v>
      </c>
      <c r="H8">
        <f>E8-F8-G8</f>
        <v>112</v>
      </c>
      <c r="I8">
        <v>740</v>
      </c>
      <c r="J8">
        <v>436</v>
      </c>
      <c r="K8" s="1">
        <f>(F8*3)+G8</f>
        <v>596</v>
      </c>
      <c r="L8" s="11">
        <f>K8/(E8*3)</f>
        <v>0.55185185185185182</v>
      </c>
      <c r="M8" s="12">
        <f>I8/E8</f>
        <v>2.0555555555555554</v>
      </c>
      <c r="N8" s="12">
        <f>J8/E8</f>
        <v>1.211111111111111</v>
      </c>
    </row>
    <row r="9" spans="1:14">
      <c r="A9">
        <v>8</v>
      </c>
      <c r="B9">
        <f t="shared" si="0"/>
        <v>0</v>
      </c>
      <c r="C9">
        <v>8</v>
      </c>
      <c r="D9" t="s">
        <v>23</v>
      </c>
      <c r="E9" s="6">
        <v>300</v>
      </c>
      <c r="F9">
        <v>174</v>
      </c>
      <c r="G9">
        <v>61</v>
      </c>
      <c r="H9">
        <f>E9-F9-G9</f>
        <v>65</v>
      </c>
      <c r="I9">
        <v>650</v>
      </c>
      <c r="J9">
        <v>287</v>
      </c>
      <c r="K9" s="1">
        <f>(F9*3)+G9</f>
        <v>583</v>
      </c>
      <c r="L9" s="11">
        <f>K9/(E9*3)</f>
        <v>0.64777777777777779</v>
      </c>
      <c r="M9" s="12">
        <f>I9/E9</f>
        <v>2.1666666666666665</v>
      </c>
      <c r="N9" s="12">
        <f>J9/E9</f>
        <v>0.95666666666666667</v>
      </c>
    </row>
    <row r="10" spans="1:14">
      <c r="A10">
        <v>9</v>
      </c>
      <c r="B10">
        <f t="shared" si="0"/>
        <v>0</v>
      </c>
      <c r="C10">
        <v>9</v>
      </c>
      <c r="D10" t="s">
        <v>0</v>
      </c>
      <c r="E10" s="6">
        <v>300</v>
      </c>
      <c r="F10">
        <v>166</v>
      </c>
      <c r="G10">
        <v>62</v>
      </c>
      <c r="H10">
        <f>E10-F10-G10</f>
        <v>72</v>
      </c>
      <c r="I10">
        <v>605</v>
      </c>
      <c r="J10">
        <v>320</v>
      </c>
      <c r="K10" s="1">
        <f>(F10*3)+G10</f>
        <v>560</v>
      </c>
      <c r="L10" s="11">
        <f>K10/(E10*3)</f>
        <v>0.62222222222222223</v>
      </c>
      <c r="M10" s="12">
        <f>I10/E10</f>
        <v>2.0166666666666666</v>
      </c>
      <c r="N10" s="12">
        <f>J10/E10</f>
        <v>1.0666666666666667</v>
      </c>
    </row>
    <row r="11" spans="1:14">
      <c r="A11">
        <v>10</v>
      </c>
      <c r="B11">
        <f t="shared" si="0"/>
        <v>2</v>
      </c>
      <c r="C11">
        <v>12</v>
      </c>
      <c r="D11" s="8" t="s">
        <v>51</v>
      </c>
      <c r="E11" s="9">
        <v>295</v>
      </c>
      <c r="F11" s="8">
        <v>173</v>
      </c>
      <c r="G11" s="8">
        <v>34</v>
      </c>
      <c r="H11" s="8">
        <f>E11-F11-G11</f>
        <v>88</v>
      </c>
      <c r="I11" s="8">
        <v>709</v>
      </c>
      <c r="J11" s="8">
        <v>342</v>
      </c>
      <c r="K11" s="10">
        <f>(F11*3)+G11</f>
        <v>553</v>
      </c>
      <c r="L11" s="11">
        <f>K11/(E11*3)</f>
        <v>0.62485875706214689</v>
      </c>
      <c r="M11" s="12">
        <f>I11/E11</f>
        <v>2.4033898305084747</v>
      </c>
      <c r="N11" s="12">
        <f>J11/E11</f>
        <v>1.159322033898305</v>
      </c>
    </row>
    <row r="12" spans="1:14">
      <c r="A12">
        <v>11</v>
      </c>
      <c r="B12">
        <f t="shared" si="0"/>
        <v>-1</v>
      </c>
      <c r="C12">
        <v>10</v>
      </c>
      <c r="D12" t="s">
        <v>3</v>
      </c>
      <c r="E12" s="6">
        <v>330</v>
      </c>
      <c r="F12">
        <v>141</v>
      </c>
      <c r="G12">
        <v>76</v>
      </c>
      <c r="H12">
        <f>E12-F12-G12</f>
        <v>113</v>
      </c>
      <c r="I12">
        <v>523</v>
      </c>
      <c r="J12">
        <v>443</v>
      </c>
      <c r="K12" s="1">
        <f>(F12*3)+G12</f>
        <v>499</v>
      </c>
      <c r="L12" s="11">
        <f>K12/(E12*3)</f>
        <v>0.50404040404040407</v>
      </c>
      <c r="M12" s="12">
        <f>I12/E12</f>
        <v>1.584848484848485</v>
      </c>
      <c r="N12" s="12">
        <f>J12/E12</f>
        <v>1.3424242424242425</v>
      </c>
    </row>
    <row r="13" spans="1:14">
      <c r="A13">
        <v>12</v>
      </c>
      <c r="B13">
        <f t="shared" si="0"/>
        <v>3</v>
      </c>
      <c r="C13">
        <v>15</v>
      </c>
      <c r="D13" s="8" t="s">
        <v>50</v>
      </c>
      <c r="E13" s="9">
        <v>300</v>
      </c>
      <c r="F13" s="8">
        <v>131</v>
      </c>
      <c r="G13" s="8">
        <v>33</v>
      </c>
      <c r="H13" s="8">
        <f>E13-F13-G13</f>
        <v>136</v>
      </c>
      <c r="I13" s="8">
        <v>525</v>
      </c>
      <c r="J13" s="8">
        <v>472</v>
      </c>
      <c r="K13" s="10">
        <f>(F13*3)+G13</f>
        <v>426</v>
      </c>
      <c r="L13" s="11">
        <f>K13/(E13*3)</f>
        <v>0.47333333333333333</v>
      </c>
      <c r="M13" s="12">
        <f>I13/E13</f>
        <v>1.75</v>
      </c>
      <c r="N13" s="12">
        <f>J13/E13</f>
        <v>1.5733333333333333</v>
      </c>
    </row>
    <row r="14" spans="1:14">
      <c r="A14">
        <v>13</v>
      </c>
      <c r="B14">
        <f t="shared" si="0"/>
        <v>-2</v>
      </c>
      <c r="C14">
        <v>11</v>
      </c>
      <c r="D14" t="s">
        <v>6</v>
      </c>
      <c r="E14" s="6">
        <v>270</v>
      </c>
      <c r="F14">
        <v>111</v>
      </c>
      <c r="G14">
        <v>69</v>
      </c>
      <c r="H14">
        <f>E14-F14-G14</f>
        <v>90</v>
      </c>
      <c r="I14">
        <v>413</v>
      </c>
      <c r="J14">
        <v>354</v>
      </c>
      <c r="K14" s="1">
        <f>(F14*3)+G14</f>
        <v>402</v>
      </c>
      <c r="L14" s="11">
        <f>K14/(E14*3)</f>
        <v>0.49629629629629629</v>
      </c>
      <c r="M14" s="12">
        <f>I14/E14</f>
        <v>1.5296296296296297</v>
      </c>
      <c r="N14" s="12">
        <f>J14/E14</f>
        <v>1.3111111111111111</v>
      </c>
    </row>
    <row r="15" spans="1:14">
      <c r="A15">
        <v>14</v>
      </c>
      <c r="B15">
        <f t="shared" si="0"/>
        <v>-1</v>
      </c>
      <c r="C15">
        <v>13</v>
      </c>
      <c r="D15" t="s">
        <v>1</v>
      </c>
      <c r="E15" s="6">
        <v>240</v>
      </c>
      <c r="F15">
        <v>100</v>
      </c>
      <c r="G15">
        <v>63</v>
      </c>
      <c r="H15">
        <f>E15-F15-G15</f>
        <v>77</v>
      </c>
      <c r="I15">
        <v>373</v>
      </c>
      <c r="J15">
        <v>316</v>
      </c>
      <c r="K15" s="1">
        <f>(F15*3)+G15</f>
        <v>363</v>
      </c>
      <c r="L15" s="11">
        <f>K15/(E15*3)</f>
        <v>0.50416666666666665</v>
      </c>
      <c r="M15" s="12">
        <f>I15/E15</f>
        <v>1.5541666666666667</v>
      </c>
      <c r="N15" s="12">
        <f>J15/E15</f>
        <v>1.3166666666666667</v>
      </c>
    </row>
    <row r="16" spans="1:14">
      <c r="A16">
        <v>15</v>
      </c>
      <c r="B16">
        <f t="shared" si="0"/>
        <v>-1</v>
      </c>
      <c r="C16">
        <v>14</v>
      </c>
      <c r="D16" t="s">
        <v>9</v>
      </c>
      <c r="E16" s="6">
        <v>300</v>
      </c>
      <c r="F16">
        <v>89</v>
      </c>
      <c r="G16">
        <v>67</v>
      </c>
      <c r="H16">
        <f>E16-F16-G16</f>
        <v>144</v>
      </c>
      <c r="I16">
        <v>417</v>
      </c>
      <c r="J16">
        <v>458</v>
      </c>
      <c r="K16" s="1">
        <f>(F16*3)+G16</f>
        <v>334</v>
      </c>
      <c r="L16" s="11">
        <f>K16/(E16*3)</f>
        <v>0.37111111111111111</v>
      </c>
      <c r="M16" s="12">
        <f>I16/E16</f>
        <v>1.39</v>
      </c>
      <c r="N16" s="12">
        <f>J16/E16</f>
        <v>1.5266666666666666</v>
      </c>
    </row>
    <row r="17" spans="1:14">
      <c r="A17">
        <v>16</v>
      </c>
      <c r="B17">
        <f t="shared" si="0"/>
        <v>14</v>
      </c>
      <c r="C17">
        <v>30</v>
      </c>
      <c r="D17" s="8" t="s">
        <v>64</v>
      </c>
      <c r="E17" s="9">
        <v>180</v>
      </c>
      <c r="F17" s="8">
        <v>93</v>
      </c>
      <c r="G17" s="8">
        <v>25</v>
      </c>
      <c r="H17" s="8">
        <f>E17-F17-G17</f>
        <v>62</v>
      </c>
      <c r="I17" s="8">
        <v>367</v>
      </c>
      <c r="J17" s="8">
        <v>200</v>
      </c>
      <c r="K17" s="10">
        <f>(F17*3)+G17</f>
        <v>304</v>
      </c>
      <c r="L17" s="11">
        <f>K17/(E17*3)</f>
        <v>0.562962962962963</v>
      </c>
      <c r="M17" s="12">
        <f>I17/E17</f>
        <v>2.0388888888888888</v>
      </c>
      <c r="N17" s="12">
        <f>J17/E17</f>
        <v>1.1111111111111112</v>
      </c>
    </row>
    <row r="18" spans="1:14">
      <c r="A18">
        <v>17</v>
      </c>
      <c r="B18">
        <f t="shared" si="0"/>
        <v>5</v>
      </c>
      <c r="C18">
        <v>22</v>
      </c>
      <c r="D18" s="8" t="s">
        <v>58</v>
      </c>
      <c r="E18" s="9">
        <v>240</v>
      </c>
      <c r="F18" s="8">
        <v>86</v>
      </c>
      <c r="G18" s="8">
        <v>42</v>
      </c>
      <c r="H18" s="8">
        <f>E18-F18-G18</f>
        <v>112</v>
      </c>
      <c r="I18" s="8">
        <v>381</v>
      </c>
      <c r="J18" s="8">
        <v>446</v>
      </c>
      <c r="K18" s="10">
        <f>(F18*3)+G18</f>
        <v>300</v>
      </c>
      <c r="L18" s="11">
        <f>K18/(E18*3)</f>
        <v>0.41666666666666669</v>
      </c>
      <c r="M18" s="12">
        <f>I18/E18</f>
        <v>1.5874999999999999</v>
      </c>
      <c r="N18" s="12">
        <f>J18/E18</f>
        <v>1.8583333333333334</v>
      </c>
    </row>
    <row r="19" spans="1:14">
      <c r="A19">
        <v>18</v>
      </c>
      <c r="B19">
        <f t="shared" si="0"/>
        <v>-2</v>
      </c>
      <c r="C19">
        <v>16</v>
      </c>
      <c r="D19" t="s">
        <v>25</v>
      </c>
      <c r="E19" s="6">
        <v>240</v>
      </c>
      <c r="F19">
        <v>77</v>
      </c>
      <c r="G19">
        <v>58</v>
      </c>
      <c r="H19">
        <f>E19-F19-G19</f>
        <v>105</v>
      </c>
      <c r="I19">
        <v>371</v>
      </c>
      <c r="J19">
        <v>387</v>
      </c>
      <c r="K19" s="1">
        <f>(F19*3)+G19</f>
        <v>289</v>
      </c>
      <c r="L19" s="11">
        <f>K19/(E19*3)</f>
        <v>0.40138888888888891</v>
      </c>
      <c r="M19" s="12">
        <f>I19/E19</f>
        <v>1.5458333333333334</v>
      </c>
      <c r="N19" s="12">
        <f>J19/E19</f>
        <v>1.6125</v>
      </c>
    </row>
    <row r="20" spans="1:14">
      <c r="A20">
        <v>19</v>
      </c>
      <c r="B20">
        <f t="shared" si="0"/>
        <v>5</v>
      </c>
      <c r="C20">
        <v>24</v>
      </c>
      <c r="D20" s="8" t="s">
        <v>52</v>
      </c>
      <c r="E20" s="9">
        <v>300</v>
      </c>
      <c r="F20" s="8">
        <v>77</v>
      </c>
      <c r="G20" s="8">
        <v>39</v>
      </c>
      <c r="H20" s="8">
        <f>E20-F20-G20</f>
        <v>184</v>
      </c>
      <c r="I20" s="8">
        <v>385</v>
      </c>
      <c r="J20" s="8">
        <v>726</v>
      </c>
      <c r="K20" s="10">
        <f>(F20*3)+G20</f>
        <v>270</v>
      </c>
      <c r="L20" s="11">
        <f>K20/(E20*3)</f>
        <v>0.3</v>
      </c>
      <c r="M20" s="12">
        <f>I20/E20</f>
        <v>1.2833333333333334</v>
      </c>
      <c r="N20" s="12">
        <f>J20/E20</f>
        <v>2.42</v>
      </c>
    </row>
    <row r="21" spans="1:14">
      <c r="A21">
        <v>20</v>
      </c>
      <c r="B21">
        <f t="shared" si="0"/>
        <v>-1</v>
      </c>
      <c r="C21">
        <v>19</v>
      </c>
      <c r="D21" s="8" t="s">
        <v>53</v>
      </c>
      <c r="E21" s="9">
        <v>270</v>
      </c>
      <c r="F21" s="8">
        <v>70</v>
      </c>
      <c r="G21" s="8">
        <v>45</v>
      </c>
      <c r="H21" s="8">
        <f>E21-F21-G21</f>
        <v>155</v>
      </c>
      <c r="I21" s="8">
        <v>295</v>
      </c>
      <c r="J21" s="8">
        <v>528</v>
      </c>
      <c r="K21" s="10">
        <f>(F21*3)+G21</f>
        <v>255</v>
      </c>
      <c r="L21" s="11">
        <f>K21/(E21*3)</f>
        <v>0.31481481481481483</v>
      </c>
      <c r="M21" s="12">
        <f>I21/E21</f>
        <v>1.0925925925925926</v>
      </c>
      <c r="N21" s="12">
        <f>J21/E21</f>
        <v>1.9555555555555555</v>
      </c>
    </row>
    <row r="22" spans="1:14">
      <c r="A22">
        <v>21</v>
      </c>
      <c r="B22">
        <f t="shared" si="0"/>
        <v>16</v>
      </c>
      <c r="C22">
        <v>37</v>
      </c>
      <c r="D22" s="8" t="s">
        <v>70</v>
      </c>
      <c r="E22" s="9">
        <v>120</v>
      </c>
      <c r="F22" s="8">
        <v>72</v>
      </c>
      <c r="G22" s="8">
        <v>15</v>
      </c>
      <c r="H22" s="8">
        <f>E22-F22-G22</f>
        <v>33</v>
      </c>
      <c r="I22" s="8">
        <v>274</v>
      </c>
      <c r="J22" s="8">
        <v>156</v>
      </c>
      <c r="K22" s="10">
        <f>(F22*3)+G22</f>
        <v>231</v>
      </c>
      <c r="L22" s="11">
        <f>K22/(E22*3)</f>
        <v>0.64166666666666672</v>
      </c>
      <c r="M22" s="12">
        <f>I22/E22</f>
        <v>2.2833333333333332</v>
      </c>
      <c r="N22" s="12">
        <f>J22/E22</f>
        <v>1.3</v>
      </c>
    </row>
    <row r="23" spans="1:14">
      <c r="A23">
        <v>22</v>
      </c>
      <c r="B23">
        <f t="shared" si="0"/>
        <v>-5</v>
      </c>
      <c r="C23">
        <v>17</v>
      </c>
      <c r="D23" t="s">
        <v>28</v>
      </c>
      <c r="E23" s="6">
        <v>180</v>
      </c>
      <c r="F23">
        <v>64</v>
      </c>
      <c r="G23">
        <v>37</v>
      </c>
      <c r="H23">
        <f>E23-F23-G23</f>
        <v>79</v>
      </c>
      <c r="I23">
        <v>222</v>
      </c>
      <c r="J23">
        <v>254</v>
      </c>
      <c r="K23" s="1">
        <f>(F23*3)+G23</f>
        <v>229</v>
      </c>
      <c r="L23" s="11">
        <f>K23/(E23*3)</f>
        <v>0.42407407407407405</v>
      </c>
      <c r="M23" s="12">
        <f>I23/E23</f>
        <v>1.2333333333333334</v>
      </c>
      <c r="N23" s="12">
        <f>J23/E23</f>
        <v>1.4111111111111112</v>
      </c>
    </row>
    <row r="24" spans="1:14">
      <c r="A24">
        <v>23</v>
      </c>
      <c r="B24">
        <f t="shared" si="0"/>
        <v>-5</v>
      </c>
      <c r="C24">
        <v>18</v>
      </c>
      <c r="D24" t="s">
        <v>55</v>
      </c>
      <c r="E24" s="6">
        <v>180</v>
      </c>
      <c r="F24">
        <v>64</v>
      </c>
      <c r="G24">
        <v>29</v>
      </c>
      <c r="H24">
        <f>E24-F24-G24</f>
        <v>87</v>
      </c>
      <c r="I24">
        <v>291</v>
      </c>
      <c r="J24">
        <v>332</v>
      </c>
      <c r="K24" s="1">
        <f>(F24*3)+G24</f>
        <v>221</v>
      </c>
      <c r="L24" s="11">
        <f>K24/(E24*3)</f>
        <v>0.40925925925925927</v>
      </c>
      <c r="M24" s="12">
        <f>I24/E24</f>
        <v>1.6166666666666667</v>
      </c>
      <c r="N24" s="12">
        <f>J24/E24</f>
        <v>1.8444444444444446</v>
      </c>
    </row>
    <row r="25" spans="1:14">
      <c r="A25">
        <v>24</v>
      </c>
      <c r="B25">
        <f t="shared" si="0"/>
        <v>-4</v>
      </c>
      <c r="C25">
        <v>20</v>
      </c>
      <c r="D25" t="s">
        <v>7</v>
      </c>
      <c r="E25" s="6">
        <v>150</v>
      </c>
      <c r="F25">
        <v>59</v>
      </c>
      <c r="G25">
        <v>32</v>
      </c>
      <c r="H25">
        <f>E25-F25-G25</f>
        <v>59</v>
      </c>
      <c r="I25">
        <v>206</v>
      </c>
      <c r="J25">
        <v>185</v>
      </c>
      <c r="K25" s="1">
        <f>(F25*3)+G25</f>
        <v>209</v>
      </c>
      <c r="L25" s="11">
        <f>K25/(E25*3)</f>
        <v>0.46444444444444444</v>
      </c>
      <c r="M25" s="12">
        <f>I25/E25</f>
        <v>1.3733333333333333</v>
      </c>
      <c r="N25" s="12">
        <f>J25/E25</f>
        <v>1.2333333333333334</v>
      </c>
    </row>
    <row r="26" spans="1:14">
      <c r="A26">
        <v>25</v>
      </c>
      <c r="B26">
        <f t="shared" si="0"/>
        <v>0</v>
      </c>
      <c r="C26">
        <v>25</v>
      </c>
      <c r="D26" s="8" t="s">
        <v>56</v>
      </c>
      <c r="E26" s="9">
        <v>240</v>
      </c>
      <c r="F26" s="8">
        <v>55</v>
      </c>
      <c r="G26" s="8">
        <v>33</v>
      </c>
      <c r="H26" s="8">
        <f>E26-F26-G26</f>
        <v>152</v>
      </c>
      <c r="I26" s="8">
        <v>278</v>
      </c>
      <c r="J26" s="8">
        <v>627</v>
      </c>
      <c r="K26" s="10">
        <f>(F26*3)+G26</f>
        <v>198</v>
      </c>
      <c r="L26" s="11">
        <f>K26/(E26*3)</f>
        <v>0.27500000000000002</v>
      </c>
      <c r="M26" s="12">
        <f>I26/E26</f>
        <v>1.1583333333333334</v>
      </c>
      <c r="N26" s="12">
        <f>J26/E26</f>
        <v>2.6124999999999998</v>
      </c>
    </row>
    <row r="27" spans="1:14">
      <c r="A27">
        <v>26</v>
      </c>
      <c r="B27">
        <f t="shared" si="0"/>
        <v>-5</v>
      </c>
      <c r="C27">
        <v>21</v>
      </c>
      <c r="D27" t="s">
        <v>2</v>
      </c>
      <c r="E27" s="6">
        <v>180</v>
      </c>
      <c r="F27">
        <v>49</v>
      </c>
      <c r="G27">
        <v>46</v>
      </c>
      <c r="H27">
        <f>E27-F27-G27</f>
        <v>85</v>
      </c>
      <c r="I27">
        <v>250</v>
      </c>
      <c r="J27">
        <v>286</v>
      </c>
      <c r="K27" s="1">
        <f>(F27*3)+G27</f>
        <v>193</v>
      </c>
      <c r="L27" s="11">
        <f>K27/(E27*3)</f>
        <v>0.3574074074074074</v>
      </c>
      <c r="M27" s="12">
        <f>I27/E27</f>
        <v>1.3888888888888888</v>
      </c>
      <c r="N27" s="12">
        <f>J27/E27</f>
        <v>1.5888888888888888</v>
      </c>
    </row>
    <row r="28" spans="1:14">
      <c r="A28">
        <v>27</v>
      </c>
      <c r="B28">
        <f t="shared" si="0"/>
        <v>-4</v>
      </c>
      <c r="C28">
        <v>23</v>
      </c>
      <c r="D28" t="s">
        <v>41</v>
      </c>
      <c r="E28" s="6">
        <v>180</v>
      </c>
      <c r="F28">
        <v>50</v>
      </c>
      <c r="G28">
        <v>28</v>
      </c>
      <c r="H28">
        <f>E28-F28-G28</f>
        <v>102</v>
      </c>
      <c r="I28">
        <v>295</v>
      </c>
      <c r="J28">
        <v>372</v>
      </c>
      <c r="K28" s="1">
        <f>(F28*3)+G28</f>
        <v>178</v>
      </c>
      <c r="L28" s="11">
        <f>K28/(E28*3)</f>
        <v>0.32962962962962961</v>
      </c>
      <c r="M28" s="12">
        <f>I28/E28</f>
        <v>1.6388888888888888</v>
      </c>
      <c r="N28" s="12">
        <f>J28/E28</f>
        <v>2.0666666666666669</v>
      </c>
    </row>
    <row r="29" spans="1:14">
      <c r="A29">
        <v>28</v>
      </c>
      <c r="B29">
        <f t="shared" si="0"/>
        <v>0</v>
      </c>
      <c r="C29">
        <v>28</v>
      </c>
      <c r="D29" t="s">
        <v>61</v>
      </c>
      <c r="E29" s="6">
        <v>179</v>
      </c>
      <c r="F29">
        <v>47</v>
      </c>
      <c r="G29">
        <v>26</v>
      </c>
      <c r="H29">
        <f>E29-F29-G29</f>
        <v>106</v>
      </c>
      <c r="I29">
        <v>185</v>
      </c>
      <c r="J29">
        <v>443</v>
      </c>
      <c r="K29" s="1">
        <f>(F29*3)+G29</f>
        <v>167</v>
      </c>
      <c r="L29" s="11">
        <f>K29/(E29*3)</f>
        <v>0.31098696461824954</v>
      </c>
      <c r="M29" s="12">
        <f>I29/E29</f>
        <v>1.0335195530726258</v>
      </c>
      <c r="N29" s="12">
        <f>J29/E29</f>
        <v>2.4748603351955309</v>
      </c>
    </row>
    <row r="30" spans="1:14">
      <c r="A30">
        <v>29</v>
      </c>
      <c r="B30">
        <f t="shared" si="0"/>
        <v>-3</v>
      </c>
      <c r="C30">
        <v>26</v>
      </c>
      <c r="D30" t="s">
        <v>5</v>
      </c>
      <c r="E30" s="6">
        <v>120</v>
      </c>
      <c r="F30">
        <v>39</v>
      </c>
      <c r="G30">
        <v>27</v>
      </c>
      <c r="H30">
        <f>E30-F30-G30</f>
        <v>54</v>
      </c>
      <c r="I30">
        <v>136</v>
      </c>
      <c r="J30">
        <v>168</v>
      </c>
      <c r="K30" s="1">
        <f>(F30*3)+G30</f>
        <v>144</v>
      </c>
      <c r="L30" s="11">
        <f>K30/(E30*3)</f>
        <v>0.4</v>
      </c>
      <c r="M30" s="12">
        <f>I30/E30</f>
        <v>1.1333333333333333</v>
      </c>
      <c r="N30" s="12">
        <f>J30/E30</f>
        <v>1.4</v>
      </c>
    </row>
    <row r="31" spans="1:14">
      <c r="A31">
        <v>30</v>
      </c>
      <c r="B31">
        <f t="shared" si="0"/>
        <v>-3</v>
      </c>
      <c r="C31">
        <v>27</v>
      </c>
      <c r="D31" t="s">
        <v>17</v>
      </c>
      <c r="E31" s="6">
        <v>120</v>
      </c>
      <c r="F31">
        <v>35</v>
      </c>
      <c r="G31">
        <v>34</v>
      </c>
      <c r="H31">
        <f>E31-F31-G31</f>
        <v>51</v>
      </c>
      <c r="I31">
        <v>123</v>
      </c>
      <c r="J31">
        <v>169</v>
      </c>
      <c r="K31" s="1">
        <f>(F31*3)+G31</f>
        <v>139</v>
      </c>
      <c r="L31" s="11">
        <f>K31/(E31*3)</f>
        <v>0.38611111111111113</v>
      </c>
      <c r="M31" s="12">
        <f>I31/E31</f>
        <v>1.0249999999999999</v>
      </c>
      <c r="N31" s="12">
        <f>J31/E31</f>
        <v>1.4083333333333334</v>
      </c>
    </row>
    <row r="32" spans="1:14">
      <c r="A32">
        <v>31</v>
      </c>
      <c r="B32">
        <f t="shared" si="0"/>
        <v>11</v>
      </c>
      <c r="C32">
        <v>42</v>
      </c>
      <c r="D32" s="8" t="s">
        <v>71</v>
      </c>
      <c r="E32" s="9">
        <v>120</v>
      </c>
      <c r="F32" s="8">
        <v>36</v>
      </c>
      <c r="G32" s="8">
        <v>16</v>
      </c>
      <c r="H32" s="8">
        <f>E32-F32-G32</f>
        <v>68</v>
      </c>
      <c r="I32" s="8">
        <v>154</v>
      </c>
      <c r="J32" s="8">
        <v>240</v>
      </c>
      <c r="K32" s="10">
        <f>(F32*3)+G32</f>
        <v>124</v>
      </c>
      <c r="L32" s="11">
        <f>K32/(E32*3)</f>
        <v>0.34444444444444444</v>
      </c>
      <c r="M32" s="12">
        <f>I32/E32</f>
        <v>1.2833333333333334</v>
      </c>
      <c r="N32" s="12">
        <f>J32/E32</f>
        <v>2</v>
      </c>
    </row>
    <row r="33" spans="1:14">
      <c r="A33">
        <v>32</v>
      </c>
      <c r="B33">
        <f t="shared" si="0"/>
        <v>-3</v>
      </c>
      <c r="C33">
        <v>29</v>
      </c>
      <c r="D33" t="s">
        <v>47</v>
      </c>
      <c r="E33" s="6">
        <v>90</v>
      </c>
      <c r="F33">
        <v>35</v>
      </c>
      <c r="G33">
        <v>12</v>
      </c>
      <c r="H33">
        <f>E33-F33-G33</f>
        <v>43</v>
      </c>
      <c r="I33">
        <v>212</v>
      </c>
      <c r="J33">
        <v>153</v>
      </c>
      <c r="K33" s="1">
        <f>(F33*3)+G33</f>
        <v>117</v>
      </c>
      <c r="L33" s="11">
        <f>K33/(E33*3)</f>
        <v>0.43333333333333335</v>
      </c>
      <c r="M33" s="12">
        <f>I33/E33</f>
        <v>2.3555555555555556</v>
      </c>
      <c r="N33" s="12">
        <f>J33/E33</f>
        <v>1.7</v>
      </c>
    </row>
    <row r="34" spans="1:14">
      <c r="A34">
        <v>33</v>
      </c>
      <c r="B34">
        <f t="shared" si="0"/>
        <v>-2</v>
      </c>
      <c r="C34">
        <v>31</v>
      </c>
      <c r="D34" t="s">
        <v>13</v>
      </c>
      <c r="E34" s="6">
        <v>120</v>
      </c>
      <c r="F34">
        <v>24</v>
      </c>
      <c r="G34">
        <v>30</v>
      </c>
      <c r="H34">
        <f>E34-F34-G34</f>
        <v>66</v>
      </c>
      <c r="I34">
        <v>118</v>
      </c>
      <c r="J34">
        <v>190</v>
      </c>
      <c r="K34" s="1">
        <f>(F34*3)+G34</f>
        <v>102</v>
      </c>
      <c r="L34" s="11">
        <f>K34/(E34*3)</f>
        <v>0.28333333333333333</v>
      </c>
      <c r="M34" s="12">
        <f>I34/E34</f>
        <v>0.98333333333333328</v>
      </c>
      <c r="N34" s="12">
        <f>J34/E34</f>
        <v>1.5833333333333333</v>
      </c>
    </row>
    <row r="35" spans="1:14">
      <c r="A35">
        <v>34</v>
      </c>
      <c r="B35">
        <f t="shared" si="0"/>
        <v>-2</v>
      </c>
      <c r="C35">
        <v>32</v>
      </c>
      <c r="D35" t="s">
        <v>38</v>
      </c>
      <c r="E35" s="6">
        <v>120</v>
      </c>
      <c r="F35">
        <v>29</v>
      </c>
      <c r="G35">
        <v>11</v>
      </c>
      <c r="H35">
        <f>E35-F35-G35</f>
        <v>80</v>
      </c>
      <c r="I35">
        <v>138</v>
      </c>
      <c r="J35">
        <v>322</v>
      </c>
      <c r="K35" s="1">
        <f>(F35*3)+G35</f>
        <v>98</v>
      </c>
      <c r="L35" s="11">
        <f>K35/(E35*3)</f>
        <v>0.2722222222222222</v>
      </c>
      <c r="M35" s="12">
        <f>I35/E35</f>
        <v>1.1499999999999999</v>
      </c>
      <c r="N35" s="12">
        <f>J35/E35</f>
        <v>2.6833333333333331</v>
      </c>
    </row>
    <row r="36" spans="1:14">
      <c r="A36">
        <v>35</v>
      </c>
      <c r="B36">
        <f t="shared" si="0"/>
        <v>-2</v>
      </c>
      <c r="C36">
        <v>33</v>
      </c>
      <c r="D36" t="s">
        <v>10</v>
      </c>
      <c r="E36" s="6">
        <v>90</v>
      </c>
      <c r="F36">
        <v>23</v>
      </c>
      <c r="G36">
        <v>22</v>
      </c>
      <c r="H36">
        <f>E36-F36-G36</f>
        <v>45</v>
      </c>
      <c r="I36">
        <v>98</v>
      </c>
      <c r="J36">
        <v>143</v>
      </c>
      <c r="K36" s="1">
        <f>(F36*3)+G36</f>
        <v>91</v>
      </c>
      <c r="L36" s="11">
        <f>K36/(E36*3)</f>
        <v>0.33703703703703702</v>
      </c>
      <c r="M36" s="12">
        <f>I36/E36</f>
        <v>1.0888888888888888</v>
      </c>
      <c r="N36" s="12">
        <f>J36/E36</f>
        <v>1.5888888888888888</v>
      </c>
    </row>
    <row r="37" spans="1:14">
      <c r="A37">
        <v>36</v>
      </c>
      <c r="B37">
        <f t="shared" si="0"/>
        <v>12</v>
      </c>
      <c r="C37">
        <v>48</v>
      </c>
      <c r="D37" s="8" t="s">
        <v>62</v>
      </c>
      <c r="E37" s="9">
        <v>120</v>
      </c>
      <c r="F37" s="8">
        <v>23</v>
      </c>
      <c r="G37" s="8">
        <v>18</v>
      </c>
      <c r="H37" s="8">
        <f>E37-F37-G37</f>
        <v>79</v>
      </c>
      <c r="I37" s="8">
        <v>105</v>
      </c>
      <c r="J37" s="8">
        <v>289</v>
      </c>
      <c r="K37" s="10">
        <f>(F37*3)+G37</f>
        <v>87</v>
      </c>
      <c r="L37" s="11">
        <f>K37/(E37*3)</f>
        <v>0.24166666666666667</v>
      </c>
      <c r="M37" s="12">
        <f>I37/E37</f>
        <v>0.875</v>
      </c>
      <c r="N37" s="12">
        <f>J37/E37</f>
        <v>2.4083333333333332</v>
      </c>
    </row>
    <row r="38" spans="1:14">
      <c r="A38">
        <v>37</v>
      </c>
      <c r="B38">
        <f t="shared" si="0"/>
        <v>-3</v>
      </c>
      <c r="C38">
        <v>34</v>
      </c>
      <c r="D38" t="s">
        <v>30</v>
      </c>
      <c r="E38" s="6">
        <v>90</v>
      </c>
      <c r="F38">
        <v>21</v>
      </c>
      <c r="G38">
        <v>21</v>
      </c>
      <c r="H38">
        <f>E38-F38-G38</f>
        <v>48</v>
      </c>
      <c r="I38">
        <v>87</v>
      </c>
      <c r="J38">
        <v>133</v>
      </c>
      <c r="K38" s="1">
        <f>(F38*3)+G38</f>
        <v>84</v>
      </c>
      <c r="L38" s="11">
        <f>K38/(E38*3)</f>
        <v>0.31111111111111112</v>
      </c>
      <c r="M38" s="12">
        <f>I38/E38</f>
        <v>0.96666666666666667</v>
      </c>
      <c r="N38" s="12">
        <f>J38/E38</f>
        <v>1.4777777777777779</v>
      </c>
    </row>
    <row r="39" spans="1:14">
      <c r="A39">
        <v>38</v>
      </c>
      <c r="B39">
        <f t="shared" si="0"/>
        <v>-3</v>
      </c>
      <c r="C39">
        <v>35</v>
      </c>
      <c r="D39" t="s">
        <v>48</v>
      </c>
      <c r="E39" s="6">
        <v>60</v>
      </c>
      <c r="F39">
        <v>18</v>
      </c>
      <c r="G39">
        <v>13</v>
      </c>
      <c r="H39">
        <f>E39-F39-G39</f>
        <v>29</v>
      </c>
      <c r="I39">
        <v>116</v>
      </c>
      <c r="J39">
        <v>114</v>
      </c>
      <c r="K39" s="1">
        <f>(F39*3)+G39</f>
        <v>67</v>
      </c>
      <c r="L39" s="11">
        <f>K39/(E39*3)</f>
        <v>0.37222222222222223</v>
      </c>
      <c r="M39" s="12">
        <f>I39/E39</f>
        <v>1.9333333333333333</v>
      </c>
      <c r="N39" s="12">
        <f>J39/E39</f>
        <v>1.9</v>
      </c>
    </row>
    <row r="40" spans="1:14">
      <c r="A40">
        <v>39</v>
      </c>
      <c r="B40">
        <f t="shared" si="0"/>
        <v>-3</v>
      </c>
      <c r="C40">
        <v>36</v>
      </c>
      <c r="D40" s="17" t="s">
        <v>67</v>
      </c>
      <c r="E40" s="18">
        <v>69</v>
      </c>
      <c r="F40" s="17">
        <v>14</v>
      </c>
      <c r="G40" s="17">
        <v>12</v>
      </c>
      <c r="H40" s="17">
        <f>E40-F40-G40</f>
        <v>43</v>
      </c>
      <c r="I40" s="17">
        <v>50</v>
      </c>
      <c r="J40" s="17">
        <v>153</v>
      </c>
      <c r="K40" s="19">
        <f>(F40*3)+G40</f>
        <v>54</v>
      </c>
      <c r="L40" s="11">
        <f>K40/(E40*3)</f>
        <v>0.2608695652173913</v>
      </c>
      <c r="M40" s="12">
        <f>I40/E40</f>
        <v>0.72463768115942029</v>
      </c>
      <c r="N40" s="12">
        <f>J40/E40</f>
        <v>2.2173913043478262</v>
      </c>
    </row>
    <row r="41" spans="1:14">
      <c r="A41">
        <v>40</v>
      </c>
      <c r="B41">
        <f t="shared" si="0"/>
        <v>-2</v>
      </c>
      <c r="C41">
        <v>38</v>
      </c>
      <c r="D41" t="s">
        <v>36</v>
      </c>
      <c r="E41" s="6">
        <v>60</v>
      </c>
      <c r="F41">
        <v>13</v>
      </c>
      <c r="G41">
        <v>14</v>
      </c>
      <c r="H41">
        <f>E41-F41-G41</f>
        <v>33</v>
      </c>
      <c r="I41">
        <v>78</v>
      </c>
      <c r="J41">
        <v>109</v>
      </c>
      <c r="K41" s="1">
        <f>(F41*3)+G41</f>
        <v>53</v>
      </c>
      <c r="L41" s="11">
        <f>K41/(E41*3)</f>
        <v>0.29444444444444445</v>
      </c>
      <c r="M41" s="12">
        <f>I41/E41</f>
        <v>1.3</v>
      </c>
      <c r="N41" s="12">
        <f>J41/E41</f>
        <v>1.8166666666666667</v>
      </c>
    </row>
    <row r="42" spans="1:14">
      <c r="A42">
        <v>41</v>
      </c>
      <c r="B42">
        <f t="shared" si="0"/>
        <v>6</v>
      </c>
      <c r="C42">
        <v>47</v>
      </c>
      <c r="D42" s="8" t="s">
        <v>68</v>
      </c>
      <c r="E42" s="9">
        <v>60</v>
      </c>
      <c r="F42" s="8">
        <v>12</v>
      </c>
      <c r="G42" s="8">
        <v>10</v>
      </c>
      <c r="H42" s="8">
        <f>E42-F42-G42</f>
        <v>38</v>
      </c>
      <c r="I42" s="8">
        <v>64</v>
      </c>
      <c r="J42" s="8">
        <v>171</v>
      </c>
      <c r="K42" s="10">
        <f>(F42*3)+G42</f>
        <v>46</v>
      </c>
      <c r="L42" s="11">
        <f>K42/(E42*3)</f>
        <v>0.25555555555555554</v>
      </c>
      <c r="M42" s="12">
        <f>I42/E42</f>
        <v>1.0666666666666667</v>
      </c>
      <c r="N42" s="12">
        <f>J42/E42</f>
        <v>2.85</v>
      </c>
    </row>
    <row r="43" spans="1:14">
      <c r="A43">
        <v>42</v>
      </c>
      <c r="B43">
        <f t="shared" si="0"/>
        <v>-3</v>
      </c>
      <c r="C43">
        <v>39</v>
      </c>
      <c r="D43" t="s">
        <v>65</v>
      </c>
      <c r="E43" s="6">
        <v>60</v>
      </c>
      <c r="F43">
        <v>12</v>
      </c>
      <c r="G43">
        <v>7</v>
      </c>
      <c r="H43">
        <f>E43-F43-G43</f>
        <v>41</v>
      </c>
      <c r="I43">
        <v>69</v>
      </c>
      <c r="J43">
        <v>145</v>
      </c>
      <c r="K43" s="1">
        <f>(F43*3)+G43</f>
        <v>43</v>
      </c>
      <c r="L43" s="11">
        <f>K43/(E43*3)</f>
        <v>0.2388888888888889</v>
      </c>
      <c r="M43" s="12">
        <f>I43/E43</f>
        <v>1.1499999999999999</v>
      </c>
      <c r="N43" s="12">
        <f>J43/E43</f>
        <v>2.4166666666666665</v>
      </c>
    </row>
    <row r="44" spans="1:14">
      <c r="A44">
        <v>43</v>
      </c>
      <c r="B44">
        <f t="shared" si="0"/>
        <v>-3</v>
      </c>
      <c r="C44">
        <v>40</v>
      </c>
      <c r="D44" t="s">
        <v>8</v>
      </c>
      <c r="E44" s="6">
        <v>30</v>
      </c>
      <c r="F44">
        <v>12</v>
      </c>
      <c r="G44">
        <v>3</v>
      </c>
      <c r="H44">
        <f>E44-F44-G44</f>
        <v>15</v>
      </c>
      <c r="I44">
        <v>45</v>
      </c>
      <c r="J44">
        <v>43</v>
      </c>
      <c r="K44" s="1">
        <f>(F44*3)+G44</f>
        <v>39</v>
      </c>
      <c r="L44" s="11">
        <f>K44/(E44*3)</f>
        <v>0.43333333333333335</v>
      </c>
      <c r="M44" s="12">
        <f>I44/E44</f>
        <v>1.5</v>
      </c>
      <c r="N44" s="12">
        <f>J44/E44</f>
        <v>1.4333333333333333</v>
      </c>
    </row>
    <row r="45" spans="1:14">
      <c r="A45">
        <v>44</v>
      </c>
      <c r="B45">
        <f t="shared" si="0"/>
        <v>-3</v>
      </c>
      <c r="C45">
        <v>41</v>
      </c>
      <c r="D45" t="s">
        <v>59</v>
      </c>
      <c r="E45" s="6">
        <v>60</v>
      </c>
      <c r="F45">
        <v>10</v>
      </c>
      <c r="G45">
        <v>8</v>
      </c>
      <c r="H45">
        <f>E45-F45-G45</f>
        <v>42</v>
      </c>
      <c r="I45">
        <v>43</v>
      </c>
      <c r="J45">
        <v>152</v>
      </c>
      <c r="K45" s="1">
        <f>(F45*3)+G45</f>
        <v>38</v>
      </c>
      <c r="L45" s="11">
        <f>K45/(E45*3)</f>
        <v>0.21111111111111111</v>
      </c>
      <c r="M45" s="12">
        <f>I45/E45</f>
        <v>0.71666666666666667</v>
      </c>
      <c r="N45" s="12">
        <f>J45/E45</f>
        <v>2.5333333333333332</v>
      </c>
    </row>
    <row r="46" spans="1:14">
      <c r="A46">
        <v>45</v>
      </c>
      <c r="B46">
        <f t="shared" si="0"/>
        <v>-2</v>
      </c>
      <c r="C46">
        <v>43</v>
      </c>
      <c r="D46" t="s">
        <v>11</v>
      </c>
      <c r="E46" s="6">
        <v>30</v>
      </c>
      <c r="F46">
        <v>10</v>
      </c>
      <c r="G46">
        <v>5</v>
      </c>
      <c r="H46">
        <f>E46-F46-G46</f>
        <v>15</v>
      </c>
      <c r="I46">
        <v>53</v>
      </c>
      <c r="J46">
        <v>57</v>
      </c>
      <c r="K46" s="1">
        <f>(F46*3)+G46</f>
        <v>35</v>
      </c>
      <c r="L46" s="11">
        <f>K46/(E46*3)</f>
        <v>0.3888888888888889</v>
      </c>
      <c r="M46" s="12">
        <f>I46/E46</f>
        <v>1.7666666666666666</v>
      </c>
      <c r="N46" s="12">
        <f>J46/E46</f>
        <v>1.9</v>
      </c>
    </row>
    <row r="47" spans="1:14">
      <c r="A47">
        <v>46</v>
      </c>
      <c r="B47">
        <f t="shared" si="0"/>
        <v>-2</v>
      </c>
      <c r="C47">
        <v>44</v>
      </c>
      <c r="D47" t="s">
        <v>12</v>
      </c>
      <c r="E47" s="6">
        <v>30</v>
      </c>
      <c r="F47">
        <v>10</v>
      </c>
      <c r="G47">
        <v>5</v>
      </c>
      <c r="H47">
        <f>E47-F47-G47</f>
        <v>15</v>
      </c>
      <c r="I47">
        <v>27</v>
      </c>
      <c r="J47">
        <v>50</v>
      </c>
      <c r="K47" s="1">
        <f>(F47*3)+G47</f>
        <v>35</v>
      </c>
      <c r="L47" s="11">
        <f>K47/(E47*3)</f>
        <v>0.3888888888888889</v>
      </c>
      <c r="M47" s="12">
        <f>I47/E47</f>
        <v>0.9</v>
      </c>
      <c r="N47" s="12">
        <f>J47/E47</f>
        <v>1.6666666666666667</v>
      </c>
    </row>
    <row r="48" spans="1:14">
      <c r="A48">
        <v>47</v>
      </c>
      <c r="B48">
        <f t="shared" si="0"/>
        <v>5</v>
      </c>
      <c r="C48" s="13">
        <v>52</v>
      </c>
      <c r="D48" s="8" t="s">
        <v>95</v>
      </c>
      <c r="E48" s="9">
        <v>60</v>
      </c>
      <c r="F48" s="8">
        <v>9</v>
      </c>
      <c r="G48" s="8">
        <v>6</v>
      </c>
      <c r="H48" s="8">
        <f>E48-F48-G48</f>
        <v>45</v>
      </c>
      <c r="I48" s="8">
        <v>45</v>
      </c>
      <c r="J48" s="8">
        <v>149</v>
      </c>
      <c r="K48" s="10">
        <f>(F48*3)+G48</f>
        <v>33</v>
      </c>
      <c r="L48" s="15">
        <f>K48/(E48*3)</f>
        <v>0.18333333333333332</v>
      </c>
      <c r="M48" s="16">
        <f>I48/E48</f>
        <v>0.75</v>
      </c>
      <c r="N48" s="16">
        <f>J48/E48</f>
        <v>2.4833333333333334</v>
      </c>
    </row>
    <row r="49" spans="1:14">
      <c r="A49">
        <v>48</v>
      </c>
      <c r="B49">
        <f t="shared" si="0"/>
        <v>-2</v>
      </c>
      <c r="C49">
        <v>46</v>
      </c>
      <c r="D49" s="4" t="s">
        <v>45</v>
      </c>
      <c r="E49" s="7">
        <v>30</v>
      </c>
      <c r="F49" s="4">
        <v>9</v>
      </c>
      <c r="G49" s="4">
        <v>4</v>
      </c>
      <c r="H49">
        <f>E49-F49-G49</f>
        <v>17</v>
      </c>
      <c r="I49" s="4">
        <v>45</v>
      </c>
      <c r="J49" s="4">
        <v>57</v>
      </c>
      <c r="K49" s="5">
        <f>(F49*3)+G49</f>
        <v>31</v>
      </c>
      <c r="L49" s="11">
        <f>K49/(E49*3)</f>
        <v>0.34444444444444444</v>
      </c>
      <c r="M49" s="12">
        <f>I49/E49</f>
        <v>1.5</v>
      </c>
      <c r="N49" s="12">
        <f>J49/E49</f>
        <v>1.9</v>
      </c>
    </row>
    <row r="50" spans="1:14">
      <c r="A50">
        <v>49</v>
      </c>
      <c r="B50">
        <f t="shared" si="0"/>
        <v>-4</v>
      </c>
      <c r="C50">
        <v>45</v>
      </c>
      <c r="D50" t="s">
        <v>39</v>
      </c>
      <c r="E50" s="6">
        <v>30</v>
      </c>
      <c r="F50">
        <v>8</v>
      </c>
      <c r="G50">
        <v>7</v>
      </c>
      <c r="H50">
        <f>E50-F50-G50</f>
        <v>15</v>
      </c>
      <c r="I50">
        <v>44</v>
      </c>
      <c r="J50">
        <v>55</v>
      </c>
      <c r="K50" s="1">
        <f>(F50*3)+G50</f>
        <v>31</v>
      </c>
      <c r="L50" s="11">
        <f>K50/(E50*3)</f>
        <v>0.34444444444444444</v>
      </c>
      <c r="M50" s="12">
        <f>I50/E50</f>
        <v>1.4666666666666666</v>
      </c>
      <c r="N50" s="12">
        <f>J50/E50</f>
        <v>1.8333333333333333</v>
      </c>
    </row>
    <row r="51" spans="1:14">
      <c r="A51">
        <v>50</v>
      </c>
      <c r="B51">
        <f t="shared" si="0"/>
        <v>3</v>
      </c>
      <c r="C51" s="13">
        <v>53</v>
      </c>
      <c r="D51" s="8" t="s">
        <v>100</v>
      </c>
      <c r="E51" s="9">
        <v>60</v>
      </c>
      <c r="F51" s="8">
        <v>6</v>
      </c>
      <c r="G51" s="8">
        <v>9</v>
      </c>
      <c r="H51" s="8">
        <f>E51-F51-G51</f>
        <v>45</v>
      </c>
      <c r="I51" s="8">
        <v>40</v>
      </c>
      <c r="J51" s="8">
        <v>175</v>
      </c>
      <c r="K51" s="10">
        <f>(F51*3)+G51</f>
        <v>27</v>
      </c>
      <c r="L51" s="15">
        <f>K51/(E51*3)</f>
        <v>0.15</v>
      </c>
      <c r="M51" s="16">
        <f>I51/E51</f>
        <v>0.66666666666666663</v>
      </c>
      <c r="N51" s="16">
        <f>J51/E51</f>
        <v>2.9166666666666665</v>
      </c>
    </row>
    <row r="52" spans="1:14">
      <c r="A52">
        <v>51</v>
      </c>
      <c r="B52">
        <f t="shared" si="0"/>
        <v>-2</v>
      </c>
      <c r="C52">
        <v>49</v>
      </c>
      <c r="D52" t="s">
        <v>19</v>
      </c>
      <c r="E52" s="6">
        <v>24</v>
      </c>
      <c r="F52">
        <v>4</v>
      </c>
      <c r="G52">
        <v>1</v>
      </c>
      <c r="H52">
        <f>E52-F52-G52</f>
        <v>19</v>
      </c>
      <c r="I52">
        <v>23</v>
      </c>
      <c r="J52">
        <v>73</v>
      </c>
      <c r="K52" s="1">
        <f>(F52*3)+G52</f>
        <v>13</v>
      </c>
      <c r="L52" s="11">
        <f>K52/(E52*3)</f>
        <v>0.18055555555555555</v>
      </c>
      <c r="M52" s="12">
        <f>I52/E52</f>
        <v>0.95833333333333337</v>
      </c>
      <c r="N52" s="12">
        <f>J52/E52</f>
        <v>3.0416666666666665</v>
      </c>
    </row>
    <row r="53" spans="1:14">
      <c r="A53">
        <v>52</v>
      </c>
      <c r="B53">
        <f t="shared" si="0"/>
        <v>-1</v>
      </c>
      <c r="C53">
        <v>51</v>
      </c>
      <c r="D53" t="s">
        <v>21</v>
      </c>
      <c r="E53" s="6">
        <v>27</v>
      </c>
      <c r="F53">
        <v>2</v>
      </c>
      <c r="G53">
        <v>1</v>
      </c>
      <c r="H53">
        <f>E53-F53-G53</f>
        <v>24</v>
      </c>
      <c r="I53">
        <v>14</v>
      </c>
      <c r="J53">
        <v>82</v>
      </c>
      <c r="K53" s="1">
        <f>(F53*3)+G53</f>
        <v>7</v>
      </c>
      <c r="L53" s="11">
        <f>K53/(E53*3)</f>
        <v>8.6419753086419748E-2</v>
      </c>
      <c r="M53" s="12">
        <f>I53/E53</f>
        <v>0.51851851851851849</v>
      </c>
      <c r="N53" s="12">
        <f>J53/E53</f>
        <v>3.0370370370370372</v>
      </c>
    </row>
    <row r="54" spans="1:14">
      <c r="A54">
        <v>53</v>
      </c>
      <c r="B54">
        <f t="shared" si="0"/>
        <v>-3</v>
      </c>
      <c r="C54">
        <v>50</v>
      </c>
      <c r="D54" t="s">
        <v>20</v>
      </c>
      <c r="E54" s="6">
        <v>14</v>
      </c>
      <c r="F54">
        <v>2</v>
      </c>
      <c r="G54">
        <v>1</v>
      </c>
      <c r="H54">
        <f>E54-F54-G54</f>
        <v>11</v>
      </c>
      <c r="I54">
        <v>13</v>
      </c>
      <c r="J54">
        <v>48</v>
      </c>
      <c r="K54" s="1">
        <f>(F54*3)+G54</f>
        <v>7</v>
      </c>
      <c r="L54" s="11">
        <f>K54/(E54*3)</f>
        <v>0.16666666666666666</v>
      </c>
      <c r="M54" s="12">
        <f>I54/E54</f>
        <v>0.9285714285714286</v>
      </c>
      <c r="N54" s="12">
        <f>J54/E54</f>
        <v>3.4285714285714284</v>
      </c>
    </row>
  </sheetData>
  <sortState ref="D1:K51">
    <sortCondition descending="1" ref="K1:K51"/>
  </sortState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81</v>
      </c>
    </row>
    <row r="2" spans="1:2">
      <c r="B2" t="s">
        <v>82</v>
      </c>
    </row>
    <row r="3" spans="1:2">
      <c r="B3" t="s">
        <v>83</v>
      </c>
    </row>
    <row r="4" spans="1:2">
      <c r="B4" t="s">
        <v>87</v>
      </c>
    </row>
    <row r="5" spans="1:2">
      <c r="B5" t="s">
        <v>88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2:F23"/>
  <sheetViews>
    <sheetView workbookViewId="0">
      <selection activeCell="F7" sqref="F7"/>
    </sheetView>
  </sheetViews>
  <sheetFormatPr defaultRowHeight="15"/>
  <cols>
    <col min="3" max="3" width="24" bestFit="1" customWidth="1"/>
  </cols>
  <sheetData>
    <row r="2" spans="2:6">
      <c r="C2" t="s">
        <v>92</v>
      </c>
      <c r="D2" t="s">
        <v>89</v>
      </c>
      <c r="E2" t="s">
        <v>90</v>
      </c>
      <c r="F2" t="s">
        <v>91</v>
      </c>
    </row>
    <row r="3" spans="2:6">
      <c r="B3">
        <v>1</v>
      </c>
      <c r="C3" s="2" t="s">
        <v>18</v>
      </c>
      <c r="D3">
        <v>5</v>
      </c>
      <c r="E3">
        <v>5</v>
      </c>
      <c r="F3">
        <v>5</v>
      </c>
    </row>
    <row r="4" spans="2:6">
      <c r="B4">
        <v>2</v>
      </c>
      <c r="C4" s="2" t="s">
        <v>4</v>
      </c>
      <c r="D4">
        <v>3</v>
      </c>
      <c r="F4">
        <v>1</v>
      </c>
    </row>
    <row r="5" spans="2:6">
      <c r="B5">
        <v>3</v>
      </c>
      <c r="C5" s="2" t="s">
        <v>24</v>
      </c>
      <c r="D5">
        <v>2</v>
      </c>
      <c r="E5">
        <v>5</v>
      </c>
    </row>
    <row r="6" spans="2:6">
      <c r="B6">
        <v>4</v>
      </c>
      <c r="C6" s="2" t="s">
        <v>0</v>
      </c>
      <c r="D6">
        <v>2</v>
      </c>
      <c r="E6">
        <v>4</v>
      </c>
    </row>
    <row r="7" spans="2:6">
      <c r="B7">
        <v>5</v>
      </c>
      <c r="C7" s="2" t="s">
        <v>32</v>
      </c>
      <c r="D7">
        <v>2</v>
      </c>
      <c r="E7">
        <v>3</v>
      </c>
      <c r="F7">
        <v>5</v>
      </c>
    </row>
    <row r="8" spans="2:6">
      <c r="B8">
        <v>6</v>
      </c>
      <c r="C8" s="2" t="s">
        <v>43</v>
      </c>
      <c r="D8">
        <v>2</v>
      </c>
      <c r="E8">
        <v>1</v>
      </c>
    </row>
    <row r="9" spans="2:6">
      <c r="B9">
        <v>7</v>
      </c>
      <c r="C9" s="2" t="s">
        <v>1</v>
      </c>
      <c r="D9">
        <v>1</v>
      </c>
      <c r="E9">
        <v>2</v>
      </c>
    </row>
    <row r="10" spans="2:6">
      <c r="B10">
        <v>8</v>
      </c>
      <c r="C10" s="2" t="s">
        <v>33</v>
      </c>
      <c r="D10">
        <v>1</v>
      </c>
      <c r="E10">
        <v>1</v>
      </c>
      <c r="F10">
        <v>5</v>
      </c>
    </row>
    <row r="11" spans="2:6">
      <c r="B11">
        <v>9</v>
      </c>
      <c r="C11" s="2" t="s">
        <v>23</v>
      </c>
      <c r="D11">
        <v>1</v>
      </c>
      <c r="E11">
        <v>1</v>
      </c>
      <c r="F11">
        <v>3</v>
      </c>
    </row>
    <row r="12" spans="2:6">
      <c r="B12">
        <v>10</v>
      </c>
      <c r="C12" s="2" t="s">
        <v>3</v>
      </c>
      <c r="D12">
        <v>1</v>
      </c>
      <c r="F12">
        <v>1</v>
      </c>
    </row>
    <row r="13" spans="2:6">
      <c r="B13">
        <v>11</v>
      </c>
      <c r="C13" s="2" t="s">
        <v>6</v>
      </c>
      <c r="D13">
        <v>1</v>
      </c>
    </row>
    <row r="14" spans="2:6">
      <c r="B14">
        <v>12</v>
      </c>
      <c r="C14" s="2" t="s">
        <v>64</v>
      </c>
      <c r="D14">
        <v>1</v>
      </c>
    </row>
    <row r="15" spans="2:6">
      <c r="B15">
        <v>13</v>
      </c>
      <c r="C15" s="2" t="s">
        <v>2</v>
      </c>
      <c r="F15">
        <v>1</v>
      </c>
    </row>
    <row r="16" spans="2:6">
      <c r="B16">
        <v>14</v>
      </c>
      <c r="C16" s="2" t="s">
        <v>51</v>
      </c>
      <c r="F16">
        <v>1</v>
      </c>
    </row>
    <row r="17" spans="3:6">
      <c r="C17" s="14"/>
      <c r="D17" s="13">
        <f>SUBTOTAL(109,[zlato])</f>
        <v>22</v>
      </c>
      <c r="E17" s="13">
        <f>SUBTOTAL(109,[stribro])</f>
        <v>22</v>
      </c>
      <c r="F17" s="13">
        <f>SUBTOTAL(109,[bronz])</f>
        <v>22</v>
      </c>
    </row>
    <row r="18" spans="3:6">
      <c r="C18" s="2"/>
    </row>
    <row r="19" spans="3:6">
      <c r="C19" s="2"/>
    </row>
    <row r="20" spans="3:6">
      <c r="C20" s="2"/>
    </row>
    <row r="21" spans="3:6">
      <c r="C21" s="2"/>
    </row>
    <row r="22" spans="3:6">
      <c r="C22" s="2"/>
    </row>
    <row r="23" spans="3:6">
      <c r="C23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sezony</vt:lpstr>
      <vt:lpstr>celkova_tab</vt:lpstr>
      <vt:lpstr>stats</vt:lpstr>
      <vt:lpstr>umisteni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</dc:creator>
  <cp:lastModifiedBy>Petr Votava</cp:lastModifiedBy>
  <dcterms:created xsi:type="dcterms:W3CDTF">2011-06-15T10:16:55Z</dcterms:created>
  <dcterms:modified xsi:type="dcterms:W3CDTF">2012-02-06T15:01:31Z</dcterms:modified>
</cp:coreProperties>
</file>