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5" windowWidth="20895" windowHeight="10170" activeTab="1"/>
  </bookViews>
  <sheets>
    <sheet name="List1" sheetId="1" r:id="rId1"/>
    <sheet name="28" sheetId="2" r:id="rId2"/>
    <sheet name="26" sheetId="4" r:id="rId3"/>
    <sheet name="List3" sheetId="5" r:id="rId4"/>
    <sheet name="Sheet1" sheetId="6" r:id="rId5"/>
  </sheets>
  <definedNames>
    <definedName name="_xlnm._FilterDatabase" localSheetId="2" hidden="1">'26'!$A$1:$L$54</definedName>
    <definedName name="_xlnm._FilterDatabase" localSheetId="1" hidden="1">'28'!$D$2:$O$55</definedName>
  </definedNames>
  <calcPr calcId="145621"/>
</workbook>
</file>

<file path=xl/calcChain.xml><?xml version="1.0" encoding="utf-8"?>
<calcChain xmlns="http://schemas.openxmlformats.org/spreadsheetml/2006/main">
  <c r="I24" i="6" l="1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O40" i="2" l="1"/>
  <c r="N40" i="2"/>
  <c r="M40" i="2"/>
  <c r="L40" i="2"/>
  <c r="K40" i="2"/>
  <c r="H40" i="2"/>
  <c r="D3" i="5"/>
  <c r="D4" i="5"/>
  <c r="D5" i="5"/>
  <c r="D7" i="5"/>
  <c r="D8" i="5"/>
  <c r="D9" i="5"/>
  <c r="D11" i="5"/>
  <c r="D12" i="5"/>
  <c r="D13" i="5"/>
  <c r="AD25" i="5"/>
  <c r="AA25" i="5"/>
  <c r="AD24" i="5"/>
  <c r="AA24" i="5"/>
  <c r="AD23" i="5"/>
  <c r="AA23" i="5"/>
  <c r="AD21" i="5"/>
  <c r="AA21" i="5"/>
  <c r="AD20" i="5"/>
  <c r="AA20" i="5"/>
  <c r="AD19" i="5"/>
  <c r="AA19" i="5"/>
  <c r="AD17" i="5"/>
  <c r="AA17" i="5"/>
  <c r="AD16" i="5"/>
  <c r="AA16" i="5"/>
  <c r="AD15" i="5"/>
  <c r="AA15" i="5"/>
  <c r="AD13" i="5"/>
  <c r="AA13" i="5"/>
  <c r="AD12" i="5"/>
  <c r="AA12" i="5"/>
  <c r="AD11" i="5"/>
  <c r="AA11" i="5"/>
  <c r="AD9" i="5"/>
  <c r="AA9" i="5"/>
  <c r="AD8" i="5"/>
  <c r="AA8" i="5"/>
  <c r="AD7" i="5"/>
  <c r="AA7" i="5"/>
  <c r="AD5" i="5"/>
  <c r="AA5" i="5"/>
  <c r="AD4" i="5"/>
  <c r="AA4" i="5"/>
  <c r="AD3" i="5"/>
  <c r="AA3" i="5"/>
  <c r="T37" i="5"/>
  <c r="Q37" i="5"/>
  <c r="T36" i="5"/>
  <c r="Q36" i="5"/>
  <c r="T35" i="5"/>
  <c r="Q35" i="5"/>
  <c r="T33" i="5"/>
  <c r="Q33" i="5"/>
  <c r="T32" i="5"/>
  <c r="Q32" i="5"/>
  <c r="T31" i="5"/>
  <c r="Q31" i="5"/>
  <c r="T29" i="5"/>
  <c r="Q29" i="5"/>
  <c r="T28" i="5"/>
  <c r="Q28" i="5"/>
  <c r="T27" i="5"/>
  <c r="Q27" i="5"/>
  <c r="T25" i="5"/>
  <c r="Q25" i="5"/>
  <c r="T24" i="5"/>
  <c r="Q24" i="5"/>
  <c r="T23" i="5"/>
  <c r="Q23" i="5"/>
  <c r="T21" i="5"/>
  <c r="Q21" i="5"/>
  <c r="T20" i="5"/>
  <c r="Q20" i="5"/>
  <c r="T19" i="5"/>
  <c r="Q19" i="5"/>
  <c r="T17" i="5"/>
  <c r="Q17" i="5"/>
  <c r="T16" i="5"/>
  <c r="Q16" i="5"/>
  <c r="T15" i="5"/>
  <c r="Q15" i="5"/>
  <c r="T13" i="5"/>
  <c r="Q13" i="5"/>
  <c r="T12" i="5"/>
  <c r="Q12" i="5"/>
  <c r="T11" i="5"/>
  <c r="Q11" i="5"/>
  <c r="T9" i="5"/>
  <c r="Q9" i="5"/>
  <c r="T8" i="5"/>
  <c r="Q8" i="5"/>
  <c r="T7" i="5"/>
  <c r="Q7" i="5"/>
  <c r="T5" i="5"/>
  <c r="Q5" i="5"/>
  <c r="T4" i="5"/>
  <c r="Q4" i="5"/>
  <c r="T3" i="5"/>
  <c r="Q3" i="5"/>
  <c r="J37" i="5"/>
  <c r="G37" i="5"/>
  <c r="J36" i="5"/>
  <c r="G36" i="5"/>
  <c r="J35" i="5"/>
  <c r="G35" i="5"/>
  <c r="J33" i="5"/>
  <c r="G33" i="5"/>
  <c r="J32" i="5"/>
  <c r="G32" i="5"/>
  <c r="J31" i="5"/>
  <c r="G31" i="5"/>
  <c r="J29" i="5"/>
  <c r="G29" i="5"/>
  <c r="J28" i="5"/>
  <c r="G28" i="5"/>
  <c r="J27" i="5"/>
  <c r="G27" i="5"/>
  <c r="J25" i="5"/>
  <c r="G25" i="5"/>
  <c r="J24" i="5"/>
  <c r="G24" i="5"/>
  <c r="J23" i="5"/>
  <c r="G23" i="5"/>
  <c r="J21" i="5"/>
  <c r="G21" i="5"/>
  <c r="J20" i="5"/>
  <c r="G20" i="5"/>
  <c r="J19" i="5"/>
  <c r="G19" i="5"/>
  <c r="J17" i="5"/>
  <c r="G17" i="5"/>
  <c r="J16" i="5"/>
  <c r="G16" i="5"/>
  <c r="J15" i="5"/>
  <c r="G15" i="5"/>
  <c r="J13" i="5"/>
  <c r="J12" i="5"/>
  <c r="J11" i="5"/>
  <c r="J9" i="5"/>
  <c r="J8" i="5"/>
  <c r="J7" i="5"/>
  <c r="J5" i="5"/>
  <c r="J4" i="5"/>
  <c r="J3" i="5"/>
  <c r="G55" i="4"/>
  <c r="F55" i="4"/>
  <c r="D55" i="4"/>
  <c r="C55" i="4"/>
  <c r="B55" i="4"/>
  <c r="E55" i="4" s="1"/>
  <c r="G54" i="4"/>
  <c r="F54" i="4"/>
  <c r="D54" i="4"/>
  <c r="C54" i="4"/>
  <c r="H54" i="4" s="1"/>
  <c r="B54" i="4"/>
  <c r="G53" i="4"/>
  <c r="L53" i="4" s="1"/>
  <c r="F53" i="4"/>
  <c r="D53" i="4"/>
  <c r="H53" i="4" s="1"/>
  <c r="C53" i="4"/>
  <c r="B53" i="4"/>
  <c r="J53" i="4" s="1"/>
  <c r="G52" i="4"/>
  <c r="F52" i="4"/>
  <c r="D52" i="4"/>
  <c r="C52" i="4"/>
  <c r="H52" i="4" s="1"/>
  <c r="B52" i="4"/>
  <c r="G51" i="4"/>
  <c r="L51" i="4" s="1"/>
  <c r="F51" i="4"/>
  <c r="D51" i="4"/>
  <c r="H51" i="4" s="1"/>
  <c r="C51" i="4"/>
  <c r="B51" i="4"/>
  <c r="J51" i="4" s="1"/>
  <c r="G50" i="4"/>
  <c r="F50" i="4"/>
  <c r="D50" i="4"/>
  <c r="C50" i="4"/>
  <c r="H50" i="4" s="1"/>
  <c r="B50" i="4"/>
  <c r="G49" i="4"/>
  <c r="L49" i="4" s="1"/>
  <c r="F49" i="4"/>
  <c r="D49" i="4"/>
  <c r="H49" i="4" s="1"/>
  <c r="C49" i="4"/>
  <c r="B49" i="4"/>
  <c r="J49" i="4" s="1"/>
  <c r="G48" i="4"/>
  <c r="F48" i="4"/>
  <c r="D48" i="4"/>
  <c r="C48" i="4"/>
  <c r="H48" i="4" s="1"/>
  <c r="B48" i="4"/>
  <c r="G45" i="4"/>
  <c r="L45" i="4" s="1"/>
  <c r="F45" i="4"/>
  <c r="D45" i="4"/>
  <c r="H45" i="4" s="1"/>
  <c r="C45" i="4"/>
  <c r="B45" i="4"/>
  <c r="J45" i="4" s="1"/>
  <c r="G47" i="4"/>
  <c r="F47" i="4"/>
  <c r="D47" i="4"/>
  <c r="C47" i="4"/>
  <c r="H47" i="4" s="1"/>
  <c r="B47" i="4"/>
  <c r="G46" i="4"/>
  <c r="L46" i="4" s="1"/>
  <c r="F46" i="4"/>
  <c r="D46" i="4"/>
  <c r="C46" i="4"/>
  <c r="B46" i="4"/>
  <c r="J46" i="4" s="1"/>
  <c r="G44" i="4"/>
  <c r="F44" i="4"/>
  <c r="D44" i="4"/>
  <c r="C44" i="4"/>
  <c r="H44" i="4" s="1"/>
  <c r="B44" i="4"/>
  <c r="G43" i="4"/>
  <c r="L43" i="4" s="1"/>
  <c r="F43" i="4"/>
  <c r="D43" i="4"/>
  <c r="C43" i="4"/>
  <c r="B43" i="4"/>
  <c r="J43" i="4" s="1"/>
  <c r="G42" i="4"/>
  <c r="F42" i="4"/>
  <c r="D42" i="4"/>
  <c r="C42" i="4"/>
  <c r="H42" i="4" s="1"/>
  <c r="B42" i="4"/>
  <c r="G41" i="4"/>
  <c r="L41" i="4" s="1"/>
  <c r="F41" i="4"/>
  <c r="D41" i="4"/>
  <c r="H41" i="4" s="1"/>
  <c r="C41" i="4"/>
  <c r="B41" i="4"/>
  <c r="J41" i="4" s="1"/>
  <c r="G40" i="4"/>
  <c r="F40" i="4"/>
  <c r="D40" i="4"/>
  <c r="C40" i="4"/>
  <c r="B40" i="4"/>
  <c r="G39" i="4"/>
  <c r="F39" i="4"/>
  <c r="D39" i="4"/>
  <c r="C39" i="4"/>
  <c r="B39" i="4"/>
  <c r="E39" i="4" s="1"/>
  <c r="G38" i="4"/>
  <c r="F38" i="4"/>
  <c r="D38" i="4"/>
  <c r="C38" i="4"/>
  <c r="B38" i="4"/>
  <c r="G37" i="4"/>
  <c r="F37" i="4"/>
  <c r="D37" i="4"/>
  <c r="C37" i="4"/>
  <c r="B37" i="4"/>
  <c r="E37" i="4" s="1"/>
  <c r="G36" i="4"/>
  <c r="F36" i="4"/>
  <c r="D36" i="4"/>
  <c r="C36" i="4"/>
  <c r="B36" i="4"/>
  <c r="G35" i="4"/>
  <c r="F35" i="4"/>
  <c r="D35" i="4"/>
  <c r="C35" i="4"/>
  <c r="B35" i="4"/>
  <c r="E35" i="4" s="1"/>
  <c r="G34" i="4"/>
  <c r="F34" i="4"/>
  <c r="D34" i="4"/>
  <c r="C34" i="4"/>
  <c r="B34" i="4"/>
  <c r="G33" i="4"/>
  <c r="F33" i="4"/>
  <c r="D33" i="4"/>
  <c r="C33" i="4"/>
  <c r="B33" i="4"/>
  <c r="E33" i="4" s="1"/>
  <c r="G32" i="4"/>
  <c r="F32" i="4"/>
  <c r="D32" i="4"/>
  <c r="C32" i="4"/>
  <c r="B32" i="4"/>
  <c r="G31" i="4"/>
  <c r="F31" i="4"/>
  <c r="D31" i="4"/>
  <c r="C31" i="4"/>
  <c r="B31" i="4"/>
  <c r="E31" i="4" s="1"/>
  <c r="G30" i="4"/>
  <c r="F30" i="4"/>
  <c r="D30" i="4"/>
  <c r="C30" i="4"/>
  <c r="B30" i="4"/>
  <c r="G29" i="4"/>
  <c r="F29" i="4"/>
  <c r="D29" i="4"/>
  <c r="C29" i="4"/>
  <c r="B29" i="4"/>
  <c r="E29" i="4" s="1"/>
  <c r="G28" i="4"/>
  <c r="F28" i="4"/>
  <c r="D28" i="4"/>
  <c r="C28" i="4"/>
  <c r="B28" i="4"/>
  <c r="G27" i="4"/>
  <c r="F27" i="4"/>
  <c r="D27" i="4"/>
  <c r="C27" i="4"/>
  <c r="B27" i="4"/>
  <c r="G26" i="4"/>
  <c r="F26" i="4"/>
  <c r="D26" i="4"/>
  <c r="C26" i="4"/>
  <c r="B26" i="4"/>
  <c r="G25" i="4"/>
  <c r="F25" i="4"/>
  <c r="D25" i="4"/>
  <c r="C25" i="4"/>
  <c r="B25" i="4"/>
  <c r="G24" i="4"/>
  <c r="F24" i="4"/>
  <c r="D24" i="4"/>
  <c r="C24" i="4"/>
  <c r="B24" i="4"/>
  <c r="G23" i="4"/>
  <c r="F23" i="4"/>
  <c r="D23" i="4"/>
  <c r="C23" i="4"/>
  <c r="B23" i="4"/>
  <c r="G22" i="4"/>
  <c r="F22" i="4"/>
  <c r="D22" i="4"/>
  <c r="C22" i="4"/>
  <c r="G21" i="4"/>
  <c r="F21" i="4"/>
  <c r="D21" i="4"/>
  <c r="C21" i="4"/>
  <c r="B21" i="4"/>
  <c r="G20" i="4"/>
  <c r="F20" i="4"/>
  <c r="D20" i="4"/>
  <c r="C20" i="4"/>
  <c r="G19" i="4"/>
  <c r="F19" i="4"/>
  <c r="D19" i="4"/>
  <c r="C19" i="4"/>
  <c r="G18" i="4"/>
  <c r="F18" i="4"/>
  <c r="D18" i="4"/>
  <c r="C18" i="4"/>
  <c r="G17" i="4"/>
  <c r="F17" i="4"/>
  <c r="D17" i="4"/>
  <c r="C17" i="4"/>
  <c r="B19" i="4"/>
  <c r="B17" i="4"/>
  <c r="G16" i="4"/>
  <c r="F16" i="4"/>
  <c r="D16" i="4"/>
  <c r="C16" i="4"/>
  <c r="G15" i="4"/>
  <c r="F15" i="4"/>
  <c r="D15" i="4"/>
  <c r="C15" i="4"/>
  <c r="B15" i="4"/>
  <c r="G14" i="4"/>
  <c r="F14" i="4"/>
  <c r="D14" i="4"/>
  <c r="C14" i="4"/>
  <c r="G11" i="4"/>
  <c r="F11" i="4"/>
  <c r="D11" i="4"/>
  <c r="C11" i="4"/>
  <c r="B11" i="4"/>
  <c r="G10" i="4"/>
  <c r="F10" i="4"/>
  <c r="D10" i="4"/>
  <c r="C10" i="4"/>
  <c r="B9" i="4"/>
  <c r="G8" i="4"/>
  <c r="F8" i="4"/>
  <c r="D8" i="4"/>
  <c r="C8" i="4"/>
  <c r="G7" i="4"/>
  <c r="F7" i="4"/>
  <c r="D7" i="4"/>
  <c r="C7" i="4"/>
  <c r="B7" i="4"/>
  <c r="G6" i="4"/>
  <c r="F6" i="4"/>
  <c r="D6" i="4"/>
  <c r="C6" i="4"/>
  <c r="G5" i="4"/>
  <c r="F5" i="4"/>
  <c r="D5" i="4"/>
  <c r="C5" i="4"/>
  <c r="B5" i="4"/>
  <c r="G4" i="4"/>
  <c r="F4" i="4"/>
  <c r="D4" i="4"/>
  <c r="C4" i="4"/>
  <c r="G3" i="4"/>
  <c r="F3" i="4"/>
  <c r="D3" i="4"/>
  <c r="C3" i="4"/>
  <c r="B3" i="4"/>
  <c r="G2" i="4"/>
  <c r="F2" i="4"/>
  <c r="D2" i="4"/>
  <c r="C2" i="4"/>
  <c r="G1" i="4"/>
  <c r="F1" i="4"/>
  <c r="D1" i="4"/>
  <c r="C1" i="4"/>
  <c r="B1" i="4"/>
  <c r="G13" i="4"/>
  <c r="G12" i="4"/>
  <c r="G9" i="4"/>
  <c r="F13" i="4"/>
  <c r="F12" i="4"/>
  <c r="F9" i="4"/>
  <c r="D13" i="4"/>
  <c r="D12" i="4"/>
  <c r="D9" i="4"/>
  <c r="C13" i="4"/>
  <c r="C12" i="4"/>
  <c r="C9" i="4"/>
  <c r="Y72" i="4"/>
  <c r="X72" i="4"/>
  <c r="W72" i="4"/>
  <c r="Y71" i="4"/>
  <c r="X71" i="4"/>
  <c r="W71" i="4"/>
  <c r="Y70" i="4"/>
  <c r="X70" i="4"/>
  <c r="W70" i="4"/>
  <c r="Y69" i="4"/>
  <c r="X69" i="4"/>
  <c r="W69" i="4"/>
  <c r="Y68" i="4"/>
  <c r="X68" i="4"/>
  <c r="W68" i="4"/>
  <c r="Y67" i="4"/>
  <c r="X67" i="4"/>
  <c r="W67" i="4"/>
  <c r="Y66" i="4"/>
  <c r="X66" i="4"/>
  <c r="W66" i="4"/>
  <c r="Y65" i="4"/>
  <c r="X65" i="4"/>
  <c r="W65" i="4"/>
  <c r="Y64" i="4"/>
  <c r="X64" i="4"/>
  <c r="W64" i="4"/>
  <c r="Y63" i="4"/>
  <c r="X63" i="4"/>
  <c r="W63" i="4"/>
  <c r="Y62" i="4"/>
  <c r="X62" i="4"/>
  <c r="W62" i="4"/>
  <c r="Y61" i="4"/>
  <c r="X61" i="4"/>
  <c r="W61" i="4"/>
  <c r="Y60" i="4"/>
  <c r="X60" i="4"/>
  <c r="W60" i="4"/>
  <c r="Y59" i="4"/>
  <c r="X59" i="4"/>
  <c r="W59" i="4"/>
  <c r="Y58" i="4"/>
  <c r="X58" i="4"/>
  <c r="W58" i="4"/>
  <c r="Y57" i="4"/>
  <c r="X57" i="4"/>
  <c r="W57" i="4"/>
  <c r="W90" i="4"/>
  <c r="V90" i="4"/>
  <c r="S90" i="4"/>
  <c r="W89" i="4"/>
  <c r="V89" i="4"/>
  <c r="S89" i="4"/>
  <c r="W88" i="4"/>
  <c r="V88" i="4"/>
  <c r="S88" i="4"/>
  <c r="W87" i="4"/>
  <c r="V87" i="4"/>
  <c r="S87" i="4"/>
  <c r="W86" i="4"/>
  <c r="V86" i="4"/>
  <c r="S86" i="4"/>
  <c r="W85" i="4"/>
  <c r="V85" i="4"/>
  <c r="S85" i="4"/>
  <c r="W84" i="4"/>
  <c r="V84" i="4"/>
  <c r="S84" i="4"/>
  <c r="W83" i="4"/>
  <c r="V83" i="4"/>
  <c r="S83" i="4"/>
  <c r="W82" i="4"/>
  <c r="V82" i="4"/>
  <c r="S82" i="4"/>
  <c r="W81" i="4"/>
  <c r="V81" i="4"/>
  <c r="S81" i="4"/>
  <c r="W80" i="4"/>
  <c r="V80" i="4"/>
  <c r="S80" i="4"/>
  <c r="W79" i="4"/>
  <c r="V79" i="4"/>
  <c r="S79" i="4"/>
  <c r="W78" i="4"/>
  <c r="V78" i="4"/>
  <c r="S78" i="4"/>
  <c r="W77" i="4"/>
  <c r="V77" i="4"/>
  <c r="S77" i="4"/>
  <c r="W76" i="4"/>
  <c r="V76" i="4"/>
  <c r="S76" i="4"/>
  <c r="W75" i="4"/>
  <c r="V75" i="4"/>
  <c r="S75" i="4"/>
  <c r="V108" i="4"/>
  <c r="S108" i="4"/>
  <c r="V107" i="4"/>
  <c r="S107" i="4"/>
  <c r="V106" i="4"/>
  <c r="S106" i="4"/>
  <c r="V105" i="4"/>
  <c r="S105" i="4"/>
  <c r="V104" i="4"/>
  <c r="S104" i="4"/>
  <c r="V103" i="4"/>
  <c r="S103" i="4"/>
  <c r="V102" i="4"/>
  <c r="S102" i="4"/>
  <c r="V101" i="4"/>
  <c r="S101" i="4"/>
  <c r="V100" i="4"/>
  <c r="S100" i="4"/>
  <c r="V99" i="4"/>
  <c r="S99" i="4"/>
  <c r="V98" i="4"/>
  <c r="S98" i="4"/>
  <c r="V97" i="4"/>
  <c r="S97" i="4"/>
  <c r="V96" i="4"/>
  <c r="S96" i="4"/>
  <c r="V95" i="4"/>
  <c r="S95" i="4"/>
  <c r="V94" i="4"/>
  <c r="S94" i="4"/>
  <c r="V93" i="4"/>
  <c r="S93" i="4"/>
  <c r="V126" i="4"/>
  <c r="S126" i="4"/>
  <c r="V125" i="4"/>
  <c r="S125" i="4"/>
  <c r="V124" i="4"/>
  <c r="S124" i="4"/>
  <c r="V123" i="4"/>
  <c r="S123" i="4"/>
  <c r="V122" i="4"/>
  <c r="S122" i="4"/>
  <c r="V121" i="4"/>
  <c r="S121" i="4"/>
  <c r="V120" i="4"/>
  <c r="S120" i="4"/>
  <c r="V119" i="4"/>
  <c r="S119" i="4"/>
  <c r="V118" i="4"/>
  <c r="S118" i="4"/>
  <c r="V117" i="4"/>
  <c r="S117" i="4"/>
  <c r="V116" i="4"/>
  <c r="S116" i="4"/>
  <c r="V115" i="4"/>
  <c r="S115" i="4"/>
  <c r="V114" i="4"/>
  <c r="S114" i="4"/>
  <c r="V113" i="4"/>
  <c r="S113" i="4"/>
  <c r="V112" i="4"/>
  <c r="S112" i="4"/>
  <c r="V111" i="4"/>
  <c r="S111" i="4"/>
  <c r="V144" i="4"/>
  <c r="S144" i="4"/>
  <c r="V143" i="4"/>
  <c r="S143" i="4"/>
  <c r="V142" i="4"/>
  <c r="S142" i="4"/>
  <c r="V141" i="4"/>
  <c r="S141" i="4"/>
  <c r="V140" i="4"/>
  <c r="S140" i="4"/>
  <c r="V139" i="4"/>
  <c r="S139" i="4"/>
  <c r="V138" i="4"/>
  <c r="S138" i="4"/>
  <c r="V137" i="4"/>
  <c r="S137" i="4"/>
  <c r="V136" i="4"/>
  <c r="S136" i="4"/>
  <c r="V135" i="4"/>
  <c r="S135" i="4"/>
  <c r="V134" i="4"/>
  <c r="S134" i="4"/>
  <c r="V133" i="4"/>
  <c r="S133" i="4"/>
  <c r="V132" i="4"/>
  <c r="S132" i="4"/>
  <c r="V131" i="4"/>
  <c r="S131" i="4"/>
  <c r="V130" i="4"/>
  <c r="S130" i="4"/>
  <c r="V129" i="4"/>
  <c r="S129" i="4"/>
  <c r="V162" i="4"/>
  <c r="S162" i="4"/>
  <c r="V161" i="4"/>
  <c r="S161" i="4"/>
  <c r="V160" i="4"/>
  <c r="S160" i="4"/>
  <c r="V159" i="4"/>
  <c r="S159" i="4"/>
  <c r="V158" i="4"/>
  <c r="S158" i="4"/>
  <c r="V157" i="4"/>
  <c r="S157" i="4"/>
  <c r="V156" i="4"/>
  <c r="S156" i="4"/>
  <c r="V155" i="4"/>
  <c r="S155" i="4"/>
  <c r="V154" i="4"/>
  <c r="S154" i="4"/>
  <c r="V153" i="4"/>
  <c r="S153" i="4"/>
  <c r="V152" i="4"/>
  <c r="S152" i="4"/>
  <c r="V151" i="4"/>
  <c r="S151" i="4"/>
  <c r="V150" i="4"/>
  <c r="S150" i="4"/>
  <c r="V149" i="4"/>
  <c r="S149" i="4"/>
  <c r="V148" i="4"/>
  <c r="S148" i="4"/>
  <c r="V147" i="4"/>
  <c r="S147" i="4"/>
  <c r="V180" i="4"/>
  <c r="S180" i="4"/>
  <c r="V179" i="4"/>
  <c r="S179" i="4"/>
  <c r="V178" i="4"/>
  <c r="S178" i="4"/>
  <c r="V177" i="4"/>
  <c r="S177" i="4"/>
  <c r="V176" i="4"/>
  <c r="S176" i="4"/>
  <c r="V175" i="4"/>
  <c r="S175" i="4"/>
  <c r="V174" i="4"/>
  <c r="S174" i="4"/>
  <c r="V173" i="4"/>
  <c r="S173" i="4"/>
  <c r="V172" i="4"/>
  <c r="S172" i="4"/>
  <c r="V171" i="4"/>
  <c r="S171" i="4"/>
  <c r="V170" i="4"/>
  <c r="S170" i="4"/>
  <c r="V169" i="4"/>
  <c r="S169" i="4"/>
  <c r="V168" i="4"/>
  <c r="S168" i="4"/>
  <c r="V167" i="4"/>
  <c r="S167" i="4"/>
  <c r="V166" i="4"/>
  <c r="S166" i="4"/>
  <c r="V165" i="4"/>
  <c r="S165" i="4"/>
  <c r="V198" i="4"/>
  <c r="S198" i="4"/>
  <c r="V197" i="4"/>
  <c r="S197" i="4"/>
  <c r="V196" i="4"/>
  <c r="S196" i="4"/>
  <c r="V195" i="4"/>
  <c r="S195" i="4"/>
  <c r="V194" i="4"/>
  <c r="S194" i="4"/>
  <c r="V193" i="4"/>
  <c r="S193" i="4"/>
  <c r="V192" i="4"/>
  <c r="S192" i="4"/>
  <c r="V191" i="4"/>
  <c r="S191" i="4"/>
  <c r="V190" i="4"/>
  <c r="S190" i="4"/>
  <c r="V189" i="4"/>
  <c r="S189" i="4"/>
  <c r="V188" i="4"/>
  <c r="S188" i="4"/>
  <c r="V187" i="4"/>
  <c r="S187" i="4"/>
  <c r="V186" i="4"/>
  <c r="S186" i="4"/>
  <c r="V185" i="4"/>
  <c r="S185" i="4"/>
  <c r="V184" i="4"/>
  <c r="S184" i="4"/>
  <c r="V183" i="4"/>
  <c r="S183" i="4"/>
  <c r="V216" i="4"/>
  <c r="S216" i="4"/>
  <c r="V215" i="4"/>
  <c r="S215" i="4"/>
  <c r="V214" i="4"/>
  <c r="S214" i="4"/>
  <c r="V213" i="4"/>
  <c r="S213" i="4"/>
  <c r="V212" i="4"/>
  <c r="S212" i="4"/>
  <c r="V211" i="4"/>
  <c r="S211" i="4"/>
  <c r="V210" i="4"/>
  <c r="S210" i="4"/>
  <c r="V209" i="4"/>
  <c r="S209" i="4"/>
  <c r="V208" i="4"/>
  <c r="S208" i="4"/>
  <c r="V207" i="4"/>
  <c r="S207" i="4"/>
  <c r="V206" i="4"/>
  <c r="S206" i="4"/>
  <c r="V205" i="4"/>
  <c r="S205" i="4"/>
  <c r="V204" i="4"/>
  <c r="S204" i="4"/>
  <c r="V203" i="4"/>
  <c r="S203" i="4"/>
  <c r="V202" i="4"/>
  <c r="S202" i="4"/>
  <c r="V201" i="4"/>
  <c r="S201" i="4"/>
  <c r="V234" i="4"/>
  <c r="S234" i="4"/>
  <c r="V233" i="4"/>
  <c r="S233" i="4"/>
  <c r="V232" i="4"/>
  <c r="S232" i="4"/>
  <c r="V231" i="4"/>
  <c r="S231" i="4"/>
  <c r="V230" i="4"/>
  <c r="S230" i="4"/>
  <c r="V229" i="4"/>
  <c r="S229" i="4"/>
  <c r="V228" i="4"/>
  <c r="S228" i="4"/>
  <c r="V227" i="4"/>
  <c r="S227" i="4"/>
  <c r="V226" i="4"/>
  <c r="S226" i="4"/>
  <c r="V225" i="4"/>
  <c r="S225" i="4"/>
  <c r="V224" i="4"/>
  <c r="S224" i="4"/>
  <c r="V223" i="4"/>
  <c r="S223" i="4"/>
  <c r="V222" i="4"/>
  <c r="S222" i="4"/>
  <c r="V221" i="4"/>
  <c r="S221" i="4"/>
  <c r="V220" i="4"/>
  <c r="S220" i="4"/>
  <c r="V219" i="4"/>
  <c r="S219" i="4"/>
  <c r="V252" i="4"/>
  <c r="S252" i="4"/>
  <c r="V251" i="4"/>
  <c r="S251" i="4"/>
  <c r="V250" i="4"/>
  <c r="S250" i="4"/>
  <c r="V249" i="4"/>
  <c r="S249" i="4"/>
  <c r="V248" i="4"/>
  <c r="S248" i="4"/>
  <c r="V247" i="4"/>
  <c r="S247" i="4"/>
  <c r="V246" i="4"/>
  <c r="S246" i="4"/>
  <c r="V245" i="4"/>
  <c r="S245" i="4"/>
  <c r="V244" i="4"/>
  <c r="S244" i="4"/>
  <c r="V243" i="4"/>
  <c r="S243" i="4"/>
  <c r="V242" i="4"/>
  <c r="S242" i="4"/>
  <c r="V241" i="4"/>
  <c r="S241" i="4"/>
  <c r="V240" i="4"/>
  <c r="S240" i="4"/>
  <c r="V239" i="4"/>
  <c r="S239" i="4"/>
  <c r="V238" i="4"/>
  <c r="S238" i="4"/>
  <c r="V237" i="4"/>
  <c r="S237" i="4"/>
  <c r="V270" i="4"/>
  <c r="S270" i="4"/>
  <c r="V269" i="4"/>
  <c r="S269" i="4"/>
  <c r="V268" i="4"/>
  <c r="S268" i="4"/>
  <c r="V267" i="4"/>
  <c r="S267" i="4"/>
  <c r="V266" i="4"/>
  <c r="S266" i="4"/>
  <c r="V265" i="4"/>
  <c r="S265" i="4"/>
  <c r="V264" i="4"/>
  <c r="S264" i="4"/>
  <c r="V263" i="4"/>
  <c r="S263" i="4"/>
  <c r="V262" i="4"/>
  <c r="S262" i="4"/>
  <c r="V261" i="4"/>
  <c r="S261" i="4"/>
  <c r="V260" i="4"/>
  <c r="S260" i="4"/>
  <c r="V259" i="4"/>
  <c r="S259" i="4"/>
  <c r="V258" i="4"/>
  <c r="S258" i="4"/>
  <c r="V257" i="4"/>
  <c r="S257" i="4"/>
  <c r="V256" i="4"/>
  <c r="S256" i="4"/>
  <c r="V255" i="4"/>
  <c r="S255" i="4"/>
  <c r="V288" i="4"/>
  <c r="S288" i="4"/>
  <c r="V287" i="4"/>
  <c r="S287" i="4"/>
  <c r="V286" i="4"/>
  <c r="S286" i="4"/>
  <c r="V285" i="4"/>
  <c r="S285" i="4"/>
  <c r="V284" i="4"/>
  <c r="S284" i="4"/>
  <c r="V283" i="4"/>
  <c r="S283" i="4"/>
  <c r="V282" i="4"/>
  <c r="S282" i="4"/>
  <c r="V281" i="4"/>
  <c r="S281" i="4"/>
  <c r="V280" i="4"/>
  <c r="S280" i="4"/>
  <c r="V279" i="4"/>
  <c r="S279" i="4"/>
  <c r="V278" i="4"/>
  <c r="S278" i="4"/>
  <c r="V277" i="4"/>
  <c r="S277" i="4"/>
  <c r="V276" i="4"/>
  <c r="S276" i="4"/>
  <c r="V275" i="4"/>
  <c r="S275" i="4"/>
  <c r="V274" i="4"/>
  <c r="S274" i="4"/>
  <c r="V273" i="4"/>
  <c r="S273" i="4"/>
  <c r="V306" i="4"/>
  <c r="S306" i="4"/>
  <c r="V305" i="4"/>
  <c r="S305" i="4"/>
  <c r="V304" i="4"/>
  <c r="S304" i="4"/>
  <c r="V303" i="4"/>
  <c r="S303" i="4"/>
  <c r="V302" i="4"/>
  <c r="S302" i="4"/>
  <c r="V301" i="4"/>
  <c r="S301" i="4"/>
  <c r="V300" i="4"/>
  <c r="S300" i="4"/>
  <c r="V299" i="4"/>
  <c r="S299" i="4"/>
  <c r="V298" i="4"/>
  <c r="S298" i="4"/>
  <c r="V297" i="4"/>
  <c r="S297" i="4"/>
  <c r="V296" i="4"/>
  <c r="S296" i="4"/>
  <c r="V295" i="4"/>
  <c r="S295" i="4"/>
  <c r="V294" i="4"/>
  <c r="S294" i="4"/>
  <c r="V293" i="4"/>
  <c r="S293" i="4"/>
  <c r="V292" i="4"/>
  <c r="S292" i="4"/>
  <c r="V291" i="4"/>
  <c r="S291" i="4"/>
  <c r="V324" i="4"/>
  <c r="S324" i="4"/>
  <c r="V323" i="4"/>
  <c r="S323" i="4"/>
  <c r="V322" i="4"/>
  <c r="S322" i="4"/>
  <c r="V321" i="4"/>
  <c r="S321" i="4"/>
  <c r="V320" i="4"/>
  <c r="S320" i="4"/>
  <c r="V319" i="4"/>
  <c r="S319" i="4"/>
  <c r="V318" i="4"/>
  <c r="S318" i="4"/>
  <c r="V317" i="4"/>
  <c r="S317" i="4"/>
  <c r="V316" i="4"/>
  <c r="S316" i="4"/>
  <c r="V315" i="4"/>
  <c r="S315" i="4"/>
  <c r="V314" i="4"/>
  <c r="S314" i="4"/>
  <c r="V313" i="4"/>
  <c r="S313" i="4"/>
  <c r="V312" i="4"/>
  <c r="S312" i="4"/>
  <c r="V311" i="4"/>
  <c r="S311" i="4"/>
  <c r="V310" i="4"/>
  <c r="S310" i="4"/>
  <c r="V309" i="4"/>
  <c r="S309" i="4"/>
  <c r="V342" i="4"/>
  <c r="S342" i="4"/>
  <c r="V341" i="4"/>
  <c r="S341" i="4"/>
  <c r="V340" i="4"/>
  <c r="S340" i="4"/>
  <c r="V339" i="4"/>
  <c r="S339" i="4"/>
  <c r="V338" i="4"/>
  <c r="S338" i="4"/>
  <c r="V337" i="4"/>
  <c r="S337" i="4"/>
  <c r="V336" i="4"/>
  <c r="S336" i="4"/>
  <c r="V335" i="4"/>
  <c r="S335" i="4"/>
  <c r="V334" i="4"/>
  <c r="S334" i="4"/>
  <c r="V333" i="4"/>
  <c r="S333" i="4"/>
  <c r="V332" i="4"/>
  <c r="S332" i="4"/>
  <c r="V331" i="4"/>
  <c r="S331" i="4"/>
  <c r="V330" i="4"/>
  <c r="S330" i="4"/>
  <c r="V329" i="4"/>
  <c r="S329" i="4"/>
  <c r="V328" i="4"/>
  <c r="S328" i="4"/>
  <c r="V327" i="4"/>
  <c r="S327" i="4"/>
  <c r="V360" i="4"/>
  <c r="S360" i="4"/>
  <c r="V359" i="4"/>
  <c r="S359" i="4"/>
  <c r="V358" i="4"/>
  <c r="S358" i="4"/>
  <c r="V357" i="4"/>
  <c r="S357" i="4"/>
  <c r="V356" i="4"/>
  <c r="S356" i="4"/>
  <c r="V355" i="4"/>
  <c r="S355" i="4"/>
  <c r="V354" i="4"/>
  <c r="S354" i="4"/>
  <c r="V353" i="4"/>
  <c r="S353" i="4"/>
  <c r="V352" i="4"/>
  <c r="S352" i="4"/>
  <c r="V351" i="4"/>
  <c r="S351" i="4"/>
  <c r="V350" i="4"/>
  <c r="S350" i="4"/>
  <c r="V349" i="4"/>
  <c r="S349" i="4"/>
  <c r="V348" i="4"/>
  <c r="S348" i="4"/>
  <c r="V347" i="4"/>
  <c r="S347" i="4"/>
  <c r="V346" i="4"/>
  <c r="S346" i="4"/>
  <c r="V345" i="4"/>
  <c r="S345" i="4"/>
  <c r="V378" i="4"/>
  <c r="S378" i="4"/>
  <c r="V377" i="4"/>
  <c r="S377" i="4"/>
  <c r="V376" i="4"/>
  <c r="S376" i="4"/>
  <c r="V375" i="4"/>
  <c r="S375" i="4"/>
  <c r="V374" i="4"/>
  <c r="S374" i="4"/>
  <c r="V373" i="4"/>
  <c r="S373" i="4"/>
  <c r="V372" i="4"/>
  <c r="S372" i="4"/>
  <c r="V371" i="4"/>
  <c r="S371" i="4"/>
  <c r="V370" i="4"/>
  <c r="S370" i="4"/>
  <c r="V369" i="4"/>
  <c r="S369" i="4"/>
  <c r="V368" i="4"/>
  <c r="S368" i="4"/>
  <c r="V367" i="4"/>
  <c r="S367" i="4"/>
  <c r="V366" i="4"/>
  <c r="S366" i="4"/>
  <c r="V365" i="4"/>
  <c r="S365" i="4"/>
  <c r="V364" i="4"/>
  <c r="S364" i="4"/>
  <c r="V363" i="4"/>
  <c r="S363" i="4"/>
  <c r="V396" i="4"/>
  <c r="S396" i="4"/>
  <c r="V395" i="4"/>
  <c r="S395" i="4"/>
  <c r="V394" i="4"/>
  <c r="S394" i="4"/>
  <c r="V393" i="4"/>
  <c r="S393" i="4"/>
  <c r="V392" i="4"/>
  <c r="S392" i="4"/>
  <c r="V391" i="4"/>
  <c r="S391" i="4"/>
  <c r="V390" i="4"/>
  <c r="S390" i="4"/>
  <c r="V389" i="4"/>
  <c r="S389" i="4"/>
  <c r="V388" i="4"/>
  <c r="S388" i="4"/>
  <c r="V387" i="4"/>
  <c r="S387" i="4"/>
  <c r="V386" i="4"/>
  <c r="S386" i="4"/>
  <c r="V385" i="4"/>
  <c r="S385" i="4"/>
  <c r="V384" i="4"/>
  <c r="S384" i="4"/>
  <c r="V383" i="4"/>
  <c r="S383" i="4"/>
  <c r="V382" i="4"/>
  <c r="S382" i="4"/>
  <c r="V381" i="4"/>
  <c r="S381" i="4"/>
  <c r="V414" i="4"/>
  <c r="S414" i="4"/>
  <c r="V413" i="4"/>
  <c r="S413" i="4"/>
  <c r="V412" i="4"/>
  <c r="S412" i="4"/>
  <c r="V411" i="4"/>
  <c r="S411" i="4"/>
  <c r="V410" i="4"/>
  <c r="S410" i="4"/>
  <c r="V409" i="4"/>
  <c r="S409" i="4"/>
  <c r="V408" i="4"/>
  <c r="S408" i="4"/>
  <c r="V407" i="4"/>
  <c r="S407" i="4"/>
  <c r="V406" i="4"/>
  <c r="S406" i="4"/>
  <c r="V405" i="4"/>
  <c r="S405" i="4"/>
  <c r="V404" i="4"/>
  <c r="S404" i="4"/>
  <c r="V403" i="4"/>
  <c r="S403" i="4"/>
  <c r="V402" i="4"/>
  <c r="S402" i="4"/>
  <c r="V401" i="4"/>
  <c r="S401" i="4"/>
  <c r="V400" i="4"/>
  <c r="S400" i="4"/>
  <c r="V399" i="4"/>
  <c r="S399" i="4"/>
  <c r="V432" i="4"/>
  <c r="S432" i="4"/>
  <c r="V431" i="4"/>
  <c r="S431" i="4"/>
  <c r="V430" i="4"/>
  <c r="S430" i="4"/>
  <c r="V429" i="4"/>
  <c r="S429" i="4"/>
  <c r="V428" i="4"/>
  <c r="S428" i="4"/>
  <c r="V427" i="4"/>
  <c r="S427" i="4"/>
  <c r="V426" i="4"/>
  <c r="S426" i="4"/>
  <c r="V425" i="4"/>
  <c r="S425" i="4"/>
  <c r="V424" i="4"/>
  <c r="S424" i="4"/>
  <c r="V423" i="4"/>
  <c r="S423" i="4"/>
  <c r="V422" i="4"/>
  <c r="S422" i="4"/>
  <c r="V421" i="4"/>
  <c r="S421" i="4"/>
  <c r="V420" i="4"/>
  <c r="S420" i="4"/>
  <c r="V419" i="4"/>
  <c r="S419" i="4"/>
  <c r="V418" i="4"/>
  <c r="S418" i="4"/>
  <c r="V417" i="4"/>
  <c r="S417" i="4"/>
  <c r="V450" i="4"/>
  <c r="P450" i="4"/>
  <c r="V449" i="4"/>
  <c r="P449" i="4"/>
  <c r="V448" i="4"/>
  <c r="P448" i="4"/>
  <c r="V447" i="4"/>
  <c r="P447" i="4"/>
  <c r="V446" i="4"/>
  <c r="P446" i="4"/>
  <c r="V445" i="4"/>
  <c r="P445" i="4"/>
  <c r="V444" i="4"/>
  <c r="P444" i="4"/>
  <c r="V443" i="4"/>
  <c r="P443" i="4"/>
  <c r="B22" i="4" s="1"/>
  <c r="V442" i="4"/>
  <c r="P442" i="4"/>
  <c r="V441" i="4"/>
  <c r="P441" i="4"/>
  <c r="V440" i="4"/>
  <c r="P440" i="4"/>
  <c r="V439" i="4"/>
  <c r="P439" i="4"/>
  <c r="B20" i="4" s="1"/>
  <c r="V438" i="4"/>
  <c r="P438" i="4"/>
  <c r="V437" i="4"/>
  <c r="P437" i="4"/>
  <c r="V436" i="4"/>
  <c r="P436" i="4"/>
  <c r="V435" i="4"/>
  <c r="P435" i="4"/>
  <c r="V468" i="4"/>
  <c r="P468" i="4"/>
  <c r="V467" i="4"/>
  <c r="P467" i="4"/>
  <c r="B18" i="4" s="1"/>
  <c r="V466" i="4"/>
  <c r="P466" i="4"/>
  <c r="V465" i="4"/>
  <c r="P465" i="4"/>
  <c r="V464" i="4"/>
  <c r="P464" i="4"/>
  <c r="V463" i="4"/>
  <c r="P463" i="4"/>
  <c r="V462" i="4"/>
  <c r="P462" i="4"/>
  <c r="V461" i="4"/>
  <c r="P461" i="4"/>
  <c r="V460" i="4"/>
  <c r="P460" i="4"/>
  <c r="V459" i="4"/>
  <c r="P459" i="4"/>
  <c r="B16" i="4" s="1"/>
  <c r="V458" i="4"/>
  <c r="P458" i="4"/>
  <c r="V457" i="4"/>
  <c r="P457" i="4"/>
  <c r="V456" i="4"/>
  <c r="P456" i="4"/>
  <c r="V455" i="4"/>
  <c r="P455" i="4"/>
  <c r="V454" i="4"/>
  <c r="P454" i="4"/>
  <c r="V453" i="4"/>
  <c r="P453" i="4"/>
  <c r="V486" i="4"/>
  <c r="P486" i="4"/>
  <c r="V485" i="4"/>
  <c r="P485" i="4"/>
  <c r="V484" i="4"/>
  <c r="P484" i="4"/>
  <c r="B14" i="4" s="1"/>
  <c r="V483" i="4"/>
  <c r="P483" i="4"/>
  <c r="B13" i="4" s="1"/>
  <c r="V482" i="4"/>
  <c r="P482" i="4"/>
  <c r="B12" i="4" s="1"/>
  <c r="V481" i="4"/>
  <c r="P481" i="4"/>
  <c r="V480" i="4"/>
  <c r="P480" i="4"/>
  <c r="B10" i="4" s="1"/>
  <c r="V479" i="4"/>
  <c r="P479" i="4"/>
  <c r="V478" i="4"/>
  <c r="P478" i="4"/>
  <c r="B8" i="4" s="1"/>
  <c r="V477" i="4"/>
  <c r="P477" i="4"/>
  <c r="V476" i="4"/>
  <c r="P476" i="4"/>
  <c r="B6" i="4" s="1"/>
  <c r="V475" i="4"/>
  <c r="P475" i="4"/>
  <c r="V474" i="4"/>
  <c r="P474" i="4"/>
  <c r="B4" i="4" s="1"/>
  <c r="V473" i="4"/>
  <c r="P473" i="4"/>
  <c r="V472" i="4"/>
  <c r="P472" i="4"/>
  <c r="B2" i="4" s="1"/>
  <c r="V471" i="4"/>
  <c r="P471" i="4"/>
  <c r="J1" i="4"/>
  <c r="K54" i="4"/>
  <c r="I54" i="4"/>
  <c r="E54" i="4"/>
  <c r="K53" i="4"/>
  <c r="I53" i="4"/>
  <c r="E53" i="4"/>
  <c r="K52" i="4"/>
  <c r="I52" i="4"/>
  <c r="E52" i="4"/>
  <c r="K51" i="4"/>
  <c r="I51" i="4"/>
  <c r="E51" i="4"/>
  <c r="K50" i="4"/>
  <c r="I50" i="4"/>
  <c r="E50" i="4"/>
  <c r="K49" i="4"/>
  <c r="I49" i="4"/>
  <c r="E49" i="4"/>
  <c r="K48" i="4"/>
  <c r="I48" i="4"/>
  <c r="E48" i="4"/>
  <c r="K47" i="4"/>
  <c r="I47" i="4"/>
  <c r="E47" i="4"/>
  <c r="K46" i="4"/>
  <c r="H46" i="4"/>
  <c r="K45" i="4"/>
  <c r="I45" i="4"/>
  <c r="E45" i="4"/>
  <c r="K44" i="4"/>
  <c r="I44" i="4"/>
  <c r="E44" i="4"/>
  <c r="K43" i="4"/>
  <c r="H43" i="4"/>
  <c r="K42" i="4"/>
  <c r="I42" i="4"/>
  <c r="E42" i="4"/>
  <c r="K41" i="4"/>
  <c r="I41" i="4"/>
  <c r="E41" i="4"/>
  <c r="K40" i="4"/>
  <c r="J40" i="4"/>
  <c r="H40" i="4"/>
  <c r="L39" i="4"/>
  <c r="J39" i="4"/>
  <c r="H39" i="4"/>
  <c r="L38" i="4"/>
  <c r="K38" i="4"/>
  <c r="J38" i="4"/>
  <c r="H38" i="4"/>
  <c r="L37" i="4"/>
  <c r="J37" i="4"/>
  <c r="H37" i="4"/>
  <c r="L36" i="4"/>
  <c r="K36" i="4"/>
  <c r="J36" i="4"/>
  <c r="H36" i="4"/>
  <c r="L35" i="4"/>
  <c r="J35" i="4"/>
  <c r="H35" i="4"/>
  <c r="L34" i="4"/>
  <c r="K34" i="4"/>
  <c r="J34" i="4"/>
  <c r="H34" i="4"/>
  <c r="L33" i="4"/>
  <c r="J33" i="4"/>
  <c r="H33" i="4"/>
  <c r="L32" i="4"/>
  <c r="K32" i="4"/>
  <c r="J32" i="4"/>
  <c r="H32" i="4"/>
  <c r="L31" i="4"/>
  <c r="J31" i="4"/>
  <c r="H31" i="4"/>
  <c r="L30" i="4"/>
  <c r="K30" i="4"/>
  <c r="J30" i="4"/>
  <c r="H30" i="4"/>
  <c r="L29" i="4"/>
  <c r="J29" i="4"/>
  <c r="H29" i="4"/>
  <c r="L28" i="4"/>
  <c r="K28" i="4"/>
  <c r="J28" i="4"/>
  <c r="H28" i="4"/>
  <c r="L27" i="4"/>
  <c r="K27" i="4"/>
  <c r="J27" i="4"/>
  <c r="I27" i="4"/>
  <c r="H27" i="4"/>
  <c r="E27" i="4"/>
  <c r="L26" i="4"/>
  <c r="K26" i="4"/>
  <c r="J26" i="4"/>
  <c r="I26" i="4"/>
  <c r="H26" i="4"/>
  <c r="E26" i="4"/>
  <c r="L25" i="4"/>
  <c r="K25" i="4"/>
  <c r="J25" i="4"/>
  <c r="I25" i="4"/>
  <c r="H25" i="4"/>
  <c r="E25" i="4"/>
  <c r="L24" i="4"/>
  <c r="K24" i="4"/>
  <c r="J24" i="4"/>
  <c r="I24" i="4"/>
  <c r="H24" i="4"/>
  <c r="E24" i="4"/>
  <c r="L23" i="4"/>
  <c r="K23" i="4"/>
  <c r="J23" i="4"/>
  <c r="I23" i="4"/>
  <c r="H23" i="4"/>
  <c r="E23" i="4"/>
  <c r="L22" i="4"/>
  <c r="K22" i="4"/>
  <c r="J22" i="4"/>
  <c r="I22" i="4"/>
  <c r="H22" i="4"/>
  <c r="E22" i="4"/>
  <c r="K21" i="4"/>
  <c r="I21" i="4"/>
  <c r="H21" i="4"/>
  <c r="E21" i="4"/>
  <c r="L20" i="4"/>
  <c r="K20" i="4"/>
  <c r="J20" i="4"/>
  <c r="I20" i="4"/>
  <c r="H20" i="4"/>
  <c r="E20" i="4"/>
  <c r="L19" i="4"/>
  <c r="K19" i="4"/>
  <c r="J19" i="4"/>
  <c r="I19" i="4"/>
  <c r="H19" i="4"/>
  <c r="E19" i="4"/>
  <c r="L18" i="4"/>
  <c r="K18" i="4"/>
  <c r="J18" i="4"/>
  <c r="I18" i="4"/>
  <c r="H18" i="4"/>
  <c r="E18" i="4"/>
  <c r="L17" i="4"/>
  <c r="K17" i="4"/>
  <c r="J17" i="4"/>
  <c r="H17" i="4"/>
  <c r="L16" i="4"/>
  <c r="K16" i="4"/>
  <c r="J16" i="4"/>
  <c r="I16" i="4"/>
  <c r="H16" i="4"/>
  <c r="E16" i="4"/>
  <c r="L15" i="4"/>
  <c r="K15" i="4"/>
  <c r="J15" i="4"/>
  <c r="I15" i="4"/>
  <c r="H15" i="4"/>
  <c r="E15" i="4"/>
  <c r="L14" i="4"/>
  <c r="K14" i="4"/>
  <c r="J14" i="4"/>
  <c r="I14" i="4"/>
  <c r="H14" i="4"/>
  <c r="E14" i="4"/>
  <c r="L13" i="4"/>
  <c r="K13" i="4"/>
  <c r="J13" i="4"/>
  <c r="I13" i="4"/>
  <c r="H13" i="4"/>
  <c r="E13" i="4"/>
  <c r="L12" i="4"/>
  <c r="K12" i="4"/>
  <c r="J12" i="4"/>
  <c r="I12" i="4"/>
  <c r="H12" i="4"/>
  <c r="E12" i="4"/>
  <c r="L11" i="4"/>
  <c r="K11" i="4"/>
  <c r="J11" i="4"/>
  <c r="I11" i="4"/>
  <c r="H11" i="4"/>
  <c r="E11" i="4"/>
  <c r="L10" i="4"/>
  <c r="K10" i="4"/>
  <c r="J10" i="4"/>
  <c r="I10" i="4"/>
  <c r="H10" i="4"/>
  <c r="E10" i="4"/>
  <c r="L9" i="4"/>
  <c r="K9" i="4"/>
  <c r="J9" i="4"/>
  <c r="I9" i="4"/>
  <c r="H9" i="4"/>
  <c r="E9" i="4"/>
  <c r="L8" i="4"/>
  <c r="K8" i="4"/>
  <c r="J8" i="4"/>
  <c r="I8" i="4"/>
  <c r="H8" i="4"/>
  <c r="E8" i="4"/>
  <c r="L7" i="4"/>
  <c r="K7" i="4"/>
  <c r="J7" i="4"/>
  <c r="I7" i="4"/>
  <c r="H7" i="4"/>
  <c r="E7" i="4"/>
  <c r="L6" i="4"/>
  <c r="K6" i="4"/>
  <c r="J6" i="4"/>
  <c r="I6" i="4"/>
  <c r="H6" i="4"/>
  <c r="E6" i="4"/>
  <c r="L5" i="4"/>
  <c r="K5" i="4"/>
  <c r="J5" i="4"/>
  <c r="I5" i="4"/>
  <c r="H5" i="4"/>
  <c r="E5" i="4"/>
  <c r="L4" i="4"/>
  <c r="K4" i="4"/>
  <c r="J4" i="4"/>
  <c r="I4" i="4"/>
  <c r="H4" i="4"/>
  <c r="E4" i="4"/>
  <c r="L3" i="4"/>
  <c r="K3" i="4"/>
  <c r="J3" i="4"/>
  <c r="I3" i="4"/>
  <c r="H3" i="4"/>
  <c r="E3" i="4"/>
  <c r="L2" i="4"/>
  <c r="K2" i="4"/>
  <c r="J2" i="4"/>
  <c r="I2" i="4"/>
  <c r="H2" i="4"/>
  <c r="E2" i="4"/>
  <c r="L1" i="4"/>
  <c r="H1" i="4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K405" i="1"/>
  <c r="K406" i="1"/>
  <c r="K407" i="1"/>
  <c r="K408" i="1"/>
  <c r="K409" i="1"/>
  <c r="K410" i="1"/>
  <c r="K411" i="1"/>
  <c r="K412" i="1"/>
  <c r="K413" i="1"/>
  <c r="K404" i="1"/>
  <c r="K403" i="1"/>
  <c r="K402" i="1"/>
  <c r="K401" i="1"/>
  <c r="K400" i="1"/>
  <c r="K399" i="1"/>
  <c r="K398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6" i="1"/>
  <c r="K417" i="1"/>
  <c r="K418" i="1"/>
  <c r="K419" i="1"/>
  <c r="L9" i="2"/>
  <c r="J431" i="1"/>
  <c r="G431" i="1"/>
  <c r="J430" i="1"/>
  <c r="G430" i="1"/>
  <c r="J429" i="1"/>
  <c r="G429" i="1"/>
  <c r="J428" i="1"/>
  <c r="G428" i="1"/>
  <c r="J427" i="1"/>
  <c r="G427" i="1"/>
  <c r="J426" i="1"/>
  <c r="G426" i="1"/>
  <c r="J425" i="1"/>
  <c r="G425" i="1"/>
  <c r="J424" i="1"/>
  <c r="G424" i="1"/>
  <c r="J423" i="1"/>
  <c r="G423" i="1"/>
  <c r="J422" i="1"/>
  <c r="G422" i="1"/>
  <c r="J421" i="1"/>
  <c r="G421" i="1"/>
  <c r="J420" i="1"/>
  <c r="G420" i="1"/>
  <c r="J419" i="1"/>
  <c r="G419" i="1"/>
  <c r="J418" i="1"/>
  <c r="G418" i="1"/>
  <c r="J417" i="1"/>
  <c r="G417" i="1"/>
  <c r="J416" i="1"/>
  <c r="G416" i="1"/>
  <c r="O56" i="2"/>
  <c r="N56" i="2"/>
  <c r="M56" i="2"/>
  <c r="L56" i="2"/>
  <c r="K56" i="2"/>
  <c r="H56" i="2"/>
  <c r="O24" i="2"/>
  <c r="J413" i="1"/>
  <c r="G413" i="1"/>
  <c r="J412" i="1"/>
  <c r="G412" i="1"/>
  <c r="J411" i="1"/>
  <c r="G411" i="1"/>
  <c r="J410" i="1"/>
  <c r="G410" i="1"/>
  <c r="J409" i="1"/>
  <c r="G409" i="1"/>
  <c r="J408" i="1"/>
  <c r="G408" i="1"/>
  <c r="J407" i="1"/>
  <c r="G407" i="1"/>
  <c r="J406" i="1"/>
  <c r="G406" i="1"/>
  <c r="J405" i="1"/>
  <c r="G405" i="1"/>
  <c r="J404" i="1"/>
  <c r="G404" i="1"/>
  <c r="J403" i="1"/>
  <c r="G403" i="1"/>
  <c r="J402" i="1"/>
  <c r="G402" i="1"/>
  <c r="J401" i="1"/>
  <c r="G401" i="1"/>
  <c r="J400" i="1"/>
  <c r="G400" i="1"/>
  <c r="J399" i="1"/>
  <c r="G399" i="1"/>
  <c r="J398" i="1"/>
  <c r="G398" i="1"/>
  <c r="O58" i="2"/>
  <c r="O59" i="2"/>
  <c r="O57" i="2"/>
  <c r="O35" i="2"/>
  <c r="O51" i="2"/>
  <c r="O52" i="2"/>
  <c r="O43" i="2"/>
  <c r="O50" i="2"/>
  <c r="O49" i="2"/>
  <c r="O48" i="2"/>
  <c r="O47" i="2"/>
  <c r="O46" i="2"/>
  <c r="O31" i="2"/>
  <c r="O45" i="2"/>
  <c r="O44" i="2"/>
  <c r="O42" i="2"/>
  <c r="O41" i="2"/>
  <c r="O21" i="2"/>
  <c r="O39" i="2"/>
  <c r="O38" i="2"/>
  <c r="O37" i="2"/>
  <c r="O36" i="2"/>
  <c r="O34" i="2"/>
  <c r="O33" i="2"/>
  <c r="O32" i="2"/>
  <c r="O30" i="2"/>
  <c r="O29" i="2"/>
  <c r="O22" i="2"/>
  <c r="O28" i="2"/>
  <c r="O27" i="2"/>
  <c r="O26" i="2"/>
  <c r="O12" i="2"/>
  <c r="O25" i="2"/>
  <c r="O19" i="2"/>
  <c r="O23" i="2"/>
  <c r="O15" i="2"/>
  <c r="O9" i="2"/>
  <c r="O20" i="2"/>
  <c r="O18" i="2"/>
  <c r="O17" i="2"/>
  <c r="O16" i="2"/>
  <c r="O14" i="2"/>
  <c r="O13" i="2"/>
  <c r="O11" i="2"/>
  <c r="O10" i="2"/>
  <c r="O8" i="2"/>
  <c r="O7" i="2"/>
  <c r="O6" i="2"/>
  <c r="O5" i="2"/>
  <c r="O4" i="2"/>
  <c r="O3" i="2"/>
  <c r="O2" i="2"/>
  <c r="L3" i="2"/>
  <c r="N9" i="2"/>
  <c r="M2" i="2"/>
  <c r="K2" i="2"/>
  <c r="N4" i="2"/>
  <c r="J395" i="1"/>
  <c r="G395" i="1"/>
  <c r="J394" i="1"/>
  <c r="G394" i="1"/>
  <c r="J393" i="1"/>
  <c r="G393" i="1"/>
  <c r="J392" i="1"/>
  <c r="G392" i="1"/>
  <c r="J391" i="1"/>
  <c r="G391" i="1"/>
  <c r="J390" i="1"/>
  <c r="G390" i="1"/>
  <c r="J389" i="1"/>
  <c r="G389" i="1"/>
  <c r="J388" i="1"/>
  <c r="G388" i="1"/>
  <c r="J387" i="1"/>
  <c r="G387" i="1"/>
  <c r="J386" i="1"/>
  <c r="G386" i="1"/>
  <c r="J385" i="1"/>
  <c r="G385" i="1"/>
  <c r="J384" i="1"/>
  <c r="G384" i="1"/>
  <c r="J383" i="1"/>
  <c r="G383" i="1"/>
  <c r="J382" i="1"/>
  <c r="G382" i="1"/>
  <c r="J381" i="1"/>
  <c r="G381" i="1"/>
  <c r="J380" i="1"/>
  <c r="G380" i="1"/>
  <c r="N58" i="2"/>
  <c r="N59" i="2"/>
  <c r="N35" i="2"/>
  <c r="N57" i="2"/>
  <c r="N43" i="2"/>
  <c r="N31" i="2"/>
  <c r="N51" i="2"/>
  <c r="N52" i="2"/>
  <c r="N50" i="2"/>
  <c r="N49" i="2"/>
  <c r="N48" i="2"/>
  <c r="N47" i="2"/>
  <c r="N46" i="2"/>
  <c r="N45" i="2"/>
  <c r="N44" i="2"/>
  <c r="N21" i="2"/>
  <c r="N42" i="2"/>
  <c r="N41" i="2"/>
  <c r="N39" i="2"/>
  <c r="N38" i="2"/>
  <c r="N37" i="2"/>
  <c r="N36" i="2"/>
  <c r="N34" i="2"/>
  <c r="N33" i="2"/>
  <c r="N32" i="2"/>
  <c r="N12" i="2"/>
  <c r="N30" i="2"/>
  <c r="N29" i="2"/>
  <c r="N22" i="2"/>
  <c r="N28" i="2"/>
  <c r="N27" i="2"/>
  <c r="N26" i="2"/>
  <c r="N25" i="2"/>
  <c r="N19" i="2"/>
  <c r="N15" i="2"/>
  <c r="N23" i="2"/>
  <c r="N20" i="2"/>
  <c r="N18" i="2"/>
  <c r="N16" i="2"/>
  <c r="N17" i="2"/>
  <c r="N14" i="2"/>
  <c r="N13" i="2"/>
  <c r="N11" i="2"/>
  <c r="N10" i="2"/>
  <c r="N8" i="2"/>
  <c r="N7" i="2"/>
  <c r="N5" i="2"/>
  <c r="N6" i="2"/>
  <c r="N3" i="2"/>
  <c r="N2" i="2"/>
  <c r="M58" i="2"/>
  <c r="M59" i="2"/>
  <c r="M35" i="2"/>
  <c r="M57" i="2"/>
  <c r="M43" i="2"/>
  <c r="M31" i="2"/>
  <c r="M51" i="2"/>
  <c r="M52" i="2"/>
  <c r="M50" i="2"/>
  <c r="M49" i="2"/>
  <c r="M48" i="2"/>
  <c r="M47" i="2"/>
  <c r="M46" i="2"/>
  <c r="M45" i="2"/>
  <c r="M44" i="2"/>
  <c r="M21" i="2"/>
  <c r="M42" i="2"/>
  <c r="M41" i="2"/>
  <c r="M39" i="2"/>
  <c r="M38" i="2"/>
  <c r="M24" i="2"/>
  <c r="M37" i="2"/>
  <c r="M36" i="2"/>
  <c r="M34" i="2"/>
  <c r="M33" i="2"/>
  <c r="M32" i="2"/>
  <c r="M12" i="2"/>
  <c r="M30" i="2"/>
  <c r="M29" i="2"/>
  <c r="M22" i="2"/>
  <c r="M28" i="2"/>
  <c r="M27" i="2"/>
  <c r="M9" i="2"/>
  <c r="M26" i="2"/>
  <c r="M25" i="2"/>
  <c r="M19" i="2"/>
  <c r="M15" i="2"/>
  <c r="M23" i="2"/>
  <c r="M20" i="2"/>
  <c r="M18" i="2"/>
  <c r="M16" i="2"/>
  <c r="M17" i="2"/>
  <c r="M14" i="2"/>
  <c r="M13" i="2"/>
  <c r="M11" i="2"/>
  <c r="M10" i="2"/>
  <c r="M8" i="2"/>
  <c r="M7" i="2"/>
  <c r="M5" i="2"/>
  <c r="M6" i="2"/>
  <c r="M4" i="2"/>
  <c r="M3" i="2"/>
  <c r="L58" i="2"/>
  <c r="L59" i="2"/>
  <c r="L35" i="2"/>
  <c r="L57" i="2"/>
  <c r="L43" i="2"/>
  <c r="L31" i="2"/>
  <c r="L51" i="2"/>
  <c r="L52" i="2"/>
  <c r="L50" i="2"/>
  <c r="L49" i="2"/>
  <c r="L48" i="2"/>
  <c r="L47" i="2"/>
  <c r="L46" i="2"/>
  <c r="L45" i="2"/>
  <c r="L44" i="2"/>
  <c r="L21" i="2"/>
  <c r="L42" i="2"/>
  <c r="L41" i="2"/>
  <c r="L39" i="2"/>
  <c r="L38" i="2"/>
  <c r="L24" i="2"/>
  <c r="L37" i="2"/>
  <c r="L36" i="2"/>
  <c r="L34" i="2"/>
  <c r="L33" i="2"/>
  <c r="L32" i="2"/>
  <c r="L12" i="2"/>
  <c r="L30" i="2"/>
  <c r="L29" i="2"/>
  <c r="L22" i="2"/>
  <c r="L28" i="2"/>
  <c r="L27" i="2"/>
  <c r="L26" i="2"/>
  <c r="L25" i="2"/>
  <c r="L19" i="2"/>
  <c r="L15" i="2"/>
  <c r="L23" i="2"/>
  <c r="L20" i="2"/>
  <c r="L18" i="2"/>
  <c r="L16" i="2"/>
  <c r="L17" i="2"/>
  <c r="L14" i="2"/>
  <c r="L13" i="2"/>
  <c r="L11" i="2"/>
  <c r="L10" i="2"/>
  <c r="L8" i="2"/>
  <c r="L7" i="2"/>
  <c r="L5" i="2"/>
  <c r="L6" i="2"/>
  <c r="L4" i="2"/>
  <c r="L2" i="2"/>
  <c r="K35" i="2"/>
  <c r="H35" i="2"/>
  <c r="H16" i="2"/>
  <c r="G362" i="1"/>
  <c r="J377" i="1"/>
  <c r="G377" i="1"/>
  <c r="J376" i="1"/>
  <c r="G376" i="1"/>
  <c r="J375" i="1"/>
  <c r="G375" i="1"/>
  <c r="J374" i="1"/>
  <c r="G374" i="1"/>
  <c r="J373" i="1"/>
  <c r="G373" i="1"/>
  <c r="J372" i="1"/>
  <c r="G372" i="1"/>
  <c r="J371" i="1"/>
  <c r="G371" i="1"/>
  <c r="J370" i="1"/>
  <c r="G370" i="1"/>
  <c r="J369" i="1"/>
  <c r="G369" i="1"/>
  <c r="J368" i="1"/>
  <c r="G368" i="1"/>
  <c r="J367" i="1"/>
  <c r="G367" i="1"/>
  <c r="J366" i="1"/>
  <c r="G366" i="1"/>
  <c r="J365" i="1"/>
  <c r="G365" i="1"/>
  <c r="J364" i="1"/>
  <c r="G364" i="1"/>
  <c r="J363" i="1"/>
  <c r="G363" i="1"/>
  <c r="J362" i="1"/>
  <c r="K43" i="2"/>
  <c r="H43" i="2"/>
  <c r="K58" i="2"/>
  <c r="K59" i="2"/>
  <c r="K57" i="2"/>
  <c r="K21" i="2"/>
  <c r="K31" i="2"/>
  <c r="K51" i="2"/>
  <c r="K52" i="2"/>
  <c r="K50" i="2"/>
  <c r="K49" i="2"/>
  <c r="K24" i="2"/>
  <c r="K48" i="2"/>
  <c r="K47" i="2"/>
  <c r="K46" i="2"/>
  <c r="K45" i="2"/>
  <c r="K12" i="2"/>
  <c r="K44" i="2"/>
  <c r="K42" i="2"/>
  <c r="K41" i="2"/>
  <c r="K39" i="2"/>
  <c r="K38" i="2"/>
  <c r="K37" i="2"/>
  <c r="K9" i="2"/>
  <c r="K36" i="2"/>
  <c r="K32" i="2"/>
  <c r="K34" i="2"/>
  <c r="K33" i="2"/>
  <c r="K22" i="2"/>
  <c r="K19" i="2"/>
  <c r="K30" i="2"/>
  <c r="K15" i="2"/>
  <c r="K29" i="2"/>
  <c r="K28" i="2"/>
  <c r="K25" i="2"/>
  <c r="K27" i="2"/>
  <c r="K26" i="2"/>
  <c r="K23" i="2"/>
  <c r="K16" i="2"/>
  <c r="K20" i="2"/>
  <c r="K18" i="2"/>
  <c r="K13" i="2"/>
  <c r="K17" i="2"/>
  <c r="K14" i="2"/>
  <c r="K11" i="2"/>
  <c r="K10" i="2"/>
  <c r="K8" i="2"/>
  <c r="K7" i="2"/>
  <c r="K5" i="2"/>
  <c r="K6" i="2"/>
  <c r="K4" i="2"/>
  <c r="K3" i="2"/>
  <c r="J359" i="1"/>
  <c r="G359" i="1"/>
  <c r="J358" i="1"/>
  <c r="G358" i="1"/>
  <c r="J357" i="1"/>
  <c r="G357" i="1"/>
  <c r="J356" i="1"/>
  <c r="G356" i="1"/>
  <c r="J355" i="1"/>
  <c r="G355" i="1"/>
  <c r="J354" i="1"/>
  <c r="G354" i="1"/>
  <c r="J353" i="1"/>
  <c r="G353" i="1"/>
  <c r="J352" i="1"/>
  <c r="G352" i="1"/>
  <c r="J351" i="1"/>
  <c r="G351" i="1"/>
  <c r="J350" i="1"/>
  <c r="G350" i="1"/>
  <c r="J349" i="1"/>
  <c r="G349" i="1"/>
  <c r="J348" i="1"/>
  <c r="G348" i="1"/>
  <c r="J347" i="1"/>
  <c r="G347" i="1"/>
  <c r="J346" i="1"/>
  <c r="G346" i="1"/>
  <c r="J345" i="1"/>
  <c r="G345" i="1"/>
  <c r="J344" i="1"/>
  <c r="G344" i="1"/>
  <c r="H24" i="2"/>
  <c r="H12" i="2"/>
  <c r="H31" i="2"/>
  <c r="H44" i="2"/>
  <c r="H46" i="2"/>
  <c r="H9" i="2"/>
  <c r="H21" i="2"/>
  <c r="H32" i="2"/>
  <c r="H48" i="2"/>
  <c r="H15" i="2"/>
  <c r="H22" i="2"/>
  <c r="H27" i="2"/>
  <c r="H25" i="2"/>
  <c r="H19" i="2"/>
  <c r="H13" i="2"/>
  <c r="H42" i="2"/>
  <c r="H36" i="2"/>
  <c r="H51" i="2"/>
  <c r="H5" i="2"/>
  <c r="H30" i="2"/>
  <c r="H52" i="2"/>
  <c r="H38" i="2"/>
  <c r="H45" i="2"/>
  <c r="H4" i="2"/>
  <c r="H3" i="2"/>
  <c r="H41" i="2"/>
  <c r="H26" i="2"/>
  <c r="H8" i="2"/>
  <c r="H23" i="2"/>
  <c r="H6" i="2"/>
  <c r="H10" i="2"/>
  <c r="H58" i="2"/>
  <c r="H59" i="2"/>
  <c r="H57" i="2"/>
  <c r="H2" i="2"/>
  <c r="H34" i="2"/>
  <c r="H37" i="2"/>
  <c r="H50" i="2"/>
  <c r="H49" i="2"/>
  <c r="H39" i="2"/>
  <c r="H20" i="2"/>
  <c r="H47" i="2"/>
  <c r="H28" i="2"/>
  <c r="H17" i="2"/>
  <c r="H33" i="2"/>
  <c r="H7" i="2"/>
  <c r="H14" i="2"/>
  <c r="H29" i="2"/>
  <c r="H18" i="2"/>
  <c r="H11" i="2"/>
  <c r="J341" i="1"/>
  <c r="G341" i="1"/>
  <c r="J340" i="1"/>
  <c r="G340" i="1"/>
  <c r="J339" i="1"/>
  <c r="G339" i="1"/>
  <c r="J338" i="1"/>
  <c r="G338" i="1"/>
  <c r="J337" i="1"/>
  <c r="G337" i="1"/>
  <c r="J336" i="1"/>
  <c r="G336" i="1"/>
  <c r="J335" i="1"/>
  <c r="G335" i="1"/>
  <c r="J334" i="1"/>
  <c r="G334" i="1"/>
  <c r="J333" i="1"/>
  <c r="G333" i="1"/>
  <c r="J332" i="1"/>
  <c r="G332" i="1"/>
  <c r="J331" i="1"/>
  <c r="G331" i="1"/>
  <c r="J330" i="1"/>
  <c r="G330" i="1"/>
  <c r="J329" i="1"/>
  <c r="G329" i="1"/>
  <c r="J328" i="1"/>
  <c r="G328" i="1"/>
  <c r="J327" i="1"/>
  <c r="G327" i="1"/>
  <c r="J326" i="1"/>
  <c r="G326" i="1"/>
  <c r="J323" i="1"/>
  <c r="G323" i="1"/>
  <c r="J322" i="1"/>
  <c r="G322" i="1"/>
  <c r="J321" i="1"/>
  <c r="G321" i="1"/>
  <c r="J320" i="1"/>
  <c r="G320" i="1"/>
  <c r="J319" i="1"/>
  <c r="G319" i="1"/>
  <c r="J318" i="1"/>
  <c r="G318" i="1"/>
  <c r="J317" i="1"/>
  <c r="G317" i="1"/>
  <c r="J316" i="1"/>
  <c r="G316" i="1"/>
  <c r="J315" i="1"/>
  <c r="G315" i="1"/>
  <c r="J314" i="1"/>
  <c r="G314" i="1"/>
  <c r="J313" i="1"/>
  <c r="G313" i="1"/>
  <c r="J312" i="1"/>
  <c r="G312" i="1"/>
  <c r="J311" i="1"/>
  <c r="G311" i="1"/>
  <c r="J310" i="1"/>
  <c r="G310" i="1"/>
  <c r="J309" i="1"/>
  <c r="G309" i="1"/>
  <c r="J308" i="1"/>
  <c r="G308" i="1"/>
  <c r="J305" i="1"/>
  <c r="G305" i="1"/>
  <c r="J304" i="1"/>
  <c r="G304" i="1"/>
  <c r="J303" i="1"/>
  <c r="G303" i="1"/>
  <c r="J302" i="1"/>
  <c r="G302" i="1"/>
  <c r="J301" i="1"/>
  <c r="G301" i="1"/>
  <c r="J300" i="1"/>
  <c r="G300" i="1"/>
  <c r="J299" i="1"/>
  <c r="G299" i="1"/>
  <c r="J298" i="1"/>
  <c r="G298" i="1"/>
  <c r="J297" i="1"/>
  <c r="G297" i="1"/>
  <c r="J296" i="1"/>
  <c r="G296" i="1"/>
  <c r="J295" i="1"/>
  <c r="G295" i="1"/>
  <c r="J294" i="1"/>
  <c r="G294" i="1"/>
  <c r="J293" i="1"/>
  <c r="G293" i="1"/>
  <c r="J292" i="1"/>
  <c r="G292" i="1"/>
  <c r="J291" i="1"/>
  <c r="G291" i="1"/>
  <c r="J290" i="1"/>
  <c r="G290" i="1"/>
  <c r="J287" i="1"/>
  <c r="G287" i="1"/>
  <c r="J286" i="1"/>
  <c r="G286" i="1"/>
  <c r="J285" i="1"/>
  <c r="G285" i="1"/>
  <c r="J284" i="1"/>
  <c r="G284" i="1"/>
  <c r="J283" i="1"/>
  <c r="G283" i="1"/>
  <c r="J282" i="1"/>
  <c r="G282" i="1"/>
  <c r="J281" i="1"/>
  <c r="G281" i="1"/>
  <c r="J280" i="1"/>
  <c r="G280" i="1"/>
  <c r="J279" i="1"/>
  <c r="G279" i="1"/>
  <c r="J278" i="1"/>
  <c r="G278" i="1"/>
  <c r="J277" i="1"/>
  <c r="G277" i="1"/>
  <c r="J276" i="1"/>
  <c r="G276" i="1"/>
  <c r="J275" i="1"/>
  <c r="G275" i="1"/>
  <c r="J274" i="1"/>
  <c r="G274" i="1"/>
  <c r="J273" i="1"/>
  <c r="G273" i="1"/>
  <c r="J272" i="1"/>
  <c r="G272" i="1"/>
  <c r="J269" i="1"/>
  <c r="G269" i="1"/>
  <c r="J268" i="1"/>
  <c r="G268" i="1"/>
  <c r="J267" i="1"/>
  <c r="G267" i="1"/>
  <c r="J266" i="1"/>
  <c r="G266" i="1"/>
  <c r="J265" i="1"/>
  <c r="G265" i="1"/>
  <c r="J264" i="1"/>
  <c r="G264" i="1"/>
  <c r="J263" i="1"/>
  <c r="G263" i="1"/>
  <c r="J262" i="1"/>
  <c r="G262" i="1"/>
  <c r="J261" i="1"/>
  <c r="G261" i="1"/>
  <c r="J260" i="1"/>
  <c r="G260" i="1"/>
  <c r="J259" i="1"/>
  <c r="G259" i="1"/>
  <c r="J258" i="1"/>
  <c r="G258" i="1"/>
  <c r="J257" i="1"/>
  <c r="G257" i="1"/>
  <c r="J256" i="1"/>
  <c r="G256" i="1"/>
  <c r="J255" i="1"/>
  <c r="G255" i="1"/>
  <c r="J254" i="1"/>
  <c r="G254" i="1"/>
  <c r="J251" i="1"/>
  <c r="G251" i="1"/>
  <c r="J250" i="1"/>
  <c r="G250" i="1"/>
  <c r="J249" i="1"/>
  <c r="G249" i="1"/>
  <c r="J248" i="1"/>
  <c r="G248" i="1"/>
  <c r="J247" i="1"/>
  <c r="G247" i="1"/>
  <c r="J246" i="1"/>
  <c r="G246" i="1"/>
  <c r="J245" i="1"/>
  <c r="G245" i="1"/>
  <c r="J244" i="1"/>
  <c r="G244" i="1"/>
  <c r="J243" i="1"/>
  <c r="G243" i="1"/>
  <c r="J242" i="1"/>
  <c r="G242" i="1"/>
  <c r="J241" i="1"/>
  <c r="G241" i="1"/>
  <c r="J240" i="1"/>
  <c r="G240" i="1"/>
  <c r="J239" i="1"/>
  <c r="G239" i="1"/>
  <c r="J238" i="1"/>
  <c r="G238" i="1"/>
  <c r="J237" i="1"/>
  <c r="G237" i="1"/>
  <c r="J236" i="1"/>
  <c r="G236" i="1"/>
  <c r="J233" i="1"/>
  <c r="G233" i="1"/>
  <c r="J232" i="1"/>
  <c r="G232" i="1"/>
  <c r="J231" i="1"/>
  <c r="G231" i="1"/>
  <c r="J230" i="1"/>
  <c r="G230" i="1"/>
  <c r="J229" i="1"/>
  <c r="G229" i="1"/>
  <c r="J228" i="1"/>
  <c r="G228" i="1"/>
  <c r="J227" i="1"/>
  <c r="G227" i="1"/>
  <c r="J226" i="1"/>
  <c r="G226" i="1"/>
  <c r="J225" i="1"/>
  <c r="G225" i="1"/>
  <c r="J224" i="1"/>
  <c r="G224" i="1"/>
  <c r="J223" i="1"/>
  <c r="G223" i="1"/>
  <c r="J222" i="1"/>
  <c r="G222" i="1"/>
  <c r="J221" i="1"/>
  <c r="G221" i="1"/>
  <c r="J220" i="1"/>
  <c r="G220" i="1"/>
  <c r="J219" i="1"/>
  <c r="G219" i="1"/>
  <c r="J218" i="1"/>
  <c r="G218" i="1"/>
  <c r="J215" i="1"/>
  <c r="G215" i="1"/>
  <c r="J214" i="1"/>
  <c r="G214" i="1"/>
  <c r="J213" i="1"/>
  <c r="G213" i="1"/>
  <c r="J212" i="1"/>
  <c r="G212" i="1"/>
  <c r="J211" i="1"/>
  <c r="G211" i="1"/>
  <c r="J210" i="1"/>
  <c r="G210" i="1"/>
  <c r="J209" i="1"/>
  <c r="G209" i="1"/>
  <c r="J208" i="1"/>
  <c r="G208" i="1"/>
  <c r="J207" i="1"/>
  <c r="G207" i="1"/>
  <c r="J206" i="1"/>
  <c r="G206" i="1"/>
  <c r="J205" i="1"/>
  <c r="G205" i="1"/>
  <c r="J204" i="1"/>
  <c r="G204" i="1"/>
  <c r="J203" i="1"/>
  <c r="G203" i="1"/>
  <c r="J202" i="1"/>
  <c r="G202" i="1"/>
  <c r="J201" i="1"/>
  <c r="G201" i="1"/>
  <c r="J200" i="1"/>
  <c r="G200" i="1"/>
  <c r="J197" i="1"/>
  <c r="G197" i="1"/>
  <c r="J196" i="1"/>
  <c r="G196" i="1"/>
  <c r="J195" i="1"/>
  <c r="G195" i="1"/>
  <c r="J194" i="1"/>
  <c r="G194" i="1"/>
  <c r="J193" i="1"/>
  <c r="G193" i="1"/>
  <c r="J192" i="1"/>
  <c r="G192" i="1"/>
  <c r="J191" i="1"/>
  <c r="G191" i="1"/>
  <c r="J190" i="1"/>
  <c r="G190" i="1"/>
  <c r="J189" i="1"/>
  <c r="G189" i="1"/>
  <c r="J188" i="1"/>
  <c r="G188" i="1"/>
  <c r="J187" i="1"/>
  <c r="G187" i="1"/>
  <c r="J186" i="1"/>
  <c r="G186" i="1"/>
  <c r="J185" i="1"/>
  <c r="G185" i="1"/>
  <c r="J184" i="1"/>
  <c r="G184" i="1"/>
  <c r="J183" i="1"/>
  <c r="G183" i="1"/>
  <c r="J182" i="1"/>
  <c r="G182" i="1"/>
  <c r="J179" i="1"/>
  <c r="G179" i="1"/>
  <c r="J178" i="1"/>
  <c r="G178" i="1"/>
  <c r="J177" i="1"/>
  <c r="G177" i="1"/>
  <c r="J176" i="1"/>
  <c r="G176" i="1"/>
  <c r="J175" i="1"/>
  <c r="G175" i="1"/>
  <c r="J174" i="1"/>
  <c r="G174" i="1"/>
  <c r="J173" i="1"/>
  <c r="G173" i="1"/>
  <c r="J172" i="1"/>
  <c r="G172" i="1"/>
  <c r="J171" i="1"/>
  <c r="G171" i="1"/>
  <c r="J170" i="1"/>
  <c r="G170" i="1"/>
  <c r="J169" i="1"/>
  <c r="G169" i="1"/>
  <c r="J168" i="1"/>
  <c r="G168" i="1"/>
  <c r="J167" i="1"/>
  <c r="G167" i="1"/>
  <c r="J166" i="1"/>
  <c r="G166" i="1"/>
  <c r="J165" i="1"/>
  <c r="G165" i="1"/>
  <c r="J164" i="1"/>
  <c r="G164" i="1"/>
  <c r="J161" i="1"/>
  <c r="G161" i="1"/>
  <c r="J160" i="1"/>
  <c r="G160" i="1"/>
  <c r="J159" i="1"/>
  <c r="G159" i="1"/>
  <c r="J158" i="1"/>
  <c r="G158" i="1"/>
  <c r="J157" i="1"/>
  <c r="G157" i="1"/>
  <c r="J156" i="1"/>
  <c r="G156" i="1"/>
  <c r="J155" i="1"/>
  <c r="G155" i="1"/>
  <c r="J154" i="1"/>
  <c r="G154" i="1"/>
  <c r="J153" i="1"/>
  <c r="G153" i="1"/>
  <c r="J152" i="1"/>
  <c r="G152" i="1"/>
  <c r="J151" i="1"/>
  <c r="G151" i="1"/>
  <c r="J150" i="1"/>
  <c r="G150" i="1"/>
  <c r="J149" i="1"/>
  <c r="G149" i="1"/>
  <c r="J148" i="1"/>
  <c r="G148" i="1"/>
  <c r="J147" i="1"/>
  <c r="G147" i="1"/>
  <c r="J146" i="1"/>
  <c r="G146" i="1"/>
  <c r="J143" i="1"/>
  <c r="G143" i="1"/>
  <c r="J142" i="1"/>
  <c r="G142" i="1"/>
  <c r="J141" i="1"/>
  <c r="G141" i="1"/>
  <c r="J140" i="1"/>
  <c r="G140" i="1"/>
  <c r="J139" i="1"/>
  <c r="G139" i="1"/>
  <c r="J138" i="1"/>
  <c r="G138" i="1"/>
  <c r="J137" i="1"/>
  <c r="G137" i="1"/>
  <c r="J136" i="1"/>
  <c r="G136" i="1"/>
  <c r="J135" i="1"/>
  <c r="G135" i="1"/>
  <c r="J134" i="1"/>
  <c r="G134" i="1"/>
  <c r="J133" i="1"/>
  <c r="G133" i="1"/>
  <c r="J132" i="1"/>
  <c r="G132" i="1"/>
  <c r="J131" i="1"/>
  <c r="G131" i="1"/>
  <c r="J130" i="1"/>
  <c r="G130" i="1"/>
  <c r="J129" i="1"/>
  <c r="G129" i="1"/>
  <c r="J128" i="1"/>
  <c r="G128" i="1"/>
  <c r="J125" i="1"/>
  <c r="G125" i="1"/>
  <c r="J124" i="1"/>
  <c r="G124" i="1"/>
  <c r="J123" i="1"/>
  <c r="G123" i="1"/>
  <c r="J122" i="1"/>
  <c r="G122" i="1"/>
  <c r="J121" i="1"/>
  <c r="G121" i="1"/>
  <c r="J120" i="1"/>
  <c r="G120" i="1"/>
  <c r="J119" i="1"/>
  <c r="G119" i="1"/>
  <c r="J118" i="1"/>
  <c r="G118" i="1"/>
  <c r="J117" i="1"/>
  <c r="G117" i="1"/>
  <c r="J116" i="1"/>
  <c r="G116" i="1"/>
  <c r="J115" i="1"/>
  <c r="G115" i="1"/>
  <c r="J114" i="1"/>
  <c r="G114" i="1"/>
  <c r="J113" i="1"/>
  <c r="G113" i="1"/>
  <c r="J112" i="1"/>
  <c r="G112" i="1"/>
  <c r="J111" i="1"/>
  <c r="G111" i="1"/>
  <c r="J110" i="1"/>
  <c r="G110" i="1"/>
  <c r="J107" i="1"/>
  <c r="G107" i="1"/>
  <c r="J106" i="1"/>
  <c r="G106" i="1"/>
  <c r="J105" i="1"/>
  <c r="G105" i="1"/>
  <c r="J104" i="1"/>
  <c r="G104" i="1"/>
  <c r="J103" i="1"/>
  <c r="G103" i="1"/>
  <c r="J102" i="1"/>
  <c r="G102" i="1"/>
  <c r="J101" i="1"/>
  <c r="G101" i="1"/>
  <c r="J100" i="1"/>
  <c r="G100" i="1"/>
  <c r="J99" i="1"/>
  <c r="G99" i="1"/>
  <c r="J98" i="1"/>
  <c r="G98" i="1"/>
  <c r="J97" i="1"/>
  <c r="G97" i="1"/>
  <c r="J96" i="1"/>
  <c r="G96" i="1"/>
  <c r="J95" i="1"/>
  <c r="G95" i="1"/>
  <c r="J94" i="1"/>
  <c r="G94" i="1"/>
  <c r="J93" i="1"/>
  <c r="G93" i="1"/>
  <c r="J92" i="1"/>
  <c r="G92" i="1"/>
  <c r="J89" i="1"/>
  <c r="G89" i="1"/>
  <c r="J88" i="1"/>
  <c r="G88" i="1"/>
  <c r="J87" i="1"/>
  <c r="G87" i="1"/>
  <c r="J86" i="1"/>
  <c r="G86" i="1"/>
  <c r="J85" i="1"/>
  <c r="G85" i="1"/>
  <c r="J84" i="1"/>
  <c r="G84" i="1"/>
  <c r="J83" i="1"/>
  <c r="G83" i="1"/>
  <c r="J82" i="1"/>
  <c r="G82" i="1"/>
  <c r="J81" i="1"/>
  <c r="G81" i="1"/>
  <c r="J80" i="1"/>
  <c r="G80" i="1"/>
  <c r="J79" i="1"/>
  <c r="G79" i="1"/>
  <c r="J78" i="1"/>
  <c r="G78" i="1"/>
  <c r="J77" i="1"/>
  <c r="G77" i="1"/>
  <c r="J76" i="1"/>
  <c r="G76" i="1"/>
  <c r="J75" i="1"/>
  <c r="G75" i="1"/>
  <c r="J74" i="1"/>
  <c r="G74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3" i="1"/>
  <c r="D53" i="1"/>
  <c r="J52" i="1"/>
  <c r="D52" i="1"/>
  <c r="J51" i="1"/>
  <c r="D51" i="1"/>
  <c r="J50" i="1"/>
  <c r="D50" i="1"/>
  <c r="J49" i="1"/>
  <c r="D49" i="1"/>
  <c r="J48" i="1"/>
  <c r="D48" i="1"/>
  <c r="J47" i="1"/>
  <c r="D47" i="1"/>
  <c r="J46" i="1"/>
  <c r="D46" i="1"/>
  <c r="J45" i="1"/>
  <c r="D45" i="1"/>
  <c r="J44" i="1"/>
  <c r="D44" i="1"/>
  <c r="J43" i="1"/>
  <c r="D43" i="1"/>
  <c r="J42" i="1"/>
  <c r="D42" i="1"/>
  <c r="J41" i="1"/>
  <c r="D41" i="1"/>
  <c r="J40" i="1"/>
  <c r="D40" i="1"/>
  <c r="J39" i="1"/>
  <c r="D39" i="1"/>
  <c r="J38" i="1"/>
  <c r="D38" i="1"/>
  <c r="J35" i="1"/>
  <c r="D35" i="1"/>
  <c r="J34" i="1"/>
  <c r="D34" i="1"/>
  <c r="J33" i="1"/>
  <c r="D33" i="1"/>
  <c r="J32" i="1"/>
  <c r="D32" i="1"/>
  <c r="J31" i="1"/>
  <c r="D31" i="1"/>
  <c r="J30" i="1"/>
  <c r="D30" i="1"/>
  <c r="J29" i="1"/>
  <c r="D29" i="1"/>
  <c r="J28" i="1"/>
  <c r="D28" i="1"/>
  <c r="J27" i="1"/>
  <c r="D27" i="1"/>
  <c r="J26" i="1"/>
  <c r="D26" i="1"/>
  <c r="J25" i="1"/>
  <c r="D25" i="1"/>
  <c r="J24" i="1"/>
  <c r="D24" i="1"/>
  <c r="J23" i="1"/>
  <c r="D23" i="1"/>
  <c r="J22" i="1"/>
  <c r="D22" i="1"/>
  <c r="J21" i="1"/>
  <c r="D21" i="1"/>
  <c r="J20" i="1"/>
  <c r="D20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I28" i="4" l="1"/>
  <c r="E28" i="4"/>
  <c r="I29" i="4"/>
  <c r="K29" i="4"/>
  <c r="I30" i="4"/>
  <c r="E30" i="4"/>
  <c r="I31" i="4"/>
  <c r="K31" i="4"/>
  <c r="I32" i="4"/>
  <c r="E32" i="4"/>
  <c r="I33" i="4"/>
  <c r="K33" i="4"/>
  <c r="I34" i="4"/>
  <c r="E34" i="4"/>
  <c r="I35" i="4"/>
  <c r="K35" i="4"/>
  <c r="I36" i="4"/>
  <c r="E36" i="4"/>
  <c r="I37" i="4"/>
  <c r="K37" i="4"/>
  <c r="I38" i="4"/>
  <c r="E38" i="4"/>
  <c r="I39" i="4"/>
  <c r="K39" i="4"/>
  <c r="I40" i="4"/>
  <c r="E40" i="4"/>
  <c r="L42" i="4"/>
  <c r="J42" i="4"/>
  <c r="L44" i="4"/>
  <c r="J44" i="4"/>
  <c r="L47" i="4"/>
  <c r="J47" i="4"/>
  <c r="L48" i="4"/>
  <c r="J48" i="4"/>
  <c r="L50" i="4"/>
  <c r="J50" i="4"/>
  <c r="L52" i="4"/>
  <c r="J52" i="4"/>
  <c r="L54" i="4"/>
  <c r="J54" i="4"/>
  <c r="L55" i="4"/>
  <c r="H55" i="4"/>
  <c r="I55" i="4"/>
  <c r="K55" i="4"/>
  <c r="I17" i="4"/>
  <c r="I43" i="4"/>
  <c r="J55" i="4"/>
  <c r="L40" i="4"/>
  <c r="I46" i="4"/>
  <c r="E46" i="4"/>
  <c r="E43" i="4"/>
  <c r="L21" i="4"/>
  <c r="J21" i="4"/>
  <c r="E17" i="4"/>
  <c r="E1" i="4"/>
  <c r="I1" i="4"/>
  <c r="K1" i="4"/>
  <c r="N24" i="2"/>
</calcChain>
</file>

<file path=xl/sharedStrings.xml><?xml version="1.0" encoding="utf-8"?>
<sst xmlns="http://schemas.openxmlformats.org/spreadsheetml/2006/main" count="1145" uniqueCount="158">
  <si>
    <t>River Plate PR Ponce</t>
  </si>
  <si>
    <t>FC Arsenal de Sarandí</t>
  </si>
  <si>
    <t>Milan Associazione Calcio</t>
  </si>
  <si>
    <t>Stiffteam</t>
  </si>
  <si>
    <t>Hrabuvka ghetto</t>
  </si>
  <si>
    <t>Fc Mendoza Red devil</t>
  </si>
  <si>
    <t>Boca Juniors</t>
  </si>
  <si>
    <t>Seatrend</t>
  </si>
  <si>
    <t>Zebronov</t>
  </si>
  <si>
    <t>FCFC</t>
  </si>
  <si>
    <t>Ultras Sparta Praha</t>
  </si>
  <si>
    <t>SC Highcastle Rovers</t>
  </si>
  <si>
    <t>FC Mendosa</t>
  </si>
  <si>
    <t>FC Bambusové výhonky</t>
  </si>
  <si>
    <t>volný</t>
  </si>
  <si>
    <t>3. sezona</t>
  </si>
  <si>
    <t>4. sezona</t>
  </si>
  <si>
    <t>Cacciatore de Sársfield F.C.</t>
  </si>
  <si>
    <t>SK Berani Senomaty</t>
  </si>
  <si>
    <t>Boca Bryans</t>
  </si>
  <si>
    <t>Liga maester</t>
  </si>
  <si>
    <t>FC SPRAYRI</t>
  </si>
  <si>
    <t>5. sezona</t>
  </si>
  <si>
    <t>Boca Quadre</t>
  </si>
  <si>
    <t>FC Velenovy</t>
  </si>
  <si>
    <t>TJ Veča</t>
  </si>
  <si>
    <t>6. sezona</t>
  </si>
  <si>
    <t>ACS zewlteam</t>
  </si>
  <si>
    <t>Colorado Avalanche</t>
  </si>
  <si>
    <t>7. sezona</t>
  </si>
  <si>
    <t>Las Palmas</t>
  </si>
  <si>
    <t>8. sezona</t>
  </si>
  <si>
    <t>FC Petrůvka</t>
  </si>
  <si>
    <t>FC Boca Pupíci</t>
  </si>
  <si>
    <t>Tým bez manažera</t>
  </si>
  <si>
    <t>9. sezona</t>
  </si>
  <si>
    <t>Rinnegatos de Picudo Sombreros</t>
  </si>
  <si>
    <t>10. sezona</t>
  </si>
  <si>
    <t>Cf Altiero</t>
  </si>
  <si>
    <t>Jaguares de C. A. Barca Juniors</t>
  </si>
  <si>
    <t>11. sezona</t>
  </si>
  <si>
    <t>AFK SPARTAK KBELY 1921</t>
  </si>
  <si>
    <t>12. sezona</t>
  </si>
  <si>
    <t>FC Bulldogs Chomutov</t>
  </si>
  <si>
    <t>13. sezona</t>
  </si>
  <si>
    <t>Jaguares de C. A. Independiente</t>
  </si>
  <si>
    <t>14. sezona</t>
  </si>
  <si>
    <t>Cf Sportísimo Andarin Flecha HK</t>
  </si>
  <si>
    <t>AFC Tygress de Monýsek</t>
  </si>
  <si>
    <t>15. sezona</t>
  </si>
  <si>
    <t>Apatchi</t>
  </si>
  <si>
    <t>Club Estudiantes</t>
  </si>
  <si>
    <t>Pamplona</t>
  </si>
  <si>
    <t>Lustigen</t>
  </si>
  <si>
    <t>16. sezona</t>
  </si>
  <si>
    <t>CA Villerías</t>
  </si>
  <si>
    <t>Lazceteam</t>
  </si>
  <si>
    <t>17. sezona</t>
  </si>
  <si>
    <t>CA Boca Juniors</t>
  </si>
  <si>
    <t>Vaca Ratíškovice CF</t>
  </si>
  <si>
    <t>18. sezona</t>
  </si>
  <si>
    <t>R.U.M. Cataratas del Iguazú</t>
  </si>
  <si>
    <t>1. FC Zdislavice Crew</t>
  </si>
  <si>
    <t>19. sezona</t>
  </si>
  <si>
    <t>Colón de Santa Fe</t>
  </si>
  <si>
    <t>FC Real Medlov</t>
  </si>
  <si>
    <t>20. sezona</t>
  </si>
  <si>
    <t>Fk Tábor</t>
  </si>
  <si>
    <t>.DNB.</t>
  </si>
  <si>
    <t>21. sezona</t>
  </si>
  <si>
    <t>San Lorenzo</t>
  </si>
  <si>
    <t>Club Deportivo Philly de Žatec</t>
  </si>
  <si>
    <t>1.FC Zdislavice Crew</t>
  </si>
  <si>
    <t>fc jiskra burani</t>
  </si>
  <si>
    <t>22. sezona</t>
  </si>
  <si>
    <t>23. sezona</t>
  </si>
  <si>
    <t>FC Independiente West Vroutek</t>
  </si>
  <si>
    <t>24. sezona</t>
  </si>
  <si>
    <t>I. Liga</t>
  </si>
  <si>
    <t>nejvíce zápasů</t>
  </si>
  <si>
    <t>nejvíce remíz</t>
  </si>
  <si>
    <t>nejvíce proher</t>
  </si>
  <si>
    <t>nejvíce výher</t>
  </si>
  <si>
    <t>nejvíce daných branek</t>
  </si>
  <si>
    <t>nejvíce obdržených branek</t>
  </si>
  <si>
    <t>nejvíce bodů</t>
  </si>
  <si>
    <t>procento úspěšnosti výhry</t>
  </si>
  <si>
    <t>nejvyšší průměr daných</t>
  </si>
  <si>
    <t>nejnižší průměr obdržených</t>
  </si>
  <si>
    <t>největší brankový rozdíl</t>
  </si>
  <si>
    <t>nejmenší brankový rozdíl</t>
  </si>
  <si>
    <t>25. sezona</t>
  </si>
  <si>
    <t>Zdislavice Crew</t>
  </si>
  <si>
    <t>MGK Telapet of the world</t>
  </si>
  <si>
    <t>660 SK Berani Senomaty</t>
  </si>
  <si>
    <t>450 SK Berani Senomaty</t>
  </si>
  <si>
    <t>90 SK Berani Senomaty</t>
  </si>
  <si>
    <t>202 Pamplona</t>
  </si>
  <si>
    <t>1965 SK Berani Senomaty</t>
  </si>
  <si>
    <t>735 Pamplona</t>
  </si>
  <si>
    <t>1440 SK Berani Senomaty</t>
  </si>
  <si>
    <t>72,73 % FC Petrůvka</t>
  </si>
  <si>
    <t>2,98 SK Berani Senomaty</t>
  </si>
  <si>
    <t>0,78 FC Petrůvka</t>
  </si>
  <si>
    <t>1391 SK Berani Senomaty</t>
  </si>
  <si>
    <t>minus 383 Pamplona</t>
  </si>
  <si>
    <t>26. sezona</t>
  </si>
  <si>
    <t>River Plate Vysoká FK</t>
  </si>
  <si>
    <t>kolikrát mistr</t>
  </si>
  <si>
    <t>nejvíc výher za sezonu</t>
  </si>
  <si>
    <t>nejvíc vstřelených za sezonu</t>
  </si>
  <si>
    <t>nejméně obdržených za sezonu</t>
  </si>
  <si>
    <t>nejvíc bodů za sezonu</t>
  </si>
  <si>
    <t>bedna 1-2-3</t>
  </si>
  <si>
    <t>mistři</t>
  </si>
  <si>
    <t>18. sezona FC Boca Pupíci 28</t>
  </si>
  <si>
    <t>vstřelené branky</t>
  </si>
  <si>
    <t>výhry</t>
  </si>
  <si>
    <t>16. sezona SK Berani Senomaty 163</t>
  </si>
  <si>
    <t>obdržené branky</t>
  </si>
  <si>
    <t>14. sezona FC Velenovy 8</t>
  </si>
  <si>
    <t>dosažené body</t>
  </si>
  <si>
    <t>18. sezona FC Boca Pupíci 85</t>
  </si>
  <si>
    <t>221 Pamplona</t>
  </si>
  <si>
    <t>837 Pamplona</t>
  </si>
  <si>
    <t>minus 459 Pamplona</t>
  </si>
  <si>
    <t>690 SK Berani Senomaty</t>
  </si>
  <si>
    <t>468 SK Berani Senomaty</t>
  </si>
  <si>
    <t>94 SK Berani Senomaty</t>
  </si>
  <si>
    <t>2042 SK Berani Senomaty</t>
  </si>
  <si>
    <t>0,81 FC Petrůvka</t>
  </si>
  <si>
    <t>73,27 % FC Petrůvka</t>
  </si>
  <si>
    <t>2,96 SK Berani Senomaty</t>
  </si>
  <si>
    <t>CA Koudy Sarsfield</t>
  </si>
  <si>
    <t>Tatran Smiřice</t>
  </si>
  <si>
    <t>C.A. All Boys Vršovice</t>
  </si>
  <si>
    <t>8. sezóna.</t>
  </si>
  <si>
    <t>1.liga.</t>
  </si>
  <si>
    <t>9. sezóna.</t>
  </si>
  <si>
    <t>10. sezóna.</t>
  </si>
  <si>
    <t>11. sezóna.</t>
  </si>
  <si>
    <t>12. sezóna.</t>
  </si>
  <si>
    <t>13. sezóna.</t>
  </si>
  <si>
    <t>14. sezóna.</t>
  </si>
  <si>
    <t>15. sezóna.</t>
  </si>
  <si>
    <t>16. sezóna.</t>
  </si>
  <si>
    <t>17. sezóna.</t>
  </si>
  <si>
    <t>18. sezóna.</t>
  </si>
  <si>
    <t>19. sezóna.</t>
  </si>
  <si>
    <t>20. sezóna.</t>
  </si>
  <si>
    <t>21. sezóna.</t>
  </si>
  <si>
    <t>22. sezóna.</t>
  </si>
  <si>
    <t>23. sezóna.</t>
  </si>
  <si>
    <t>24. sezóna.</t>
  </si>
  <si>
    <t>25. sezóna.</t>
  </si>
  <si>
    <t>26. sezóna.</t>
  </si>
  <si>
    <t>27. sezóna.</t>
  </si>
  <si>
    <t>28. sezóna.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</si>
</sst>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NumberFormat="1"/>
    <xf numFmtId="0" fontId="4" fillId="0" borderId="0" xfId="0" applyNumberFormat="1" applyFont="1"/>
    <xf numFmtId="0" fontId="0" fillId="2" borderId="0" xfId="0" applyFill="1"/>
    <xf numFmtId="0" fontId="0" fillId="2" borderId="0" xfId="0" applyNumberFormat="1" applyFill="1"/>
    <xf numFmtId="0" fontId="2" fillId="2" borderId="0" xfId="0" applyFont="1" applyFill="1"/>
    <xf numFmtId="0" fontId="0" fillId="0" borderId="0" xfId="0" applyFill="1"/>
    <xf numFmtId="0" fontId="0" fillId="0" borderId="0" xfId="0" applyNumberFormat="1" applyFill="1"/>
    <xf numFmtId="0" fontId="0" fillId="0" borderId="0" xfId="0" applyAlignment="1">
      <alignment horizontal="center" vertical="center"/>
    </xf>
    <xf numFmtId="0" fontId="4" fillId="2" borderId="0" xfId="0" applyFont="1" applyFill="1"/>
    <xf numFmtId="2" fontId="0" fillId="0" borderId="0" xfId="0" applyNumberForma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0" fontId="3" fillId="2" borderId="0" xfId="0" applyFont="1" applyFill="1"/>
    <xf numFmtId="2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2" borderId="0" xfId="0" applyNumberFormat="1" applyFont="1" applyFill="1"/>
    <xf numFmtId="0" fontId="4" fillId="2" borderId="0" xfId="0" applyNumberFormat="1" applyFont="1" applyFill="1"/>
    <xf numFmtId="0" fontId="0" fillId="0" borderId="0" xfId="0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/>
    <xf numFmtId="0" fontId="4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Alignment="1">
      <alignment horizontal="center" vertical="center"/>
    </xf>
    <xf numFmtId="0" fontId="5" fillId="2" borderId="0" xfId="0" applyFont="1" applyFill="1"/>
    <xf numFmtId="0" fontId="2" fillId="0" borderId="0" xfId="0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Border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6" fontId="0" fillId="0" borderId="0" xfId="0" applyNumberFormat="1" applyAlignment="1">
      <alignment horizontal="center" vertical="center" wrapText="1"/>
    </xf>
    <xf numFmtId="49" fontId="0" fillId="0" borderId="0" xfId="0" applyNumberFormat="1"/>
    <xf numFmtId="1" fontId="0" fillId="0" borderId="0" xfId="0" applyNumberFormat="1"/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32"/>
  <sheetViews>
    <sheetView topLeftCell="A406" workbookViewId="0">
      <selection activeCell="C416" sqref="C416"/>
    </sheetView>
  </sheetViews>
  <sheetFormatPr defaultRowHeight="15" x14ac:dyDescent="0.25"/>
  <cols>
    <col min="2" max="2" width="3" bestFit="1" customWidth="1"/>
    <col min="3" max="3" width="30.7109375" bestFit="1" customWidth="1"/>
    <col min="10" max="10" width="9.140625" style="1"/>
    <col min="11" max="13" width="5.85546875" customWidth="1"/>
    <col min="14" max="14" width="4" style="6" bestFit="1" customWidth="1"/>
    <col min="15" max="15" width="4" bestFit="1" customWidth="1"/>
    <col min="16" max="16" width="3" bestFit="1" customWidth="1"/>
    <col min="17" max="17" width="4" bestFit="1" customWidth="1"/>
    <col min="18" max="18" width="5" bestFit="1" customWidth="1"/>
    <col min="19" max="19" width="4" bestFit="1" customWidth="1"/>
    <col min="20" max="20" width="5" bestFit="1" customWidth="1"/>
  </cols>
  <sheetData>
    <row r="1" spans="2:10" x14ac:dyDescent="0.25">
      <c r="B1" s="39" t="s">
        <v>15</v>
      </c>
      <c r="C1" s="39"/>
      <c r="D1" s="39"/>
      <c r="E1" s="39"/>
      <c r="F1" s="39"/>
      <c r="G1" s="39"/>
      <c r="H1" s="39"/>
      <c r="I1" s="39"/>
      <c r="J1" s="39"/>
    </row>
    <row r="2" spans="2:10" x14ac:dyDescent="0.25">
      <c r="B2">
        <v>1</v>
      </c>
      <c r="C2" s="2" t="s">
        <v>0</v>
      </c>
      <c r="D2" s="2">
        <f>E2+F2+G2</f>
        <v>30</v>
      </c>
      <c r="E2" s="2">
        <v>22</v>
      </c>
      <c r="F2" s="2">
        <v>2</v>
      </c>
      <c r="G2" s="2">
        <v>6</v>
      </c>
      <c r="H2" s="2">
        <v>57</v>
      </c>
      <c r="I2" s="2">
        <v>25</v>
      </c>
      <c r="J2" s="3">
        <f>E2*3+F2*1</f>
        <v>68</v>
      </c>
    </row>
    <row r="3" spans="2:10" x14ac:dyDescent="0.25">
      <c r="B3">
        <v>2</v>
      </c>
      <c r="C3" s="2" t="s">
        <v>1</v>
      </c>
      <c r="D3" s="2">
        <f t="shared" ref="D3:D17" si="0">E3+F3+G3</f>
        <v>30</v>
      </c>
      <c r="E3" s="2">
        <v>18</v>
      </c>
      <c r="F3" s="2">
        <v>4</v>
      </c>
      <c r="G3" s="2">
        <v>8</v>
      </c>
      <c r="H3" s="2">
        <v>60</v>
      </c>
      <c r="I3" s="2">
        <v>44</v>
      </c>
      <c r="J3" s="3">
        <f t="shared" ref="J3:J17" si="1">E3*3+F3*1</f>
        <v>58</v>
      </c>
    </row>
    <row r="4" spans="2:10" x14ac:dyDescent="0.25">
      <c r="B4">
        <v>3</v>
      </c>
      <c r="C4" s="2" t="s">
        <v>2</v>
      </c>
      <c r="D4" s="2">
        <f t="shared" si="0"/>
        <v>30</v>
      </c>
      <c r="E4" s="2">
        <v>16</v>
      </c>
      <c r="F4" s="2">
        <v>4</v>
      </c>
      <c r="G4" s="2">
        <v>10</v>
      </c>
      <c r="H4" s="2">
        <v>61</v>
      </c>
      <c r="I4" s="2">
        <v>38</v>
      </c>
      <c r="J4" s="3">
        <f t="shared" si="1"/>
        <v>52</v>
      </c>
    </row>
    <row r="5" spans="2:10" x14ac:dyDescent="0.25">
      <c r="B5">
        <v>4</v>
      </c>
      <c r="C5" s="2" t="s">
        <v>3</v>
      </c>
      <c r="D5" s="2">
        <f t="shared" si="0"/>
        <v>30</v>
      </c>
      <c r="E5" s="2">
        <v>15</v>
      </c>
      <c r="F5" s="2">
        <v>6</v>
      </c>
      <c r="G5" s="2">
        <v>9</v>
      </c>
      <c r="H5" s="2">
        <v>58</v>
      </c>
      <c r="I5" s="2">
        <v>33</v>
      </c>
      <c r="J5" s="3">
        <f t="shared" si="1"/>
        <v>51</v>
      </c>
    </row>
    <row r="6" spans="2:10" x14ac:dyDescent="0.25">
      <c r="B6">
        <v>5</v>
      </c>
      <c r="C6" s="2" t="s">
        <v>4</v>
      </c>
      <c r="D6" s="2">
        <f t="shared" si="0"/>
        <v>30</v>
      </c>
      <c r="E6" s="2">
        <v>16</v>
      </c>
      <c r="F6" s="2">
        <v>3</v>
      </c>
      <c r="G6" s="2">
        <v>11</v>
      </c>
      <c r="H6" s="2">
        <v>50</v>
      </c>
      <c r="I6" s="2">
        <v>31</v>
      </c>
      <c r="J6" s="3">
        <f t="shared" si="1"/>
        <v>51</v>
      </c>
    </row>
    <row r="7" spans="2:10" x14ac:dyDescent="0.25">
      <c r="B7">
        <v>6</v>
      </c>
      <c r="C7" s="2" t="s">
        <v>5</v>
      </c>
      <c r="D7" s="2">
        <f t="shared" si="0"/>
        <v>30</v>
      </c>
      <c r="E7" s="2">
        <v>15</v>
      </c>
      <c r="F7" s="2">
        <v>5</v>
      </c>
      <c r="G7" s="2">
        <v>10</v>
      </c>
      <c r="H7" s="2">
        <v>51</v>
      </c>
      <c r="I7" s="2">
        <v>37</v>
      </c>
      <c r="J7" s="3">
        <f t="shared" si="1"/>
        <v>50</v>
      </c>
    </row>
    <row r="8" spans="2:10" x14ac:dyDescent="0.25">
      <c r="B8">
        <v>7</v>
      </c>
      <c r="C8" s="2" t="s">
        <v>6</v>
      </c>
      <c r="D8" s="2">
        <f t="shared" si="0"/>
        <v>30</v>
      </c>
      <c r="E8" s="2">
        <v>14</v>
      </c>
      <c r="F8" s="2">
        <v>7</v>
      </c>
      <c r="G8" s="2">
        <v>9</v>
      </c>
      <c r="H8" s="2">
        <v>52</v>
      </c>
      <c r="I8" s="2">
        <v>38</v>
      </c>
      <c r="J8" s="3">
        <f t="shared" si="1"/>
        <v>49</v>
      </c>
    </row>
    <row r="9" spans="2:10" x14ac:dyDescent="0.25">
      <c r="B9">
        <v>8</v>
      </c>
      <c r="C9" s="2" t="s">
        <v>7</v>
      </c>
      <c r="D9" s="2">
        <f t="shared" si="0"/>
        <v>30</v>
      </c>
      <c r="E9" s="2">
        <v>14</v>
      </c>
      <c r="F9" s="2">
        <v>4</v>
      </c>
      <c r="G9" s="2">
        <v>12</v>
      </c>
      <c r="H9" s="2">
        <v>50</v>
      </c>
      <c r="I9" s="2">
        <v>37</v>
      </c>
      <c r="J9" s="3">
        <f t="shared" si="1"/>
        <v>46</v>
      </c>
    </row>
    <row r="10" spans="2:10" x14ac:dyDescent="0.25">
      <c r="B10">
        <v>9</v>
      </c>
      <c r="C10" s="2" t="s">
        <v>8</v>
      </c>
      <c r="D10" s="2">
        <f t="shared" si="0"/>
        <v>30</v>
      </c>
      <c r="E10" s="2">
        <v>12</v>
      </c>
      <c r="F10" s="2">
        <v>3</v>
      </c>
      <c r="G10" s="2">
        <v>15</v>
      </c>
      <c r="H10" s="2">
        <v>45</v>
      </c>
      <c r="I10" s="2">
        <v>43</v>
      </c>
      <c r="J10" s="3">
        <f t="shared" si="1"/>
        <v>39</v>
      </c>
    </row>
    <row r="11" spans="2:10" x14ac:dyDescent="0.25">
      <c r="B11">
        <v>10</v>
      </c>
      <c r="C11" s="2" t="s">
        <v>9</v>
      </c>
      <c r="D11" s="2">
        <f t="shared" si="0"/>
        <v>30</v>
      </c>
      <c r="E11" s="2">
        <v>10</v>
      </c>
      <c r="F11" s="2">
        <v>7</v>
      </c>
      <c r="G11" s="2">
        <v>13</v>
      </c>
      <c r="H11" s="2">
        <v>38</v>
      </c>
      <c r="I11" s="2">
        <v>45</v>
      </c>
      <c r="J11" s="3">
        <f t="shared" si="1"/>
        <v>37</v>
      </c>
    </row>
    <row r="12" spans="2:10" x14ac:dyDescent="0.25">
      <c r="B12">
        <v>11</v>
      </c>
      <c r="C12" s="2" t="s">
        <v>10</v>
      </c>
      <c r="D12" s="2">
        <f t="shared" si="0"/>
        <v>30</v>
      </c>
      <c r="E12" s="2">
        <v>10</v>
      </c>
      <c r="F12" s="2">
        <v>6</v>
      </c>
      <c r="G12" s="2">
        <v>14</v>
      </c>
      <c r="H12" s="2">
        <v>38</v>
      </c>
      <c r="I12" s="2">
        <v>49</v>
      </c>
      <c r="J12" s="3">
        <f t="shared" si="1"/>
        <v>36</v>
      </c>
    </row>
    <row r="13" spans="2:10" x14ac:dyDescent="0.25">
      <c r="B13">
        <v>12</v>
      </c>
      <c r="C13" s="2" t="s">
        <v>11</v>
      </c>
      <c r="D13" s="2">
        <f t="shared" si="0"/>
        <v>30</v>
      </c>
      <c r="E13" s="2">
        <v>10</v>
      </c>
      <c r="F13" s="2">
        <v>5</v>
      </c>
      <c r="G13" s="2">
        <v>15</v>
      </c>
      <c r="H13" s="2">
        <v>53</v>
      </c>
      <c r="I13" s="2">
        <v>57</v>
      </c>
      <c r="J13" s="3">
        <f t="shared" si="1"/>
        <v>35</v>
      </c>
    </row>
    <row r="14" spans="2:10" x14ac:dyDescent="0.25">
      <c r="B14">
        <v>13</v>
      </c>
      <c r="C14" s="2" t="s">
        <v>12</v>
      </c>
      <c r="D14" s="2">
        <f t="shared" si="0"/>
        <v>30</v>
      </c>
      <c r="E14" s="2">
        <v>10</v>
      </c>
      <c r="F14" s="2">
        <v>5</v>
      </c>
      <c r="G14" s="2">
        <v>15</v>
      </c>
      <c r="H14" s="2">
        <v>27</v>
      </c>
      <c r="I14" s="2">
        <v>50</v>
      </c>
      <c r="J14" s="3">
        <f t="shared" si="1"/>
        <v>35</v>
      </c>
    </row>
    <row r="15" spans="2:10" x14ac:dyDescent="0.25">
      <c r="B15">
        <v>14</v>
      </c>
      <c r="C15" s="2" t="s">
        <v>13</v>
      </c>
      <c r="D15" s="2">
        <f t="shared" si="0"/>
        <v>30</v>
      </c>
      <c r="E15" s="2">
        <v>6</v>
      </c>
      <c r="F15" s="2">
        <v>9</v>
      </c>
      <c r="G15" s="2">
        <v>15</v>
      </c>
      <c r="H15" s="2">
        <v>39</v>
      </c>
      <c r="I15" s="2">
        <v>57</v>
      </c>
      <c r="J15" s="3">
        <f t="shared" si="1"/>
        <v>27</v>
      </c>
    </row>
    <row r="16" spans="2:10" x14ac:dyDescent="0.25">
      <c r="B16">
        <v>15</v>
      </c>
      <c r="C16" t="s">
        <v>14</v>
      </c>
      <c r="D16">
        <f t="shared" si="0"/>
        <v>0</v>
      </c>
      <c r="J16" s="1">
        <f t="shared" si="1"/>
        <v>0</v>
      </c>
    </row>
    <row r="17" spans="2:10" x14ac:dyDescent="0.25">
      <c r="B17">
        <v>16</v>
      </c>
      <c r="C17" t="s">
        <v>14</v>
      </c>
      <c r="D17">
        <f t="shared" si="0"/>
        <v>0</v>
      </c>
      <c r="J17" s="1">
        <f t="shared" si="1"/>
        <v>0</v>
      </c>
    </row>
    <row r="19" spans="2:10" x14ac:dyDescent="0.25">
      <c r="B19" s="39" t="s">
        <v>16</v>
      </c>
      <c r="C19" s="39"/>
      <c r="D19" s="39"/>
      <c r="E19" s="39"/>
      <c r="F19" s="39"/>
      <c r="G19" s="39"/>
      <c r="H19" s="39"/>
      <c r="I19" s="39"/>
      <c r="J19" s="39"/>
    </row>
    <row r="20" spans="2:10" x14ac:dyDescent="0.25">
      <c r="B20">
        <v>1</v>
      </c>
      <c r="C20" s="2" t="s">
        <v>0</v>
      </c>
      <c r="D20" s="2">
        <f>E20+F20+G20</f>
        <v>30</v>
      </c>
      <c r="E20" s="2">
        <v>19</v>
      </c>
      <c r="F20" s="2">
        <v>8</v>
      </c>
      <c r="G20" s="2">
        <v>3</v>
      </c>
      <c r="H20" s="2">
        <v>64</v>
      </c>
      <c r="I20" s="2">
        <v>30</v>
      </c>
      <c r="J20" s="3">
        <f>E20*3+F20*1</f>
        <v>65</v>
      </c>
    </row>
    <row r="21" spans="2:10" x14ac:dyDescent="0.25">
      <c r="B21">
        <v>2</v>
      </c>
      <c r="C21" s="2" t="s">
        <v>1</v>
      </c>
      <c r="D21" s="2">
        <f t="shared" ref="D21:D35" si="2">E21+F21+G21</f>
        <v>30</v>
      </c>
      <c r="E21" s="2">
        <v>17</v>
      </c>
      <c r="F21" s="2">
        <v>8</v>
      </c>
      <c r="G21" s="2">
        <v>5</v>
      </c>
      <c r="H21" s="2">
        <v>55</v>
      </c>
      <c r="I21" s="2">
        <v>23</v>
      </c>
      <c r="J21" s="3">
        <f t="shared" ref="J21:J35" si="3">E21*3+F21*1</f>
        <v>59</v>
      </c>
    </row>
    <row r="22" spans="2:10" x14ac:dyDescent="0.25">
      <c r="B22">
        <v>3</v>
      </c>
      <c r="C22" s="2" t="s">
        <v>3</v>
      </c>
      <c r="D22" s="2">
        <f t="shared" si="2"/>
        <v>30</v>
      </c>
      <c r="E22" s="2">
        <v>17</v>
      </c>
      <c r="F22" s="2">
        <v>4</v>
      </c>
      <c r="G22" s="2">
        <v>9</v>
      </c>
      <c r="H22" s="2">
        <v>50</v>
      </c>
      <c r="I22" s="2">
        <v>31</v>
      </c>
      <c r="J22" s="3">
        <f t="shared" si="3"/>
        <v>55</v>
      </c>
    </row>
    <row r="23" spans="2:10" x14ac:dyDescent="0.25">
      <c r="B23">
        <v>4</v>
      </c>
      <c r="C23" s="2" t="s">
        <v>6</v>
      </c>
      <c r="D23" s="2">
        <f t="shared" si="2"/>
        <v>30</v>
      </c>
      <c r="E23" s="2">
        <v>14</v>
      </c>
      <c r="F23" s="2">
        <v>12</v>
      </c>
      <c r="G23" s="2">
        <v>4</v>
      </c>
      <c r="H23" s="2">
        <v>47</v>
      </c>
      <c r="I23" s="2">
        <v>22</v>
      </c>
      <c r="J23" s="3">
        <f t="shared" si="3"/>
        <v>54</v>
      </c>
    </row>
    <row r="24" spans="2:10" x14ac:dyDescent="0.25">
      <c r="B24">
        <v>5</v>
      </c>
      <c r="C24" s="2" t="s">
        <v>17</v>
      </c>
      <c r="D24" s="2">
        <f t="shared" si="2"/>
        <v>30</v>
      </c>
      <c r="E24" s="2">
        <v>14</v>
      </c>
      <c r="F24" s="2">
        <v>11</v>
      </c>
      <c r="G24" s="2">
        <v>5</v>
      </c>
      <c r="H24" s="2">
        <v>47</v>
      </c>
      <c r="I24" s="2">
        <v>27</v>
      </c>
      <c r="J24" s="3">
        <f t="shared" si="3"/>
        <v>53</v>
      </c>
    </row>
    <row r="25" spans="2:10" x14ac:dyDescent="0.25">
      <c r="B25">
        <v>6</v>
      </c>
      <c r="C25" s="2" t="s">
        <v>9</v>
      </c>
      <c r="D25" s="2">
        <f t="shared" si="2"/>
        <v>30</v>
      </c>
      <c r="E25" s="2">
        <v>15</v>
      </c>
      <c r="F25" s="2">
        <v>4</v>
      </c>
      <c r="G25" s="2">
        <v>11</v>
      </c>
      <c r="H25" s="2">
        <v>49</v>
      </c>
      <c r="I25" s="2">
        <v>40</v>
      </c>
      <c r="J25" s="3">
        <f t="shared" si="3"/>
        <v>49</v>
      </c>
    </row>
    <row r="26" spans="2:10" x14ac:dyDescent="0.25">
      <c r="B26">
        <v>7</v>
      </c>
      <c r="C26" s="2" t="s">
        <v>18</v>
      </c>
      <c r="D26" s="2">
        <f t="shared" si="2"/>
        <v>30</v>
      </c>
      <c r="E26" s="2">
        <v>14</v>
      </c>
      <c r="F26" s="2">
        <v>6</v>
      </c>
      <c r="G26" s="2">
        <v>10</v>
      </c>
      <c r="H26" s="2">
        <v>49</v>
      </c>
      <c r="I26" s="2">
        <v>33</v>
      </c>
      <c r="J26" s="3">
        <f t="shared" si="3"/>
        <v>48</v>
      </c>
    </row>
    <row r="27" spans="2:10" x14ac:dyDescent="0.25">
      <c r="B27">
        <v>8</v>
      </c>
      <c r="C27" s="2" t="s">
        <v>7</v>
      </c>
      <c r="D27" s="2">
        <f t="shared" si="2"/>
        <v>30</v>
      </c>
      <c r="E27" s="2">
        <v>14</v>
      </c>
      <c r="F27" s="2">
        <v>5</v>
      </c>
      <c r="G27" s="2">
        <v>11</v>
      </c>
      <c r="H27" s="2">
        <v>52</v>
      </c>
      <c r="I27" s="2">
        <v>35</v>
      </c>
      <c r="J27" s="3">
        <f t="shared" si="3"/>
        <v>47</v>
      </c>
    </row>
    <row r="28" spans="2:10" x14ac:dyDescent="0.25">
      <c r="B28">
        <v>9</v>
      </c>
      <c r="C28" s="2" t="s">
        <v>2</v>
      </c>
      <c r="D28" s="2">
        <f t="shared" si="2"/>
        <v>30</v>
      </c>
      <c r="E28" s="2">
        <v>13</v>
      </c>
      <c r="F28" s="2">
        <v>8</v>
      </c>
      <c r="G28" s="2">
        <v>9</v>
      </c>
      <c r="H28" s="2">
        <v>54</v>
      </c>
      <c r="I28" s="2">
        <v>41</v>
      </c>
      <c r="J28" s="3">
        <f t="shared" si="3"/>
        <v>47</v>
      </c>
    </row>
    <row r="29" spans="2:10" x14ac:dyDescent="0.25">
      <c r="B29">
        <v>10</v>
      </c>
      <c r="C29" s="2" t="s">
        <v>5</v>
      </c>
      <c r="D29" s="2">
        <f t="shared" si="2"/>
        <v>30</v>
      </c>
      <c r="E29" s="2">
        <v>12</v>
      </c>
      <c r="F29" s="2">
        <v>7</v>
      </c>
      <c r="G29" s="2">
        <v>11</v>
      </c>
      <c r="H29" s="2">
        <v>38</v>
      </c>
      <c r="I29" s="2">
        <v>32</v>
      </c>
      <c r="J29" s="3">
        <f t="shared" si="3"/>
        <v>43</v>
      </c>
    </row>
    <row r="30" spans="2:10" x14ac:dyDescent="0.25">
      <c r="B30">
        <v>11</v>
      </c>
      <c r="C30" s="2" t="s">
        <v>4</v>
      </c>
      <c r="D30" s="2">
        <f t="shared" si="2"/>
        <v>30</v>
      </c>
      <c r="E30" s="2">
        <v>10</v>
      </c>
      <c r="F30" s="2">
        <v>8</v>
      </c>
      <c r="G30" s="2">
        <v>12</v>
      </c>
      <c r="H30" s="2">
        <v>48</v>
      </c>
      <c r="I30" s="2">
        <v>32</v>
      </c>
      <c r="J30" s="3">
        <f t="shared" si="3"/>
        <v>38</v>
      </c>
    </row>
    <row r="31" spans="2:10" x14ac:dyDescent="0.25">
      <c r="B31">
        <v>12</v>
      </c>
      <c r="C31" s="2" t="s">
        <v>10</v>
      </c>
      <c r="D31" s="2">
        <f t="shared" si="2"/>
        <v>30</v>
      </c>
      <c r="E31" s="2">
        <v>8</v>
      </c>
      <c r="F31" s="2">
        <v>8</v>
      </c>
      <c r="G31" s="2">
        <v>14</v>
      </c>
      <c r="H31" s="2">
        <v>32</v>
      </c>
      <c r="I31" s="2">
        <v>45</v>
      </c>
      <c r="J31" s="3">
        <f t="shared" si="3"/>
        <v>32</v>
      </c>
    </row>
    <row r="32" spans="2:10" x14ac:dyDescent="0.25">
      <c r="B32">
        <v>13</v>
      </c>
      <c r="C32" s="2" t="s">
        <v>13</v>
      </c>
      <c r="D32" s="2">
        <f t="shared" si="2"/>
        <v>30</v>
      </c>
      <c r="E32" s="2">
        <v>8</v>
      </c>
      <c r="F32" s="2">
        <v>7</v>
      </c>
      <c r="G32" s="2">
        <v>15</v>
      </c>
      <c r="H32" s="2">
        <v>35</v>
      </c>
      <c r="I32" s="2">
        <v>49</v>
      </c>
      <c r="J32" s="3">
        <f t="shared" si="3"/>
        <v>31</v>
      </c>
    </row>
    <row r="33" spans="2:12" x14ac:dyDescent="0.25">
      <c r="B33">
        <v>14</v>
      </c>
      <c r="C33" s="2" t="s">
        <v>19</v>
      </c>
      <c r="D33" s="2">
        <f t="shared" si="2"/>
        <v>24</v>
      </c>
      <c r="E33" s="2">
        <v>4</v>
      </c>
      <c r="F33" s="2">
        <v>1</v>
      </c>
      <c r="G33" s="2">
        <v>19</v>
      </c>
      <c r="H33" s="2">
        <v>23</v>
      </c>
      <c r="I33" s="2">
        <v>73</v>
      </c>
      <c r="J33" s="3">
        <f t="shared" si="3"/>
        <v>13</v>
      </c>
    </row>
    <row r="34" spans="2:12" x14ac:dyDescent="0.25">
      <c r="B34">
        <v>15</v>
      </c>
      <c r="C34" s="2" t="s">
        <v>20</v>
      </c>
      <c r="D34" s="2">
        <f t="shared" si="2"/>
        <v>14</v>
      </c>
      <c r="E34" s="2">
        <v>2</v>
      </c>
      <c r="F34" s="2">
        <v>1</v>
      </c>
      <c r="G34" s="2">
        <v>11</v>
      </c>
      <c r="H34" s="2">
        <v>13</v>
      </c>
      <c r="I34" s="2">
        <v>48</v>
      </c>
      <c r="J34" s="3">
        <f t="shared" si="3"/>
        <v>7</v>
      </c>
    </row>
    <row r="35" spans="2:12" x14ac:dyDescent="0.25">
      <c r="B35">
        <v>16</v>
      </c>
      <c r="C35" s="2" t="s">
        <v>21</v>
      </c>
      <c r="D35" s="2">
        <f t="shared" si="2"/>
        <v>27</v>
      </c>
      <c r="E35" s="2">
        <v>2</v>
      </c>
      <c r="F35" s="2">
        <v>1</v>
      </c>
      <c r="G35" s="2">
        <v>24</v>
      </c>
      <c r="H35" s="2">
        <v>14</v>
      </c>
      <c r="I35" s="2">
        <v>82</v>
      </c>
      <c r="J35" s="3">
        <f t="shared" si="3"/>
        <v>7</v>
      </c>
    </row>
    <row r="37" spans="2:12" x14ac:dyDescent="0.25">
      <c r="B37" s="39" t="s">
        <v>22</v>
      </c>
      <c r="C37" s="39"/>
      <c r="D37" s="39"/>
      <c r="E37" s="39"/>
      <c r="F37" s="39"/>
      <c r="G37" s="39"/>
      <c r="H37" s="39"/>
      <c r="I37" s="39"/>
      <c r="J37" s="39"/>
    </row>
    <row r="38" spans="2:12" x14ac:dyDescent="0.25">
      <c r="B38">
        <v>1</v>
      </c>
      <c r="C38" s="2" t="s">
        <v>1</v>
      </c>
      <c r="D38" s="2">
        <f>E38+F38+G38</f>
        <v>30</v>
      </c>
      <c r="E38" s="2">
        <v>19</v>
      </c>
      <c r="F38" s="2">
        <v>8</v>
      </c>
      <c r="G38" s="2">
        <v>3</v>
      </c>
      <c r="H38" s="2">
        <v>51</v>
      </c>
      <c r="I38" s="2">
        <v>22</v>
      </c>
      <c r="J38" s="3">
        <f>E38*3+F38*1</f>
        <v>65</v>
      </c>
    </row>
    <row r="39" spans="2:12" x14ac:dyDescent="0.25">
      <c r="B39">
        <v>2</v>
      </c>
      <c r="C39" s="2" t="s">
        <v>0</v>
      </c>
      <c r="D39" s="2">
        <f t="shared" ref="D39:D53" si="4">E39+F39+G39</f>
        <v>30</v>
      </c>
      <c r="E39" s="2">
        <v>16</v>
      </c>
      <c r="F39" s="2">
        <v>8</v>
      </c>
      <c r="G39" s="2">
        <v>6</v>
      </c>
      <c r="H39" s="2">
        <v>64</v>
      </c>
      <c r="I39" s="2">
        <v>32</v>
      </c>
      <c r="J39" s="3">
        <f t="shared" ref="J39:J53" si="5">E39*3+F39*1</f>
        <v>56</v>
      </c>
      <c r="L39" s="2"/>
    </row>
    <row r="40" spans="2:12" x14ac:dyDescent="0.25">
      <c r="B40">
        <v>3</v>
      </c>
      <c r="C40" s="2" t="s">
        <v>4</v>
      </c>
      <c r="D40" s="2">
        <f t="shared" si="4"/>
        <v>30</v>
      </c>
      <c r="E40" s="2">
        <v>16</v>
      </c>
      <c r="F40" s="2">
        <v>6</v>
      </c>
      <c r="G40" s="2">
        <v>8</v>
      </c>
      <c r="H40" s="2">
        <v>44</v>
      </c>
      <c r="I40" s="2">
        <v>28</v>
      </c>
      <c r="J40" s="3">
        <f t="shared" si="5"/>
        <v>54</v>
      </c>
    </row>
    <row r="41" spans="2:12" x14ac:dyDescent="0.25">
      <c r="B41">
        <v>4</v>
      </c>
      <c r="C41" s="2" t="s">
        <v>3</v>
      </c>
      <c r="D41" s="2">
        <f t="shared" si="4"/>
        <v>30</v>
      </c>
      <c r="E41" s="2">
        <v>14</v>
      </c>
      <c r="F41" s="2">
        <v>11</v>
      </c>
      <c r="G41" s="2">
        <v>5</v>
      </c>
      <c r="H41" s="2">
        <v>37</v>
      </c>
      <c r="I41" s="2">
        <v>19</v>
      </c>
      <c r="J41" s="3">
        <f t="shared" si="5"/>
        <v>53</v>
      </c>
    </row>
    <row r="42" spans="2:12" x14ac:dyDescent="0.25">
      <c r="B42">
        <v>5</v>
      </c>
      <c r="C42" s="2" t="s">
        <v>23</v>
      </c>
      <c r="D42" s="2">
        <f t="shared" si="4"/>
        <v>30</v>
      </c>
      <c r="E42" s="2">
        <v>15</v>
      </c>
      <c r="F42" s="2">
        <v>6</v>
      </c>
      <c r="G42" s="2">
        <v>9</v>
      </c>
      <c r="H42" s="2">
        <v>34</v>
      </c>
      <c r="I42" s="2">
        <v>28</v>
      </c>
      <c r="J42" s="3">
        <f t="shared" si="5"/>
        <v>51</v>
      </c>
    </row>
    <row r="43" spans="2:12" x14ac:dyDescent="0.25">
      <c r="B43">
        <v>6</v>
      </c>
      <c r="C43" s="2" t="s">
        <v>6</v>
      </c>
      <c r="D43" s="2">
        <f t="shared" si="4"/>
        <v>30</v>
      </c>
      <c r="E43" s="2">
        <v>13</v>
      </c>
      <c r="F43" s="2">
        <v>7</v>
      </c>
      <c r="G43" s="2">
        <v>10</v>
      </c>
      <c r="H43" s="2">
        <v>37</v>
      </c>
      <c r="I43" s="2">
        <v>35</v>
      </c>
      <c r="J43" s="3">
        <f t="shared" si="5"/>
        <v>46</v>
      </c>
    </row>
    <row r="44" spans="2:12" x14ac:dyDescent="0.25">
      <c r="B44">
        <v>7</v>
      </c>
      <c r="C44" s="2" t="s">
        <v>24</v>
      </c>
      <c r="D44" s="2">
        <f t="shared" si="4"/>
        <v>30</v>
      </c>
      <c r="E44" s="2">
        <v>12</v>
      </c>
      <c r="F44" s="2">
        <v>6</v>
      </c>
      <c r="G44" s="2">
        <v>12</v>
      </c>
      <c r="H44" s="2">
        <v>39</v>
      </c>
      <c r="I44" s="2">
        <v>36</v>
      </c>
      <c r="J44" s="3">
        <f t="shared" si="5"/>
        <v>42</v>
      </c>
    </row>
    <row r="45" spans="2:12" x14ac:dyDescent="0.25">
      <c r="B45">
        <v>8</v>
      </c>
      <c r="C45" s="2" t="s">
        <v>17</v>
      </c>
      <c r="D45" s="2">
        <f t="shared" si="4"/>
        <v>30</v>
      </c>
      <c r="E45" s="2">
        <v>11</v>
      </c>
      <c r="F45" s="2">
        <v>7</v>
      </c>
      <c r="G45" s="2">
        <v>12</v>
      </c>
      <c r="H45" s="2">
        <v>29</v>
      </c>
      <c r="I45" s="2">
        <v>40</v>
      </c>
      <c r="J45" s="3">
        <f t="shared" si="5"/>
        <v>40</v>
      </c>
    </row>
    <row r="46" spans="2:12" x14ac:dyDescent="0.25">
      <c r="B46">
        <v>9</v>
      </c>
      <c r="C46" s="2" t="s">
        <v>25</v>
      </c>
      <c r="D46" s="2">
        <f t="shared" si="4"/>
        <v>30</v>
      </c>
      <c r="E46" s="2">
        <v>9</v>
      </c>
      <c r="F46" s="2">
        <v>10</v>
      </c>
      <c r="G46" s="2">
        <v>11</v>
      </c>
      <c r="H46" s="2">
        <v>37</v>
      </c>
      <c r="I46" s="2">
        <v>39</v>
      </c>
      <c r="J46" s="3">
        <f t="shared" si="5"/>
        <v>37</v>
      </c>
    </row>
    <row r="47" spans="2:12" x14ac:dyDescent="0.25">
      <c r="B47">
        <v>10</v>
      </c>
      <c r="C47" s="2" t="s">
        <v>7</v>
      </c>
      <c r="D47" s="2">
        <f t="shared" si="4"/>
        <v>30</v>
      </c>
      <c r="E47" s="2">
        <v>10</v>
      </c>
      <c r="F47" s="2">
        <v>7</v>
      </c>
      <c r="G47" s="2">
        <v>13</v>
      </c>
      <c r="H47" s="2">
        <v>32</v>
      </c>
      <c r="I47" s="2">
        <v>40</v>
      </c>
      <c r="J47" s="3">
        <f t="shared" si="5"/>
        <v>37</v>
      </c>
    </row>
    <row r="48" spans="2:12" x14ac:dyDescent="0.25">
      <c r="B48">
        <v>11</v>
      </c>
      <c r="C48" s="2" t="s">
        <v>9</v>
      </c>
      <c r="D48" s="2">
        <f t="shared" si="4"/>
        <v>30</v>
      </c>
      <c r="E48" s="2">
        <v>9</v>
      </c>
      <c r="F48" s="2">
        <v>9</v>
      </c>
      <c r="G48" s="2">
        <v>12</v>
      </c>
      <c r="H48" s="2">
        <v>30</v>
      </c>
      <c r="I48" s="2">
        <v>35</v>
      </c>
      <c r="J48" s="3">
        <f t="shared" si="5"/>
        <v>36</v>
      </c>
    </row>
    <row r="49" spans="2:10" x14ac:dyDescent="0.25">
      <c r="B49">
        <v>12</v>
      </c>
      <c r="C49" s="2" t="s">
        <v>18</v>
      </c>
      <c r="D49" s="2">
        <f t="shared" si="4"/>
        <v>30</v>
      </c>
      <c r="E49" s="2">
        <v>9</v>
      </c>
      <c r="F49" s="2">
        <v>8</v>
      </c>
      <c r="G49" s="2">
        <v>13</v>
      </c>
      <c r="H49" s="2">
        <v>29</v>
      </c>
      <c r="I49" s="2">
        <v>35</v>
      </c>
      <c r="J49" s="3">
        <f t="shared" si="5"/>
        <v>35</v>
      </c>
    </row>
    <row r="50" spans="2:10" x14ac:dyDescent="0.25">
      <c r="B50">
        <v>13</v>
      </c>
      <c r="C50" s="2" t="s">
        <v>5</v>
      </c>
      <c r="D50" s="2">
        <f t="shared" si="4"/>
        <v>30</v>
      </c>
      <c r="E50" s="2">
        <v>7</v>
      </c>
      <c r="F50" s="2">
        <v>10</v>
      </c>
      <c r="G50" s="2">
        <v>13</v>
      </c>
      <c r="H50" s="2">
        <v>25</v>
      </c>
      <c r="I50" s="2">
        <v>44</v>
      </c>
      <c r="J50" s="3">
        <f t="shared" si="5"/>
        <v>31</v>
      </c>
    </row>
    <row r="51" spans="2:10" x14ac:dyDescent="0.25">
      <c r="B51">
        <v>14</v>
      </c>
      <c r="C51" s="2" t="s">
        <v>13</v>
      </c>
      <c r="D51" s="2">
        <f t="shared" si="4"/>
        <v>30</v>
      </c>
      <c r="E51" s="2">
        <v>6</v>
      </c>
      <c r="F51" s="2">
        <v>7</v>
      </c>
      <c r="G51" s="2">
        <v>17</v>
      </c>
      <c r="H51" s="2">
        <v>23</v>
      </c>
      <c r="I51" s="2">
        <v>39</v>
      </c>
      <c r="J51" s="3">
        <f t="shared" si="5"/>
        <v>25</v>
      </c>
    </row>
    <row r="52" spans="2:10" x14ac:dyDescent="0.25">
      <c r="B52">
        <v>15</v>
      </c>
      <c r="C52" s="2" t="s">
        <v>2</v>
      </c>
      <c r="D52" s="2">
        <f t="shared" si="4"/>
        <v>30</v>
      </c>
      <c r="E52" s="2">
        <v>4</v>
      </c>
      <c r="F52" s="2">
        <v>12</v>
      </c>
      <c r="G52" s="2">
        <v>14</v>
      </c>
      <c r="H52" s="2">
        <v>25</v>
      </c>
      <c r="I52" s="2">
        <v>43</v>
      </c>
      <c r="J52" s="3">
        <f t="shared" si="5"/>
        <v>24</v>
      </c>
    </row>
    <row r="53" spans="2:10" x14ac:dyDescent="0.25">
      <c r="B53">
        <v>16</v>
      </c>
      <c r="C53" s="2" t="s">
        <v>10</v>
      </c>
      <c r="D53" s="2">
        <f t="shared" si="4"/>
        <v>30</v>
      </c>
      <c r="E53" s="2">
        <v>5</v>
      </c>
      <c r="F53" s="2">
        <v>8</v>
      </c>
      <c r="G53" s="2">
        <v>17</v>
      </c>
      <c r="H53" s="2">
        <v>28</v>
      </c>
      <c r="I53" s="2">
        <v>49</v>
      </c>
      <c r="J53" s="3">
        <f t="shared" si="5"/>
        <v>23</v>
      </c>
    </row>
    <row r="55" spans="2:10" x14ac:dyDescent="0.25">
      <c r="B55" s="39" t="s">
        <v>26</v>
      </c>
      <c r="C55" s="39"/>
      <c r="D55" s="39"/>
      <c r="E55" s="39"/>
      <c r="F55" s="39"/>
      <c r="G55" s="39"/>
      <c r="H55" s="39"/>
      <c r="I55" s="39"/>
      <c r="J55" s="39"/>
    </row>
    <row r="56" spans="2:10" x14ac:dyDescent="0.25">
      <c r="B56">
        <v>1</v>
      </c>
      <c r="C56" s="2" t="s">
        <v>3</v>
      </c>
      <c r="D56" s="2">
        <v>30</v>
      </c>
      <c r="E56" s="2">
        <v>19</v>
      </c>
      <c r="F56" s="2">
        <v>4</v>
      </c>
      <c r="G56" s="2">
        <f>D56-E56-F56</f>
        <v>7</v>
      </c>
      <c r="H56" s="2">
        <v>54</v>
      </c>
      <c r="I56" s="2">
        <v>28</v>
      </c>
      <c r="J56" s="3">
        <f>E56*3+F56*1</f>
        <v>61</v>
      </c>
    </row>
    <row r="57" spans="2:10" x14ac:dyDescent="0.25">
      <c r="B57">
        <v>2</v>
      </c>
      <c r="C57" s="2" t="s">
        <v>24</v>
      </c>
      <c r="D57" s="2">
        <v>30</v>
      </c>
      <c r="E57" s="2">
        <v>15</v>
      </c>
      <c r="F57" s="2">
        <v>10</v>
      </c>
      <c r="G57" s="2">
        <f t="shared" ref="G57:G71" si="6">D57-E57-F57</f>
        <v>5</v>
      </c>
      <c r="H57" s="2">
        <v>39</v>
      </c>
      <c r="I57" s="2">
        <v>26</v>
      </c>
      <c r="J57" s="3">
        <f t="shared" ref="J57:J71" si="7">E57*3+F57*1</f>
        <v>55</v>
      </c>
    </row>
    <row r="58" spans="2:10" x14ac:dyDescent="0.25">
      <c r="B58">
        <v>3</v>
      </c>
      <c r="C58" s="2" t="s">
        <v>23</v>
      </c>
      <c r="D58" s="2">
        <v>30</v>
      </c>
      <c r="E58" s="2">
        <v>16</v>
      </c>
      <c r="F58" s="2">
        <v>7</v>
      </c>
      <c r="G58" s="2">
        <f t="shared" si="6"/>
        <v>7</v>
      </c>
      <c r="H58" s="2">
        <v>37</v>
      </c>
      <c r="I58" s="2">
        <v>27</v>
      </c>
      <c r="J58" s="3">
        <f t="shared" si="7"/>
        <v>55</v>
      </c>
    </row>
    <row r="59" spans="2:10" x14ac:dyDescent="0.25">
      <c r="B59">
        <v>4</v>
      </c>
      <c r="C59" s="2" t="s">
        <v>27</v>
      </c>
      <c r="D59" s="2">
        <v>30</v>
      </c>
      <c r="E59" s="2">
        <v>16</v>
      </c>
      <c r="F59" s="2">
        <v>6</v>
      </c>
      <c r="G59" s="2">
        <f t="shared" si="6"/>
        <v>8</v>
      </c>
      <c r="H59" s="2">
        <v>56</v>
      </c>
      <c r="I59" s="2">
        <v>36</v>
      </c>
      <c r="J59" s="3">
        <f t="shared" si="7"/>
        <v>54</v>
      </c>
    </row>
    <row r="60" spans="2:10" x14ac:dyDescent="0.25">
      <c r="B60">
        <v>5</v>
      </c>
      <c r="C60" s="2" t="s">
        <v>4</v>
      </c>
      <c r="D60" s="2">
        <v>30</v>
      </c>
      <c r="E60" s="2">
        <v>14</v>
      </c>
      <c r="F60" s="2">
        <v>11</v>
      </c>
      <c r="G60" s="2">
        <f t="shared" si="6"/>
        <v>5</v>
      </c>
      <c r="H60" s="2">
        <v>50</v>
      </c>
      <c r="I60" s="2">
        <v>34</v>
      </c>
      <c r="J60" s="3">
        <f t="shared" si="7"/>
        <v>53</v>
      </c>
    </row>
    <row r="61" spans="2:10" x14ac:dyDescent="0.25">
      <c r="B61">
        <v>6</v>
      </c>
      <c r="C61" s="2" t="s">
        <v>6</v>
      </c>
      <c r="D61" s="2">
        <v>30</v>
      </c>
      <c r="E61" s="2">
        <v>14</v>
      </c>
      <c r="F61" s="2">
        <v>8</v>
      </c>
      <c r="G61" s="2">
        <f t="shared" si="6"/>
        <v>8</v>
      </c>
      <c r="H61" s="2">
        <v>44</v>
      </c>
      <c r="I61" s="2">
        <v>35</v>
      </c>
      <c r="J61" s="3">
        <f t="shared" si="7"/>
        <v>50</v>
      </c>
    </row>
    <row r="62" spans="2:10" x14ac:dyDescent="0.25">
      <c r="B62">
        <v>7</v>
      </c>
      <c r="C62" s="2" t="s">
        <v>25</v>
      </c>
      <c r="D62" s="2">
        <v>30</v>
      </c>
      <c r="E62" s="2">
        <v>13</v>
      </c>
      <c r="F62" s="2">
        <v>8</v>
      </c>
      <c r="G62" s="2">
        <f t="shared" si="6"/>
        <v>9</v>
      </c>
      <c r="H62" s="2">
        <v>42</v>
      </c>
      <c r="I62" s="2">
        <v>37</v>
      </c>
      <c r="J62" s="3">
        <f t="shared" si="7"/>
        <v>47</v>
      </c>
    </row>
    <row r="63" spans="2:10" x14ac:dyDescent="0.25">
      <c r="B63">
        <v>8</v>
      </c>
      <c r="C63" s="2" t="s">
        <v>28</v>
      </c>
      <c r="D63" s="2">
        <v>30</v>
      </c>
      <c r="E63" s="2">
        <v>14</v>
      </c>
      <c r="F63" s="2">
        <v>4</v>
      </c>
      <c r="G63" s="2">
        <f t="shared" si="6"/>
        <v>12</v>
      </c>
      <c r="H63" s="2">
        <v>45</v>
      </c>
      <c r="I63" s="2">
        <v>41</v>
      </c>
      <c r="J63" s="3">
        <f t="shared" si="7"/>
        <v>46</v>
      </c>
    </row>
    <row r="64" spans="2:10" x14ac:dyDescent="0.25">
      <c r="B64">
        <v>9</v>
      </c>
      <c r="C64" s="2" t="s">
        <v>0</v>
      </c>
      <c r="D64" s="2">
        <v>30</v>
      </c>
      <c r="E64" s="2">
        <v>13</v>
      </c>
      <c r="F64" s="2">
        <v>6</v>
      </c>
      <c r="G64" s="2">
        <f t="shared" si="6"/>
        <v>11</v>
      </c>
      <c r="H64" s="2">
        <v>49</v>
      </c>
      <c r="I64" s="2">
        <v>38</v>
      </c>
      <c r="J64" s="3">
        <f t="shared" si="7"/>
        <v>45</v>
      </c>
    </row>
    <row r="65" spans="2:10" x14ac:dyDescent="0.25">
      <c r="B65">
        <v>10</v>
      </c>
      <c r="C65" s="2" t="s">
        <v>1</v>
      </c>
      <c r="D65" s="2">
        <v>30</v>
      </c>
      <c r="E65" s="2">
        <v>10</v>
      </c>
      <c r="F65" s="2">
        <v>11</v>
      </c>
      <c r="G65" s="2">
        <f t="shared" si="6"/>
        <v>9</v>
      </c>
      <c r="H65" s="2">
        <v>37</v>
      </c>
      <c r="I65" s="2">
        <v>30</v>
      </c>
      <c r="J65" s="3">
        <f t="shared" si="7"/>
        <v>41</v>
      </c>
    </row>
    <row r="66" spans="2:10" x14ac:dyDescent="0.25">
      <c r="B66">
        <v>11</v>
      </c>
      <c r="C66" s="2" t="s">
        <v>18</v>
      </c>
      <c r="D66" s="2">
        <v>30</v>
      </c>
      <c r="E66" s="2">
        <v>11</v>
      </c>
      <c r="F66" s="2">
        <v>5</v>
      </c>
      <c r="G66" s="2">
        <f t="shared" si="6"/>
        <v>14</v>
      </c>
      <c r="H66" s="2">
        <v>33</v>
      </c>
      <c r="I66" s="2">
        <v>35</v>
      </c>
      <c r="J66" s="3">
        <f t="shared" si="7"/>
        <v>38</v>
      </c>
    </row>
    <row r="67" spans="2:10" x14ac:dyDescent="0.25">
      <c r="B67">
        <v>12</v>
      </c>
      <c r="C67" s="2" t="s">
        <v>7</v>
      </c>
      <c r="D67" s="2">
        <v>30</v>
      </c>
      <c r="E67" s="2">
        <v>8</v>
      </c>
      <c r="F67" s="2">
        <v>8</v>
      </c>
      <c r="G67" s="2">
        <f t="shared" si="6"/>
        <v>14</v>
      </c>
      <c r="H67" s="2">
        <v>30</v>
      </c>
      <c r="I67" s="2">
        <v>39</v>
      </c>
      <c r="J67" s="3">
        <f t="shared" si="7"/>
        <v>32</v>
      </c>
    </row>
    <row r="68" spans="2:10" x14ac:dyDescent="0.25">
      <c r="B68">
        <v>13</v>
      </c>
      <c r="C68" s="2" t="s">
        <v>9</v>
      </c>
      <c r="D68" s="2">
        <v>30</v>
      </c>
      <c r="E68" s="2">
        <v>5</v>
      </c>
      <c r="F68" s="2">
        <v>9</v>
      </c>
      <c r="G68" s="2">
        <f t="shared" si="6"/>
        <v>16</v>
      </c>
      <c r="H68" s="2">
        <v>23</v>
      </c>
      <c r="I68" s="2">
        <v>47</v>
      </c>
      <c r="J68" s="3">
        <f t="shared" si="7"/>
        <v>24</v>
      </c>
    </row>
    <row r="69" spans="2:10" x14ac:dyDescent="0.25">
      <c r="B69">
        <v>14</v>
      </c>
      <c r="C69" s="2" t="s">
        <v>17</v>
      </c>
      <c r="D69" s="2">
        <v>30</v>
      </c>
      <c r="E69" s="2">
        <v>5</v>
      </c>
      <c r="F69" s="2">
        <v>7</v>
      </c>
      <c r="G69" s="2">
        <f t="shared" si="6"/>
        <v>18</v>
      </c>
      <c r="H69" s="2">
        <v>19</v>
      </c>
      <c r="I69" s="2">
        <v>48</v>
      </c>
      <c r="J69" s="3">
        <f t="shared" si="7"/>
        <v>22</v>
      </c>
    </row>
    <row r="70" spans="2:10" x14ac:dyDescent="0.25">
      <c r="B70">
        <v>15</v>
      </c>
      <c r="C70" s="2" t="s">
        <v>5</v>
      </c>
      <c r="D70" s="2">
        <v>30</v>
      </c>
      <c r="E70" s="2">
        <v>5</v>
      </c>
      <c r="F70" s="2">
        <v>5</v>
      </c>
      <c r="G70" s="2">
        <f t="shared" si="6"/>
        <v>20</v>
      </c>
      <c r="H70" s="2">
        <v>22</v>
      </c>
      <c r="I70" s="2">
        <v>55</v>
      </c>
      <c r="J70" s="3">
        <f t="shared" si="7"/>
        <v>20</v>
      </c>
    </row>
    <row r="71" spans="2:10" x14ac:dyDescent="0.25">
      <c r="B71">
        <v>16</v>
      </c>
      <c r="C71" s="2" t="s">
        <v>13</v>
      </c>
      <c r="D71" s="2">
        <v>30</v>
      </c>
      <c r="E71" s="2">
        <v>4</v>
      </c>
      <c r="F71" s="2">
        <v>7</v>
      </c>
      <c r="G71" s="2">
        <f t="shared" si="6"/>
        <v>19</v>
      </c>
      <c r="H71" s="2">
        <v>21</v>
      </c>
      <c r="I71" s="2">
        <v>45</v>
      </c>
      <c r="J71" s="3">
        <f t="shared" si="7"/>
        <v>19</v>
      </c>
    </row>
    <row r="73" spans="2:10" x14ac:dyDescent="0.25">
      <c r="B73" s="39" t="s">
        <v>29</v>
      </c>
      <c r="C73" s="39"/>
      <c r="D73" s="39"/>
      <c r="E73" s="39"/>
      <c r="F73" s="39"/>
      <c r="G73" s="39"/>
      <c r="H73" s="39"/>
      <c r="I73" s="39"/>
      <c r="J73" s="39"/>
    </row>
    <row r="74" spans="2:10" x14ac:dyDescent="0.25">
      <c r="B74">
        <v>1</v>
      </c>
      <c r="C74" s="2" t="s">
        <v>4</v>
      </c>
      <c r="D74" s="2">
        <v>30</v>
      </c>
      <c r="E74" s="2">
        <v>19</v>
      </c>
      <c r="F74" s="2">
        <v>8</v>
      </c>
      <c r="G74" s="2">
        <f>D74-E74-F74</f>
        <v>3</v>
      </c>
      <c r="H74" s="2">
        <v>48</v>
      </c>
      <c r="I74" s="2">
        <v>24</v>
      </c>
      <c r="J74" s="3">
        <f>E74*3+F74*1</f>
        <v>65</v>
      </c>
    </row>
    <row r="75" spans="2:10" x14ac:dyDescent="0.25">
      <c r="B75">
        <v>2</v>
      </c>
      <c r="C75" s="2" t="s">
        <v>0</v>
      </c>
      <c r="D75" s="2">
        <v>30</v>
      </c>
      <c r="E75" s="2">
        <v>16</v>
      </c>
      <c r="F75" s="2">
        <v>10</v>
      </c>
      <c r="G75" s="2">
        <f t="shared" ref="G75:G89" si="8">D75-E75-F75</f>
        <v>4</v>
      </c>
      <c r="H75" s="2">
        <v>47</v>
      </c>
      <c r="I75" s="2">
        <v>24</v>
      </c>
      <c r="J75" s="3">
        <f t="shared" ref="J75:J89" si="9">E75*3+F75*1</f>
        <v>58</v>
      </c>
    </row>
    <row r="76" spans="2:10" x14ac:dyDescent="0.25">
      <c r="B76">
        <v>3</v>
      </c>
      <c r="C76" s="2" t="s">
        <v>23</v>
      </c>
      <c r="D76" s="2">
        <v>30</v>
      </c>
      <c r="E76" s="2">
        <v>16</v>
      </c>
      <c r="F76" s="2">
        <v>7</v>
      </c>
      <c r="G76" s="2">
        <f t="shared" si="8"/>
        <v>7</v>
      </c>
      <c r="H76" s="2">
        <v>50</v>
      </c>
      <c r="I76" s="2">
        <v>33</v>
      </c>
      <c r="J76" s="3">
        <f t="shared" si="9"/>
        <v>55</v>
      </c>
    </row>
    <row r="77" spans="2:10" x14ac:dyDescent="0.25">
      <c r="B77">
        <v>4</v>
      </c>
      <c r="C77" s="2" t="s">
        <v>7</v>
      </c>
      <c r="D77" s="2">
        <v>30</v>
      </c>
      <c r="E77" s="2">
        <v>13</v>
      </c>
      <c r="F77" s="2">
        <v>8</v>
      </c>
      <c r="G77" s="2">
        <f t="shared" si="8"/>
        <v>9</v>
      </c>
      <c r="H77" s="2">
        <v>42</v>
      </c>
      <c r="I77" s="2">
        <v>34</v>
      </c>
      <c r="J77" s="3">
        <f t="shared" si="9"/>
        <v>47</v>
      </c>
    </row>
    <row r="78" spans="2:10" x14ac:dyDescent="0.25">
      <c r="B78">
        <v>5</v>
      </c>
      <c r="C78" s="2" t="s">
        <v>18</v>
      </c>
      <c r="D78" s="2">
        <v>30</v>
      </c>
      <c r="E78" s="2">
        <v>12</v>
      </c>
      <c r="F78" s="2">
        <v>9</v>
      </c>
      <c r="G78" s="2">
        <f t="shared" si="8"/>
        <v>9</v>
      </c>
      <c r="H78" s="2">
        <v>33</v>
      </c>
      <c r="I78" s="2">
        <v>36</v>
      </c>
      <c r="J78" s="3">
        <f t="shared" si="9"/>
        <v>45</v>
      </c>
    </row>
    <row r="79" spans="2:10" x14ac:dyDescent="0.25">
      <c r="B79">
        <v>6</v>
      </c>
      <c r="C79" s="2" t="s">
        <v>24</v>
      </c>
      <c r="D79" s="2">
        <v>30</v>
      </c>
      <c r="E79" s="2">
        <v>12</v>
      </c>
      <c r="F79" s="2">
        <v>7</v>
      </c>
      <c r="G79" s="2">
        <f t="shared" si="8"/>
        <v>11</v>
      </c>
      <c r="H79" s="2">
        <v>40</v>
      </c>
      <c r="I79" s="2">
        <v>40</v>
      </c>
      <c r="J79" s="3">
        <f t="shared" si="9"/>
        <v>43</v>
      </c>
    </row>
    <row r="80" spans="2:10" x14ac:dyDescent="0.25">
      <c r="B80">
        <v>7</v>
      </c>
      <c r="C80" s="2" t="s">
        <v>25</v>
      </c>
      <c r="D80" s="2">
        <v>30</v>
      </c>
      <c r="E80" s="2">
        <v>10</v>
      </c>
      <c r="F80" s="2">
        <v>11</v>
      </c>
      <c r="G80" s="2">
        <f t="shared" si="8"/>
        <v>9</v>
      </c>
      <c r="H80" s="2">
        <v>40</v>
      </c>
      <c r="I80" s="2">
        <v>41</v>
      </c>
      <c r="J80" s="3">
        <f t="shared" si="9"/>
        <v>41</v>
      </c>
    </row>
    <row r="81" spans="2:10" x14ac:dyDescent="0.25">
      <c r="B81">
        <v>8</v>
      </c>
      <c r="C81" s="2" t="s">
        <v>27</v>
      </c>
      <c r="D81" s="2">
        <v>30</v>
      </c>
      <c r="E81" s="2">
        <v>10</v>
      </c>
      <c r="F81" s="2">
        <v>11</v>
      </c>
      <c r="G81" s="2">
        <f t="shared" si="8"/>
        <v>9</v>
      </c>
      <c r="H81" s="2">
        <v>41</v>
      </c>
      <c r="I81" s="2">
        <v>50</v>
      </c>
      <c r="J81" s="3">
        <f t="shared" si="9"/>
        <v>41</v>
      </c>
    </row>
    <row r="82" spans="2:10" x14ac:dyDescent="0.25">
      <c r="B82">
        <v>9</v>
      </c>
      <c r="C82" s="2" t="s">
        <v>3</v>
      </c>
      <c r="D82" s="2">
        <v>30</v>
      </c>
      <c r="E82" s="2">
        <v>10</v>
      </c>
      <c r="F82" s="2">
        <v>10</v>
      </c>
      <c r="G82" s="2">
        <f t="shared" si="8"/>
        <v>10</v>
      </c>
      <c r="H82" s="2">
        <v>44</v>
      </c>
      <c r="I82" s="2">
        <v>42</v>
      </c>
      <c r="J82" s="3">
        <f t="shared" si="9"/>
        <v>40</v>
      </c>
    </row>
    <row r="83" spans="2:10" x14ac:dyDescent="0.25">
      <c r="B83">
        <v>10</v>
      </c>
      <c r="C83" s="2" t="s">
        <v>28</v>
      </c>
      <c r="D83" s="2">
        <v>30</v>
      </c>
      <c r="E83" s="2">
        <v>11</v>
      </c>
      <c r="F83" s="2">
        <v>4</v>
      </c>
      <c r="G83" s="2">
        <f t="shared" si="8"/>
        <v>15</v>
      </c>
      <c r="H83" s="2">
        <v>41</v>
      </c>
      <c r="I83" s="2">
        <v>41</v>
      </c>
      <c r="J83" s="3">
        <f t="shared" si="9"/>
        <v>37</v>
      </c>
    </row>
    <row r="84" spans="2:10" x14ac:dyDescent="0.25">
      <c r="B84">
        <v>11</v>
      </c>
      <c r="C84" s="2" t="s">
        <v>6</v>
      </c>
      <c r="D84" s="2">
        <v>30</v>
      </c>
      <c r="E84" s="2">
        <v>8</v>
      </c>
      <c r="F84" s="2">
        <v>10</v>
      </c>
      <c r="G84" s="2">
        <f t="shared" si="8"/>
        <v>12</v>
      </c>
      <c r="H84" s="2">
        <v>36</v>
      </c>
      <c r="I84" s="2">
        <v>44</v>
      </c>
      <c r="J84" s="3">
        <f t="shared" si="9"/>
        <v>34</v>
      </c>
    </row>
    <row r="85" spans="2:10" x14ac:dyDescent="0.25">
      <c r="B85">
        <v>12</v>
      </c>
      <c r="C85" s="2" t="s">
        <v>1</v>
      </c>
      <c r="D85" s="2">
        <v>30</v>
      </c>
      <c r="E85" s="2">
        <v>9</v>
      </c>
      <c r="F85" s="2">
        <v>7</v>
      </c>
      <c r="G85" s="2">
        <f t="shared" si="8"/>
        <v>14</v>
      </c>
      <c r="H85" s="2">
        <v>34</v>
      </c>
      <c r="I85" s="2">
        <v>46</v>
      </c>
      <c r="J85" s="3">
        <f t="shared" si="9"/>
        <v>34</v>
      </c>
    </row>
    <row r="86" spans="2:10" x14ac:dyDescent="0.25">
      <c r="B86">
        <v>13</v>
      </c>
      <c r="C86" s="2" t="s">
        <v>2</v>
      </c>
      <c r="D86" s="2">
        <v>30</v>
      </c>
      <c r="E86" s="2">
        <v>7</v>
      </c>
      <c r="F86" s="2">
        <v>11</v>
      </c>
      <c r="G86" s="2">
        <f t="shared" si="8"/>
        <v>12</v>
      </c>
      <c r="H86" s="2">
        <v>38</v>
      </c>
      <c r="I86" s="2">
        <v>36</v>
      </c>
      <c r="J86" s="3">
        <f t="shared" si="9"/>
        <v>32</v>
      </c>
    </row>
    <row r="87" spans="2:10" x14ac:dyDescent="0.25">
      <c r="B87">
        <v>14</v>
      </c>
      <c r="C87" s="2" t="s">
        <v>9</v>
      </c>
      <c r="D87" s="2">
        <v>30</v>
      </c>
      <c r="E87" s="2">
        <v>6</v>
      </c>
      <c r="F87" s="2">
        <v>10</v>
      </c>
      <c r="G87" s="2">
        <f t="shared" si="8"/>
        <v>14</v>
      </c>
      <c r="H87" s="2">
        <v>30</v>
      </c>
      <c r="I87" s="2">
        <v>38</v>
      </c>
      <c r="J87" s="3">
        <f t="shared" si="9"/>
        <v>28</v>
      </c>
    </row>
    <row r="88" spans="2:10" x14ac:dyDescent="0.25">
      <c r="B88">
        <v>15</v>
      </c>
      <c r="C88" s="2" t="s">
        <v>30</v>
      </c>
      <c r="D88" s="2">
        <v>30</v>
      </c>
      <c r="E88" s="2">
        <v>6</v>
      </c>
      <c r="F88" s="2">
        <v>8</v>
      </c>
      <c r="G88" s="2">
        <f t="shared" si="8"/>
        <v>16</v>
      </c>
      <c r="H88" s="2">
        <v>38</v>
      </c>
      <c r="I88" s="2">
        <v>47</v>
      </c>
      <c r="J88" s="3">
        <f t="shared" si="9"/>
        <v>26</v>
      </c>
    </row>
    <row r="89" spans="2:10" x14ac:dyDescent="0.25">
      <c r="B89">
        <v>16</v>
      </c>
      <c r="C89" s="2" t="s">
        <v>17</v>
      </c>
      <c r="D89" s="2">
        <v>30</v>
      </c>
      <c r="E89" s="2">
        <v>5</v>
      </c>
      <c r="F89" s="2">
        <v>9</v>
      </c>
      <c r="G89" s="2">
        <f t="shared" si="8"/>
        <v>16</v>
      </c>
      <c r="H89" s="2">
        <v>28</v>
      </c>
      <c r="I89" s="2">
        <v>54</v>
      </c>
      <c r="J89" s="3">
        <f t="shared" si="9"/>
        <v>24</v>
      </c>
    </row>
    <row r="91" spans="2:10" x14ac:dyDescent="0.25">
      <c r="B91" s="39" t="s">
        <v>31</v>
      </c>
      <c r="C91" s="39"/>
      <c r="D91" s="39"/>
      <c r="E91" s="39"/>
      <c r="F91" s="39"/>
      <c r="G91" s="39"/>
      <c r="H91" s="39"/>
      <c r="I91" s="39"/>
      <c r="J91" s="39"/>
    </row>
    <row r="92" spans="2:10" x14ac:dyDescent="0.25">
      <c r="B92">
        <v>1</v>
      </c>
      <c r="C92" s="2" t="s">
        <v>4</v>
      </c>
      <c r="D92" s="2">
        <v>30</v>
      </c>
      <c r="E92" s="2">
        <v>20</v>
      </c>
      <c r="F92" s="2">
        <v>3</v>
      </c>
      <c r="G92" s="2">
        <f>D92-E92-F92</f>
        <v>7</v>
      </c>
      <c r="H92" s="2">
        <v>67</v>
      </c>
      <c r="I92" s="2">
        <v>29</v>
      </c>
      <c r="J92" s="3">
        <f>E92*3+F92*1</f>
        <v>63</v>
      </c>
    </row>
    <row r="93" spans="2:10" x14ac:dyDescent="0.25">
      <c r="B93">
        <v>2</v>
      </c>
      <c r="C93" s="2" t="s">
        <v>24</v>
      </c>
      <c r="D93" s="2">
        <v>30</v>
      </c>
      <c r="E93" s="2">
        <v>19</v>
      </c>
      <c r="F93" s="2">
        <v>4</v>
      </c>
      <c r="G93" s="2">
        <f t="shared" ref="G93:G107" si="10">D93-E93-F93</f>
        <v>7</v>
      </c>
      <c r="H93" s="2">
        <v>59</v>
      </c>
      <c r="I93" s="2">
        <v>32</v>
      </c>
      <c r="J93" s="3">
        <f t="shared" ref="J93:J107" si="11">E93*3+F93*1</f>
        <v>61</v>
      </c>
    </row>
    <row r="94" spans="2:10" x14ac:dyDescent="0.25">
      <c r="B94">
        <v>3</v>
      </c>
      <c r="C94" s="2" t="s">
        <v>32</v>
      </c>
      <c r="D94" s="2">
        <v>30</v>
      </c>
      <c r="E94" s="2">
        <v>17</v>
      </c>
      <c r="F94" s="2">
        <v>8</v>
      </c>
      <c r="G94" s="2">
        <f t="shared" si="10"/>
        <v>5</v>
      </c>
      <c r="H94" s="2">
        <v>60</v>
      </c>
      <c r="I94" s="2">
        <v>26</v>
      </c>
      <c r="J94" s="3">
        <f t="shared" si="11"/>
        <v>59</v>
      </c>
    </row>
    <row r="95" spans="2:10" x14ac:dyDescent="0.25">
      <c r="B95">
        <v>4</v>
      </c>
      <c r="C95" s="2" t="s">
        <v>23</v>
      </c>
      <c r="D95" s="2">
        <v>30</v>
      </c>
      <c r="E95" s="2">
        <v>16</v>
      </c>
      <c r="F95" s="2">
        <v>6</v>
      </c>
      <c r="G95" s="2">
        <f t="shared" si="10"/>
        <v>8</v>
      </c>
      <c r="H95" s="2">
        <v>61</v>
      </c>
      <c r="I95" s="2">
        <v>33</v>
      </c>
      <c r="J95" s="3">
        <f t="shared" si="11"/>
        <v>54</v>
      </c>
    </row>
    <row r="96" spans="2:10" x14ac:dyDescent="0.25">
      <c r="B96">
        <v>5</v>
      </c>
      <c r="C96" s="2" t="s">
        <v>0</v>
      </c>
      <c r="D96" s="2">
        <v>30</v>
      </c>
      <c r="E96" s="2">
        <v>16</v>
      </c>
      <c r="F96" s="2">
        <v>5</v>
      </c>
      <c r="G96" s="2">
        <f t="shared" si="10"/>
        <v>9</v>
      </c>
      <c r="H96" s="2">
        <v>67</v>
      </c>
      <c r="I96" s="2">
        <v>29</v>
      </c>
      <c r="J96" s="3">
        <f t="shared" si="11"/>
        <v>53</v>
      </c>
    </row>
    <row r="97" spans="2:10" x14ac:dyDescent="0.25">
      <c r="B97">
        <v>6</v>
      </c>
      <c r="C97" s="2" t="s">
        <v>3</v>
      </c>
      <c r="D97" s="2">
        <v>30</v>
      </c>
      <c r="E97" s="2">
        <v>15</v>
      </c>
      <c r="F97" s="2">
        <v>7</v>
      </c>
      <c r="G97" s="2">
        <f t="shared" si="10"/>
        <v>8</v>
      </c>
      <c r="H97" s="2">
        <v>52</v>
      </c>
      <c r="I97" s="2">
        <v>35</v>
      </c>
      <c r="J97" s="3">
        <f t="shared" si="11"/>
        <v>52</v>
      </c>
    </row>
    <row r="98" spans="2:10" x14ac:dyDescent="0.25">
      <c r="B98">
        <v>7</v>
      </c>
      <c r="C98" s="2" t="s">
        <v>33</v>
      </c>
      <c r="D98" s="2">
        <v>30</v>
      </c>
      <c r="E98" s="2">
        <v>14</v>
      </c>
      <c r="F98" s="2">
        <v>6</v>
      </c>
      <c r="G98" s="2">
        <f t="shared" si="10"/>
        <v>10</v>
      </c>
      <c r="H98" s="2">
        <v>63</v>
      </c>
      <c r="I98" s="2">
        <v>34</v>
      </c>
      <c r="J98" s="3">
        <f t="shared" si="11"/>
        <v>48</v>
      </c>
    </row>
    <row r="99" spans="2:10" x14ac:dyDescent="0.25">
      <c r="B99">
        <v>8</v>
      </c>
      <c r="C99" s="2" t="s">
        <v>18</v>
      </c>
      <c r="D99" s="2">
        <v>30</v>
      </c>
      <c r="E99" s="2">
        <v>13</v>
      </c>
      <c r="F99" s="2">
        <v>5</v>
      </c>
      <c r="G99" s="2">
        <f t="shared" si="10"/>
        <v>12</v>
      </c>
      <c r="H99" s="2">
        <v>52</v>
      </c>
      <c r="I99" s="2">
        <v>31</v>
      </c>
      <c r="J99" s="3">
        <f t="shared" si="11"/>
        <v>44</v>
      </c>
    </row>
    <row r="100" spans="2:10" x14ac:dyDescent="0.25">
      <c r="B100">
        <v>9</v>
      </c>
      <c r="C100" s="2" t="s">
        <v>27</v>
      </c>
      <c r="D100" s="2">
        <v>30</v>
      </c>
      <c r="E100" s="2">
        <v>13</v>
      </c>
      <c r="F100" s="2">
        <v>4</v>
      </c>
      <c r="G100" s="2">
        <f t="shared" si="10"/>
        <v>13</v>
      </c>
      <c r="H100" s="2">
        <v>44</v>
      </c>
      <c r="I100" s="2">
        <v>48</v>
      </c>
      <c r="J100" s="3">
        <f t="shared" si="11"/>
        <v>43</v>
      </c>
    </row>
    <row r="101" spans="2:10" x14ac:dyDescent="0.25">
      <c r="B101">
        <v>10</v>
      </c>
      <c r="C101" s="2" t="s">
        <v>6</v>
      </c>
      <c r="D101" s="2">
        <v>30</v>
      </c>
      <c r="E101" s="2">
        <v>11</v>
      </c>
      <c r="F101" s="2">
        <v>8</v>
      </c>
      <c r="G101" s="2">
        <f t="shared" si="10"/>
        <v>11</v>
      </c>
      <c r="H101" s="2">
        <v>52</v>
      </c>
      <c r="I101" s="2">
        <v>40</v>
      </c>
      <c r="J101" s="3">
        <f t="shared" si="11"/>
        <v>41</v>
      </c>
    </row>
    <row r="102" spans="2:10" x14ac:dyDescent="0.25">
      <c r="B102">
        <v>11</v>
      </c>
      <c r="C102" s="2" t="s">
        <v>28</v>
      </c>
      <c r="D102" s="2">
        <v>30</v>
      </c>
      <c r="E102" s="2">
        <v>11</v>
      </c>
      <c r="F102" s="2">
        <v>7</v>
      </c>
      <c r="G102" s="2">
        <f t="shared" si="10"/>
        <v>12</v>
      </c>
      <c r="H102" s="2">
        <v>43</v>
      </c>
      <c r="I102" s="2">
        <v>42</v>
      </c>
      <c r="J102" s="3">
        <f t="shared" si="11"/>
        <v>40</v>
      </c>
    </row>
    <row r="103" spans="2:10" x14ac:dyDescent="0.25">
      <c r="B103">
        <v>12</v>
      </c>
      <c r="C103" s="2" t="s">
        <v>1</v>
      </c>
      <c r="D103" s="2">
        <v>30</v>
      </c>
      <c r="E103" s="2">
        <v>10</v>
      </c>
      <c r="F103" s="2">
        <v>6</v>
      </c>
      <c r="G103" s="2">
        <f t="shared" si="10"/>
        <v>14</v>
      </c>
      <c r="H103" s="2">
        <v>47</v>
      </c>
      <c r="I103" s="2">
        <v>50</v>
      </c>
      <c r="J103" s="3">
        <f t="shared" si="11"/>
        <v>36</v>
      </c>
    </row>
    <row r="104" spans="2:10" x14ac:dyDescent="0.25">
      <c r="B104">
        <v>13</v>
      </c>
      <c r="C104" s="2" t="s">
        <v>25</v>
      </c>
      <c r="D104" s="2">
        <v>30</v>
      </c>
      <c r="E104" s="2">
        <v>9</v>
      </c>
      <c r="F104" s="2">
        <v>3</v>
      </c>
      <c r="G104" s="2">
        <f t="shared" si="10"/>
        <v>18</v>
      </c>
      <c r="H104" s="2">
        <v>44</v>
      </c>
      <c r="I104" s="2">
        <v>58</v>
      </c>
      <c r="J104" s="3">
        <f t="shared" si="11"/>
        <v>30</v>
      </c>
    </row>
    <row r="105" spans="2:10" x14ac:dyDescent="0.25">
      <c r="B105">
        <v>14</v>
      </c>
      <c r="C105" s="2" t="s">
        <v>2</v>
      </c>
      <c r="D105" s="2">
        <v>30</v>
      </c>
      <c r="E105" s="2">
        <v>8</v>
      </c>
      <c r="F105" s="2">
        <v>5</v>
      </c>
      <c r="G105" s="2">
        <f t="shared" si="10"/>
        <v>17</v>
      </c>
      <c r="H105" s="2">
        <v>49</v>
      </c>
      <c r="I105" s="2">
        <v>60</v>
      </c>
      <c r="J105" s="3">
        <f t="shared" si="11"/>
        <v>29</v>
      </c>
    </row>
    <row r="106" spans="2:10" x14ac:dyDescent="0.25">
      <c r="B106">
        <v>15</v>
      </c>
      <c r="C106" s="2" t="s">
        <v>9</v>
      </c>
      <c r="D106" s="2">
        <v>30</v>
      </c>
      <c r="E106" s="2">
        <v>8</v>
      </c>
      <c r="F106" s="2">
        <v>3</v>
      </c>
      <c r="G106" s="2">
        <f t="shared" si="10"/>
        <v>19</v>
      </c>
      <c r="H106" s="2">
        <v>37</v>
      </c>
      <c r="I106" s="2">
        <v>58</v>
      </c>
      <c r="J106" s="3">
        <f t="shared" si="11"/>
        <v>27</v>
      </c>
    </row>
    <row r="107" spans="2:10" x14ac:dyDescent="0.25">
      <c r="B107">
        <v>16</v>
      </c>
      <c r="C107" t="s">
        <v>34</v>
      </c>
      <c r="D107">
        <v>30</v>
      </c>
      <c r="E107">
        <v>0</v>
      </c>
      <c r="F107">
        <v>0</v>
      </c>
      <c r="G107">
        <f t="shared" si="10"/>
        <v>30</v>
      </c>
      <c r="H107">
        <v>4</v>
      </c>
      <c r="I107">
        <v>196</v>
      </c>
      <c r="J107" s="1">
        <f t="shared" si="11"/>
        <v>0</v>
      </c>
    </row>
    <row r="109" spans="2:10" x14ac:dyDescent="0.25">
      <c r="B109" s="39" t="s">
        <v>35</v>
      </c>
      <c r="C109" s="39"/>
      <c r="D109" s="39"/>
      <c r="E109" s="39"/>
      <c r="F109" s="39"/>
      <c r="G109" s="39"/>
      <c r="H109" s="39"/>
      <c r="I109" s="39"/>
      <c r="J109" s="39"/>
    </row>
    <row r="110" spans="2:10" x14ac:dyDescent="0.25">
      <c r="B110">
        <v>1</v>
      </c>
      <c r="C110" s="2" t="s">
        <v>4</v>
      </c>
      <c r="D110" s="2">
        <v>30</v>
      </c>
      <c r="E110" s="2">
        <v>21</v>
      </c>
      <c r="F110" s="2">
        <v>5</v>
      </c>
      <c r="G110" s="2">
        <f>D110-E110-F110</f>
        <v>4</v>
      </c>
      <c r="H110" s="2">
        <v>60</v>
      </c>
      <c r="I110" s="2">
        <v>28</v>
      </c>
      <c r="J110" s="3">
        <f>E110*3+F110*1</f>
        <v>68</v>
      </c>
    </row>
    <row r="111" spans="2:10" x14ac:dyDescent="0.25">
      <c r="B111">
        <v>2</v>
      </c>
      <c r="C111" s="2" t="s">
        <v>0</v>
      </c>
      <c r="D111" s="2">
        <v>30</v>
      </c>
      <c r="E111" s="2">
        <v>17</v>
      </c>
      <c r="F111" s="2">
        <v>9</v>
      </c>
      <c r="G111" s="2">
        <f t="shared" ref="G111:G125" si="12">D111-E111-F111</f>
        <v>4</v>
      </c>
      <c r="H111" s="2">
        <v>60</v>
      </c>
      <c r="I111" s="2">
        <v>29</v>
      </c>
      <c r="J111" s="3">
        <f t="shared" ref="J111:J125" si="13">E111*3+F111*1</f>
        <v>60</v>
      </c>
    </row>
    <row r="112" spans="2:10" x14ac:dyDescent="0.25">
      <c r="B112">
        <v>3</v>
      </c>
      <c r="C112" s="2" t="s">
        <v>18</v>
      </c>
      <c r="D112" s="2">
        <v>30</v>
      </c>
      <c r="E112" s="2">
        <v>17</v>
      </c>
      <c r="F112" s="2">
        <v>9</v>
      </c>
      <c r="G112" s="2">
        <f t="shared" si="12"/>
        <v>4</v>
      </c>
      <c r="H112" s="2">
        <v>62</v>
      </c>
      <c r="I112" s="2">
        <v>35</v>
      </c>
      <c r="J112" s="3">
        <f t="shared" si="13"/>
        <v>60</v>
      </c>
    </row>
    <row r="113" spans="2:10" x14ac:dyDescent="0.25">
      <c r="B113">
        <v>4</v>
      </c>
      <c r="C113" s="2" t="s">
        <v>23</v>
      </c>
      <c r="D113" s="2">
        <v>30</v>
      </c>
      <c r="E113" s="2">
        <v>15</v>
      </c>
      <c r="F113" s="2">
        <v>8</v>
      </c>
      <c r="G113" s="2">
        <f t="shared" si="12"/>
        <v>7</v>
      </c>
      <c r="H113" s="2">
        <v>51</v>
      </c>
      <c r="I113" s="2">
        <v>32</v>
      </c>
      <c r="J113" s="3">
        <f t="shared" si="13"/>
        <v>53</v>
      </c>
    </row>
    <row r="114" spans="2:10" x14ac:dyDescent="0.25">
      <c r="B114">
        <v>5</v>
      </c>
      <c r="C114" s="2" t="s">
        <v>33</v>
      </c>
      <c r="D114" s="2">
        <v>30</v>
      </c>
      <c r="E114" s="2">
        <v>17</v>
      </c>
      <c r="F114" s="2">
        <v>2</v>
      </c>
      <c r="G114" s="2">
        <f t="shared" si="12"/>
        <v>11</v>
      </c>
      <c r="H114" s="2">
        <v>41</v>
      </c>
      <c r="I114" s="2">
        <v>33</v>
      </c>
      <c r="J114" s="3">
        <f t="shared" si="13"/>
        <v>53</v>
      </c>
    </row>
    <row r="115" spans="2:10" x14ac:dyDescent="0.25">
      <c r="B115">
        <v>6</v>
      </c>
      <c r="C115" s="2" t="s">
        <v>32</v>
      </c>
      <c r="D115" s="2">
        <v>30</v>
      </c>
      <c r="E115" s="2">
        <v>16</v>
      </c>
      <c r="F115" s="2">
        <v>0</v>
      </c>
      <c r="G115" s="2">
        <f t="shared" si="12"/>
        <v>14</v>
      </c>
      <c r="H115" s="2">
        <v>47</v>
      </c>
      <c r="I115" s="2">
        <v>41</v>
      </c>
      <c r="J115" s="3">
        <f t="shared" si="13"/>
        <v>48</v>
      </c>
    </row>
    <row r="116" spans="2:10" x14ac:dyDescent="0.25">
      <c r="B116">
        <v>7</v>
      </c>
      <c r="C116" s="2" t="s">
        <v>3</v>
      </c>
      <c r="D116" s="2">
        <v>30</v>
      </c>
      <c r="E116" s="2">
        <v>12</v>
      </c>
      <c r="F116" s="2">
        <v>10</v>
      </c>
      <c r="G116" s="2">
        <f t="shared" si="12"/>
        <v>8</v>
      </c>
      <c r="H116" s="2">
        <v>48</v>
      </c>
      <c r="I116" s="2">
        <v>42</v>
      </c>
      <c r="J116" s="3">
        <f t="shared" si="13"/>
        <v>46</v>
      </c>
    </row>
    <row r="117" spans="2:10" x14ac:dyDescent="0.25">
      <c r="B117">
        <v>8</v>
      </c>
      <c r="C117" s="2" t="s">
        <v>1</v>
      </c>
      <c r="D117" s="2">
        <v>30</v>
      </c>
      <c r="E117" s="2">
        <v>10</v>
      </c>
      <c r="F117" s="2">
        <v>10</v>
      </c>
      <c r="G117" s="2">
        <f t="shared" si="12"/>
        <v>10</v>
      </c>
      <c r="H117" s="2">
        <v>46</v>
      </c>
      <c r="I117" s="2">
        <v>50</v>
      </c>
      <c r="J117" s="3">
        <f t="shared" si="13"/>
        <v>40</v>
      </c>
    </row>
    <row r="118" spans="2:10" x14ac:dyDescent="0.25">
      <c r="B118">
        <v>9</v>
      </c>
      <c r="C118" s="2" t="s">
        <v>24</v>
      </c>
      <c r="D118" s="2">
        <v>30</v>
      </c>
      <c r="E118" s="2">
        <v>11</v>
      </c>
      <c r="F118" s="2">
        <v>6</v>
      </c>
      <c r="G118" s="2">
        <f t="shared" si="12"/>
        <v>13</v>
      </c>
      <c r="H118" s="2">
        <v>37</v>
      </c>
      <c r="I118" s="2">
        <v>46</v>
      </c>
      <c r="J118" s="3">
        <f t="shared" si="13"/>
        <v>39</v>
      </c>
    </row>
    <row r="119" spans="2:10" x14ac:dyDescent="0.25">
      <c r="B119">
        <v>10</v>
      </c>
      <c r="C119" s="2" t="s">
        <v>27</v>
      </c>
      <c r="D119" s="2">
        <v>30</v>
      </c>
      <c r="E119" s="2">
        <v>10</v>
      </c>
      <c r="F119" s="2">
        <v>8</v>
      </c>
      <c r="G119" s="2">
        <f t="shared" si="12"/>
        <v>12</v>
      </c>
      <c r="H119" s="2">
        <v>37</v>
      </c>
      <c r="I119" s="2">
        <v>39</v>
      </c>
      <c r="J119" s="3">
        <f t="shared" si="13"/>
        <v>38</v>
      </c>
    </row>
    <row r="120" spans="2:10" x14ac:dyDescent="0.25">
      <c r="B120">
        <v>11</v>
      </c>
      <c r="C120" s="2" t="s">
        <v>30</v>
      </c>
      <c r="D120" s="2">
        <v>30</v>
      </c>
      <c r="E120" s="2">
        <v>10</v>
      </c>
      <c r="F120" s="2">
        <v>6</v>
      </c>
      <c r="G120" s="2">
        <f t="shared" si="12"/>
        <v>14</v>
      </c>
      <c r="H120" s="2">
        <v>25</v>
      </c>
      <c r="I120" s="2">
        <v>36</v>
      </c>
      <c r="J120" s="3">
        <f t="shared" si="13"/>
        <v>36</v>
      </c>
    </row>
    <row r="121" spans="2:10" x14ac:dyDescent="0.25">
      <c r="B121">
        <v>12</v>
      </c>
      <c r="C121" s="2" t="s">
        <v>36</v>
      </c>
      <c r="D121" s="2">
        <v>30</v>
      </c>
      <c r="E121" s="2">
        <v>10</v>
      </c>
      <c r="F121" s="2">
        <v>4</v>
      </c>
      <c r="G121" s="2">
        <f t="shared" si="12"/>
        <v>16</v>
      </c>
      <c r="H121" s="2">
        <v>43</v>
      </c>
      <c r="I121" s="2">
        <v>49</v>
      </c>
      <c r="J121" s="3">
        <f t="shared" si="13"/>
        <v>34</v>
      </c>
    </row>
    <row r="122" spans="2:10" x14ac:dyDescent="0.25">
      <c r="B122">
        <v>13</v>
      </c>
      <c r="C122" s="2" t="s">
        <v>6</v>
      </c>
      <c r="D122" s="2">
        <v>30</v>
      </c>
      <c r="E122" s="2">
        <v>9</v>
      </c>
      <c r="F122" s="2">
        <v>6</v>
      </c>
      <c r="G122" s="2">
        <f t="shared" si="12"/>
        <v>15</v>
      </c>
      <c r="H122" s="2">
        <v>39</v>
      </c>
      <c r="I122" s="2">
        <v>45</v>
      </c>
      <c r="J122" s="3">
        <f t="shared" si="13"/>
        <v>33</v>
      </c>
    </row>
    <row r="123" spans="2:10" x14ac:dyDescent="0.25">
      <c r="B123">
        <v>14</v>
      </c>
      <c r="C123" s="2" t="s">
        <v>28</v>
      </c>
      <c r="D123" s="2">
        <v>30</v>
      </c>
      <c r="E123" s="2">
        <v>9</v>
      </c>
      <c r="F123" s="2">
        <v>6</v>
      </c>
      <c r="G123" s="2">
        <f t="shared" si="12"/>
        <v>15</v>
      </c>
      <c r="H123" s="2">
        <v>28</v>
      </c>
      <c r="I123" s="2">
        <v>43</v>
      </c>
      <c r="J123" s="3">
        <f t="shared" si="13"/>
        <v>33</v>
      </c>
    </row>
    <row r="124" spans="2:10" x14ac:dyDescent="0.25">
      <c r="B124">
        <v>15</v>
      </c>
      <c r="C124" s="2" t="s">
        <v>25</v>
      </c>
      <c r="D124" s="2">
        <v>30</v>
      </c>
      <c r="E124" s="2">
        <v>3</v>
      </c>
      <c r="F124" s="2">
        <v>9</v>
      </c>
      <c r="G124" s="2">
        <f t="shared" si="12"/>
        <v>18</v>
      </c>
      <c r="H124" s="2">
        <v>32</v>
      </c>
      <c r="I124" s="2">
        <v>63</v>
      </c>
      <c r="J124" s="3">
        <f t="shared" si="13"/>
        <v>18</v>
      </c>
    </row>
    <row r="125" spans="2:10" x14ac:dyDescent="0.25">
      <c r="B125">
        <v>16</v>
      </c>
      <c r="C125" s="2" t="s">
        <v>2</v>
      </c>
      <c r="D125" s="2">
        <v>30</v>
      </c>
      <c r="E125" s="2">
        <v>1</v>
      </c>
      <c r="F125" s="2">
        <v>6</v>
      </c>
      <c r="G125" s="2">
        <f t="shared" si="12"/>
        <v>23</v>
      </c>
      <c r="H125" s="2">
        <v>23</v>
      </c>
      <c r="I125" s="2">
        <v>68</v>
      </c>
      <c r="J125" s="3">
        <f t="shared" si="13"/>
        <v>9</v>
      </c>
    </row>
    <row r="127" spans="2:10" x14ac:dyDescent="0.25">
      <c r="B127" s="39" t="s">
        <v>37</v>
      </c>
      <c r="C127" s="39"/>
      <c r="D127" s="39"/>
      <c r="E127" s="39"/>
      <c r="F127" s="39"/>
      <c r="G127" s="39"/>
      <c r="H127" s="39"/>
      <c r="I127" s="39"/>
      <c r="J127" s="39"/>
    </row>
    <row r="128" spans="2:10" x14ac:dyDescent="0.25">
      <c r="B128">
        <v>1</v>
      </c>
      <c r="C128" s="2" t="s">
        <v>6</v>
      </c>
      <c r="D128" s="2">
        <v>30</v>
      </c>
      <c r="E128" s="2">
        <v>19</v>
      </c>
      <c r="F128" s="2">
        <v>2</v>
      </c>
      <c r="G128" s="2">
        <f>D128-E128-F128</f>
        <v>9</v>
      </c>
      <c r="H128" s="2">
        <v>58</v>
      </c>
      <c r="I128" s="2">
        <v>43</v>
      </c>
      <c r="J128" s="3">
        <f>E128*3+F128*1</f>
        <v>59</v>
      </c>
    </row>
    <row r="129" spans="2:10" x14ac:dyDescent="0.25">
      <c r="B129">
        <v>2</v>
      </c>
      <c r="C129" s="2" t="s">
        <v>0</v>
      </c>
      <c r="D129" s="2">
        <v>30</v>
      </c>
      <c r="E129" s="2">
        <v>18</v>
      </c>
      <c r="F129" s="2">
        <v>4</v>
      </c>
      <c r="G129" s="2">
        <f t="shared" ref="G129:G143" si="14">D129-E129-F129</f>
        <v>8</v>
      </c>
      <c r="H129" s="2">
        <v>57</v>
      </c>
      <c r="I129" s="2">
        <v>34</v>
      </c>
      <c r="J129" s="3">
        <f t="shared" ref="J129:J143" si="15">E129*3+F129*1</f>
        <v>58</v>
      </c>
    </row>
    <row r="130" spans="2:10" x14ac:dyDescent="0.25">
      <c r="B130">
        <v>3</v>
      </c>
      <c r="C130" s="2" t="s">
        <v>23</v>
      </c>
      <c r="D130" s="2">
        <v>30</v>
      </c>
      <c r="E130" s="2">
        <v>17</v>
      </c>
      <c r="F130" s="2">
        <v>7</v>
      </c>
      <c r="G130" s="2">
        <f t="shared" si="14"/>
        <v>6</v>
      </c>
      <c r="H130" s="2">
        <v>49</v>
      </c>
      <c r="I130" s="2">
        <v>30</v>
      </c>
      <c r="J130" s="3">
        <f t="shared" si="15"/>
        <v>58</v>
      </c>
    </row>
    <row r="131" spans="2:10" x14ac:dyDescent="0.25">
      <c r="B131">
        <v>4</v>
      </c>
      <c r="C131" s="2" t="s">
        <v>24</v>
      </c>
      <c r="D131" s="2">
        <v>30</v>
      </c>
      <c r="E131" s="2">
        <v>16</v>
      </c>
      <c r="F131" s="2">
        <v>6</v>
      </c>
      <c r="G131" s="2">
        <f t="shared" si="14"/>
        <v>8</v>
      </c>
      <c r="H131" s="2">
        <v>61</v>
      </c>
      <c r="I131" s="2">
        <v>36</v>
      </c>
      <c r="J131" s="3">
        <f t="shared" si="15"/>
        <v>54</v>
      </c>
    </row>
    <row r="132" spans="2:10" x14ac:dyDescent="0.25">
      <c r="B132">
        <v>5</v>
      </c>
      <c r="C132" s="2" t="s">
        <v>4</v>
      </c>
      <c r="D132" s="2">
        <v>30</v>
      </c>
      <c r="E132" s="2">
        <v>17</v>
      </c>
      <c r="F132" s="2">
        <v>3</v>
      </c>
      <c r="G132" s="2">
        <f t="shared" si="14"/>
        <v>10</v>
      </c>
      <c r="H132" s="2">
        <v>54</v>
      </c>
      <c r="I132" s="2">
        <v>48</v>
      </c>
      <c r="J132" s="3">
        <f t="shared" si="15"/>
        <v>54</v>
      </c>
    </row>
    <row r="133" spans="2:10" x14ac:dyDescent="0.25">
      <c r="B133">
        <v>6</v>
      </c>
      <c r="C133" s="2" t="s">
        <v>18</v>
      </c>
      <c r="D133" s="2">
        <v>30</v>
      </c>
      <c r="E133" s="2">
        <v>16</v>
      </c>
      <c r="F133" s="2">
        <v>5</v>
      </c>
      <c r="G133" s="2">
        <f t="shared" si="14"/>
        <v>9</v>
      </c>
      <c r="H133" s="2">
        <v>58</v>
      </c>
      <c r="I133" s="2">
        <v>43</v>
      </c>
      <c r="J133" s="3">
        <f t="shared" si="15"/>
        <v>53</v>
      </c>
    </row>
    <row r="134" spans="2:10" x14ac:dyDescent="0.25">
      <c r="B134">
        <v>7</v>
      </c>
      <c r="C134" s="2" t="s">
        <v>33</v>
      </c>
      <c r="D134" s="2">
        <v>30</v>
      </c>
      <c r="E134" s="2">
        <v>14</v>
      </c>
      <c r="F134" s="2">
        <v>6</v>
      </c>
      <c r="G134" s="2">
        <f t="shared" si="14"/>
        <v>10</v>
      </c>
      <c r="H134" s="2">
        <v>55</v>
      </c>
      <c r="I134" s="2">
        <v>51</v>
      </c>
      <c r="J134" s="3">
        <f t="shared" si="15"/>
        <v>48</v>
      </c>
    </row>
    <row r="135" spans="2:10" x14ac:dyDescent="0.25">
      <c r="B135">
        <v>8</v>
      </c>
      <c r="C135" s="2" t="s">
        <v>27</v>
      </c>
      <c r="D135" s="2">
        <v>30</v>
      </c>
      <c r="E135" s="2">
        <v>14</v>
      </c>
      <c r="F135" s="2">
        <v>4</v>
      </c>
      <c r="G135" s="2">
        <f t="shared" si="14"/>
        <v>12</v>
      </c>
      <c r="H135" s="2">
        <v>42</v>
      </c>
      <c r="I135" s="2">
        <v>47</v>
      </c>
      <c r="J135" s="3">
        <f t="shared" si="15"/>
        <v>46</v>
      </c>
    </row>
    <row r="136" spans="2:10" x14ac:dyDescent="0.25">
      <c r="B136">
        <v>9</v>
      </c>
      <c r="C136" s="2" t="s">
        <v>32</v>
      </c>
      <c r="D136" s="2">
        <v>30</v>
      </c>
      <c r="E136" s="2">
        <v>10</v>
      </c>
      <c r="F136" s="2">
        <v>10</v>
      </c>
      <c r="G136" s="2">
        <f t="shared" si="14"/>
        <v>10</v>
      </c>
      <c r="H136" s="2">
        <v>43</v>
      </c>
      <c r="I136" s="2">
        <v>33</v>
      </c>
      <c r="J136" s="3">
        <f t="shared" si="15"/>
        <v>40</v>
      </c>
    </row>
    <row r="137" spans="2:10" x14ac:dyDescent="0.25">
      <c r="B137">
        <v>10</v>
      </c>
      <c r="C137" s="2" t="s">
        <v>38</v>
      </c>
      <c r="D137" s="2">
        <v>30</v>
      </c>
      <c r="E137" s="2">
        <v>10</v>
      </c>
      <c r="F137" s="2">
        <v>6</v>
      </c>
      <c r="G137" s="2">
        <f t="shared" si="14"/>
        <v>14</v>
      </c>
      <c r="H137" s="2">
        <v>45</v>
      </c>
      <c r="I137" s="2">
        <v>55</v>
      </c>
      <c r="J137" s="3">
        <f t="shared" si="15"/>
        <v>36</v>
      </c>
    </row>
    <row r="138" spans="2:10" x14ac:dyDescent="0.25">
      <c r="B138">
        <v>11</v>
      </c>
      <c r="C138" s="2" t="s">
        <v>28</v>
      </c>
      <c r="D138" s="2">
        <v>30</v>
      </c>
      <c r="E138" s="2">
        <v>9</v>
      </c>
      <c r="F138" s="2">
        <v>6</v>
      </c>
      <c r="G138" s="2">
        <f t="shared" si="14"/>
        <v>15</v>
      </c>
      <c r="H138" s="2">
        <v>27</v>
      </c>
      <c r="I138" s="2">
        <v>44</v>
      </c>
      <c r="J138" s="3">
        <f t="shared" si="15"/>
        <v>33</v>
      </c>
    </row>
    <row r="139" spans="2:10" x14ac:dyDescent="0.25">
      <c r="B139">
        <v>12</v>
      </c>
      <c r="C139" s="2" t="s">
        <v>39</v>
      </c>
      <c r="D139" s="2">
        <v>30</v>
      </c>
      <c r="E139" s="2">
        <v>8</v>
      </c>
      <c r="F139" s="2">
        <v>7</v>
      </c>
      <c r="G139" s="2">
        <f t="shared" si="14"/>
        <v>15</v>
      </c>
      <c r="H139" s="2">
        <v>44</v>
      </c>
      <c r="I139" s="2">
        <v>55</v>
      </c>
      <c r="J139" s="3">
        <f t="shared" si="15"/>
        <v>31</v>
      </c>
    </row>
    <row r="140" spans="2:10" x14ac:dyDescent="0.25">
      <c r="B140">
        <v>13</v>
      </c>
      <c r="C140" s="2" t="s">
        <v>1</v>
      </c>
      <c r="D140" s="2">
        <v>30</v>
      </c>
      <c r="E140" s="2">
        <v>7</v>
      </c>
      <c r="F140" s="2">
        <v>9</v>
      </c>
      <c r="G140" s="2">
        <f t="shared" si="14"/>
        <v>14</v>
      </c>
      <c r="H140" s="2">
        <v>43</v>
      </c>
      <c r="I140" s="2">
        <v>51</v>
      </c>
      <c r="J140" s="3">
        <f t="shared" si="15"/>
        <v>30</v>
      </c>
    </row>
    <row r="141" spans="2:10" x14ac:dyDescent="0.25">
      <c r="B141">
        <v>14</v>
      </c>
      <c r="C141" s="2" t="s">
        <v>3</v>
      </c>
      <c r="D141" s="2">
        <v>30</v>
      </c>
      <c r="E141" s="2">
        <v>8</v>
      </c>
      <c r="F141" s="2">
        <v>6</v>
      </c>
      <c r="G141" s="2">
        <f t="shared" si="14"/>
        <v>16</v>
      </c>
      <c r="H141" s="2">
        <v>33</v>
      </c>
      <c r="I141" s="2">
        <v>48</v>
      </c>
      <c r="J141" s="3">
        <f t="shared" si="15"/>
        <v>30</v>
      </c>
    </row>
    <row r="142" spans="2:10" x14ac:dyDescent="0.25">
      <c r="B142">
        <v>15</v>
      </c>
      <c r="C142" s="2" t="s">
        <v>30</v>
      </c>
      <c r="D142" s="2">
        <v>30</v>
      </c>
      <c r="E142" s="2">
        <v>5</v>
      </c>
      <c r="F142" s="2">
        <v>7</v>
      </c>
      <c r="G142" s="2">
        <f t="shared" si="14"/>
        <v>18</v>
      </c>
      <c r="H142" s="2">
        <v>24</v>
      </c>
      <c r="I142" s="2">
        <v>50</v>
      </c>
      <c r="J142" s="3">
        <f t="shared" si="15"/>
        <v>22</v>
      </c>
    </row>
    <row r="143" spans="2:10" x14ac:dyDescent="0.25">
      <c r="B143">
        <v>16</v>
      </c>
      <c r="C143" s="2" t="s">
        <v>36</v>
      </c>
      <c r="D143" s="2">
        <v>30</v>
      </c>
      <c r="E143" s="2">
        <v>3</v>
      </c>
      <c r="F143" s="2">
        <v>10</v>
      </c>
      <c r="G143" s="2">
        <f t="shared" si="14"/>
        <v>17</v>
      </c>
      <c r="H143" s="2">
        <v>35</v>
      </c>
      <c r="I143" s="2">
        <v>60</v>
      </c>
      <c r="J143" s="3">
        <f t="shared" si="15"/>
        <v>19</v>
      </c>
    </row>
    <row r="145" spans="2:10" x14ac:dyDescent="0.25">
      <c r="B145" s="39" t="s">
        <v>40</v>
      </c>
      <c r="C145" s="39"/>
      <c r="D145" s="39"/>
      <c r="E145" s="39"/>
      <c r="F145" s="39"/>
      <c r="G145" s="39"/>
      <c r="H145" s="39"/>
      <c r="I145" s="39"/>
      <c r="J145" s="39"/>
    </row>
    <row r="146" spans="2:10" x14ac:dyDescent="0.25">
      <c r="B146">
        <v>1</v>
      </c>
      <c r="C146" s="2" t="s">
        <v>23</v>
      </c>
      <c r="D146" s="2">
        <v>30</v>
      </c>
      <c r="E146" s="2">
        <v>21</v>
      </c>
      <c r="F146" s="2">
        <v>3</v>
      </c>
      <c r="G146" s="2">
        <f>D146-E146-F146</f>
        <v>6</v>
      </c>
      <c r="H146" s="2">
        <v>86</v>
      </c>
      <c r="I146" s="2">
        <v>34</v>
      </c>
      <c r="J146" s="3">
        <f>E146*3+F146*1</f>
        <v>66</v>
      </c>
    </row>
    <row r="147" spans="2:10" x14ac:dyDescent="0.25">
      <c r="B147">
        <v>2</v>
      </c>
      <c r="C147" s="2" t="s">
        <v>24</v>
      </c>
      <c r="D147" s="2">
        <v>30</v>
      </c>
      <c r="E147" s="2">
        <v>19</v>
      </c>
      <c r="F147" s="2">
        <v>5</v>
      </c>
      <c r="G147" s="2">
        <f t="shared" ref="G147:G161" si="16">D147-E147-F147</f>
        <v>6</v>
      </c>
      <c r="H147" s="2">
        <v>70</v>
      </c>
      <c r="I147" s="2">
        <v>33</v>
      </c>
      <c r="J147" s="3">
        <f t="shared" ref="J147:J161" si="17">E147*3+F147*1</f>
        <v>62</v>
      </c>
    </row>
    <row r="148" spans="2:10" x14ac:dyDescent="0.25">
      <c r="B148">
        <v>3</v>
      </c>
      <c r="C148" s="2" t="s">
        <v>18</v>
      </c>
      <c r="D148" s="2">
        <v>30</v>
      </c>
      <c r="E148" s="2">
        <v>16</v>
      </c>
      <c r="F148" s="2">
        <v>6</v>
      </c>
      <c r="G148" s="2">
        <f t="shared" si="16"/>
        <v>8</v>
      </c>
      <c r="H148" s="2">
        <v>89</v>
      </c>
      <c r="I148" s="2">
        <v>53</v>
      </c>
      <c r="J148" s="3">
        <f t="shared" si="17"/>
        <v>54</v>
      </c>
    </row>
    <row r="149" spans="2:10" x14ac:dyDescent="0.25">
      <c r="B149">
        <v>4</v>
      </c>
      <c r="C149" s="2" t="s">
        <v>32</v>
      </c>
      <c r="D149" s="2">
        <v>30</v>
      </c>
      <c r="E149" s="2">
        <v>13</v>
      </c>
      <c r="F149" s="2">
        <v>8</v>
      </c>
      <c r="G149" s="2">
        <f t="shared" si="16"/>
        <v>9</v>
      </c>
      <c r="H149" s="2">
        <v>63</v>
      </c>
      <c r="I149" s="2">
        <v>42</v>
      </c>
      <c r="J149" s="3">
        <f t="shared" si="17"/>
        <v>47</v>
      </c>
    </row>
    <row r="150" spans="2:10" x14ac:dyDescent="0.25">
      <c r="B150">
        <v>5</v>
      </c>
      <c r="C150" s="2" t="s">
        <v>27</v>
      </c>
      <c r="D150" s="2">
        <v>30</v>
      </c>
      <c r="E150" s="2">
        <v>14</v>
      </c>
      <c r="F150" s="2">
        <v>5</v>
      </c>
      <c r="G150" s="2">
        <f t="shared" si="16"/>
        <v>11</v>
      </c>
      <c r="H150" s="2">
        <v>61</v>
      </c>
      <c r="I150" s="2">
        <v>45</v>
      </c>
      <c r="J150" s="3">
        <f t="shared" si="17"/>
        <v>47</v>
      </c>
    </row>
    <row r="151" spans="2:10" x14ac:dyDescent="0.25">
      <c r="B151">
        <v>6</v>
      </c>
      <c r="C151" s="2" t="s">
        <v>0</v>
      </c>
      <c r="D151" s="2">
        <v>30</v>
      </c>
      <c r="E151" s="2">
        <v>14</v>
      </c>
      <c r="F151" s="2">
        <v>4</v>
      </c>
      <c r="G151" s="2">
        <f t="shared" si="16"/>
        <v>12</v>
      </c>
      <c r="H151" s="2">
        <v>67</v>
      </c>
      <c r="I151" s="2">
        <v>43</v>
      </c>
      <c r="J151" s="3">
        <f t="shared" si="17"/>
        <v>46</v>
      </c>
    </row>
    <row r="152" spans="2:10" x14ac:dyDescent="0.25">
      <c r="B152">
        <v>7</v>
      </c>
      <c r="C152" s="2" t="s">
        <v>33</v>
      </c>
      <c r="D152" s="2">
        <v>30</v>
      </c>
      <c r="E152" s="2">
        <v>13</v>
      </c>
      <c r="F152" s="2">
        <v>6</v>
      </c>
      <c r="G152" s="2">
        <f t="shared" si="16"/>
        <v>11</v>
      </c>
      <c r="H152" s="2">
        <v>67</v>
      </c>
      <c r="I152" s="2">
        <v>47</v>
      </c>
      <c r="J152" s="3">
        <f t="shared" si="17"/>
        <v>45</v>
      </c>
    </row>
    <row r="153" spans="2:10" x14ac:dyDescent="0.25">
      <c r="B153">
        <v>8</v>
      </c>
      <c r="C153" s="2" t="s">
        <v>3</v>
      </c>
      <c r="D153" s="2">
        <v>30</v>
      </c>
      <c r="E153" s="2">
        <v>11</v>
      </c>
      <c r="F153" s="2">
        <v>9</v>
      </c>
      <c r="G153" s="2">
        <f t="shared" si="16"/>
        <v>10</v>
      </c>
      <c r="H153" s="2">
        <v>54</v>
      </c>
      <c r="I153" s="2">
        <v>53</v>
      </c>
      <c r="J153" s="3">
        <f t="shared" si="17"/>
        <v>42</v>
      </c>
    </row>
    <row r="154" spans="2:10" x14ac:dyDescent="0.25">
      <c r="B154">
        <v>9</v>
      </c>
      <c r="C154" s="2" t="s">
        <v>28</v>
      </c>
      <c r="D154" s="2">
        <v>30</v>
      </c>
      <c r="E154" s="2">
        <v>10</v>
      </c>
      <c r="F154" s="2">
        <v>10</v>
      </c>
      <c r="G154" s="2">
        <f t="shared" si="16"/>
        <v>10</v>
      </c>
      <c r="H154" s="2">
        <v>38</v>
      </c>
      <c r="I154" s="2">
        <v>43</v>
      </c>
      <c r="J154" s="3">
        <f t="shared" si="17"/>
        <v>40</v>
      </c>
    </row>
    <row r="155" spans="2:10" x14ac:dyDescent="0.25">
      <c r="B155">
        <v>10</v>
      </c>
      <c r="C155" s="2" t="s">
        <v>25</v>
      </c>
      <c r="D155" s="2">
        <v>30</v>
      </c>
      <c r="E155" s="2">
        <v>11</v>
      </c>
      <c r="F155" s="2">
        <v>5</v>
      </c>
      <c r="G155" s="2">
        <f t="shared" si="16"/>
        <v>14</v>
      </c>
      <c r="H155" s="2">
        <v>58</v>
      </c>
      <c r="I155" s="2">
        <v>48</v>
      </c>
      <c r="J155" s="3">
        <f t="shared" si="17"/>
        <v>38</v>
      </c>
    </row>
    <row r="156" spans="2:10" x14ac:dyDescent="0.25">
      <c r="B156">
        <v>11</v>
      </c>
      <c r="C156" s="2" t="s">
        <v>38</v>
      </c>
      <c r="D156" s="2">
        <v>30</v>
      </c>
      <c r="E156" s="2">
        <v>12</v>
      </c>
      <c r="F156" s="2">
        <v>1</v>
      </c>
      <c r="G156" s="2">
        <f t="shared" si="16"/>
        <v>17</v>
      </c>
      <c r="H156" s="2">
        <v>44</v>
      </c>
      <c r="I156" s="2">
        <v>57</v>
      </c>
      <c r="J156" s="3">
        <f t="shared" si="17"/>
        <v>37</v>
      </c>
    </row>
    <row r="157" spans="2:10" x14ac:dyDescent="0.25">
      <c r="B157">
        <v>12</v>
      </c>
      <c r="C157" s="2" t="s">
        <v>6</v>
      </c>
      <c r="D157" s="2">
        <v>30</v>
      </c>
      <c r="E157" s="2">
        <v>9</v>
      </c>
      <c r="F157" s="2">
        <v>9</v>
      </c>
      <c r="G157" s="2">
        <f t="shared" si="16"/>
        <v>12</v>
      </c>
      <c r="H157" s="2">
        <v>48</v>
      </c>
      <c r="I157" s="2">
        <v>52</v>
      </c>
      <c r="J157" s="3">
        <f t="shared" si="17"/>
        <v>36</v>
      </c>
    </row>
    <row r="158" spans="2:10" x14ac:dyDescent="0.25">
      <c r="B158">
        <v>13</v>
      </c>
      <c r="C158" s="2" t="s">
        <v>4</v>
      </c>
      <c r="D158" s="2">
        <v>30</v>
      </c>
      <c r="E158" s="2">
        <v>9</v>
      </c>
      <c r="F158" s="2">
        <v>6</v>
      </c>
      <c r="G158" s="2">
        <f t="shared" si="16"/>
        <v>15</v>
      </c>
      <c r="H158" s="2">
        <v>33</v>
      </c>
      <c r="I158" s="2">
        <v>48</v>
      </c>
      <c r="J158" s="3">
        <f t="shared" si="17"/>
        <v>33</v>
      </c>
    </row>
    <row r="159" spans="2:10" x14ac:dyDescent="0.25">
      <c r="B159">
        <v>14</v>
      </c>
      <c r="C159" s="2" t="s">
        <v>41</v>
      </c>
      <c r="D159" s="2">
        <v>30</v>
      </c>
      <c r="E159" s="2">
        <v>7</v>
      </c>
      <c r="F159" s="2">
        <v>7</v>
      </c>
      <c r="G159" s="2">
        <f t="shared" si="16"/>
        <v>16</v>
      </c>
      <c r="H159" s="2">
        <v>44</v>
      </c>
      <c r="I159" s="2">
        <v>73</v>
      </c>
      <c r="J159" s="3">
        <f t="shared" si="17"/>
        <v>28</v>
      </c>
    </row>
    <row r="160" spans="2:10" x14ac:dyDescent="0.25">
      <c r="B160">
        <v>15</v>
      </c>
      <c r="C160" t="s">
        <v>34</v>
      </c>
      <c r="D160">
        <v>27</v>
      </c>
      <c r="E160">
        <v>3</v>
      </c>
      <c r="F160">
        <v>0</v>
      </c>
      <c r="G160">
        <f t="shared" si="16"/>
        <v>24</v>
      </c>
      <c r="H160">
        <v>11</v>
      </c>
      <c r="I160">
        <v>167</v>
      </c>
      <c r="J160" s="1">
        <f t="shared" si="17"/>
        <v>9</v>
      </c>
    </row>
    <row r="161" spans="2:10" x14ac:dyDescent="0.25">
      <c r="B161">
        <v>16</v>
      </c>
      <c r="C161" t="s">
        <v>34</v>
      </c>
      <c r="D161">
        <v>0</v>
      </c>
      <c r="E161">
        <v>0</v>
      </c>
      <c r="F161">
        <v>0</v>
      </c>
      <c r="G161">
        <f t="shared" si="16"/>
        <v>0</v>
      </c>
      <c r="H161">
        <v>0</v>
      </c>
      <c r="I161">
        <v>0</v>
      </c>
      <c r="J161" s="1">
        <f t="shared" si="17"/>
        <v>0</v>
      </c>
    </row>
    <row r="163" spans="2:10" x14ac:dyDescent="0.25">
      <c r="B163" s="39" t="s">
        <v>42</v>
      </c>
      <c r="C163" s="39"/>
      <c r="D163" s="39"/>
      <c r="E163" s="39"/>
      <c r="F163" s="39"/>
      <c r="G163" s="39"/>
      <c r="H163" s="39"/>
      <c r="I163" s="39"/>
      <c r="J163" s="39"/>
    </row>
    <row r="164" spans="2:10" x14ac:dyDescent="0.25">
      <c r="B164">
        <v>1</v>
      </c>
      <c r="C164" s="2" t="s">
        <v>43</v>
      </c>
      <c r="D164" s="2">
        <v>30</v>
      </c>
      <c r="E164" s="2">
        <v>21</v>
      </c>
      <c r="F164" s="2">
        <v>7</v>
      </c>
      <c r="G164" s="2">
        <f>D164-E164-F164</f>
        <v>2</v>
      </c>
      <c r="H164" s="2">
        <v>73</v>
      </c>
      <c r="I164" s="2">
        <v>21</v>
      </c>
      <c r="J164" s="3">
        <f>E164*3+F164*1</f>
        <v>70</v>
      </c>
    </row>
    <row r="165" spans="2:10" x14ac:dyDescent="0.25">
      <c r="B165">
        <v>2</v>
      </c>
      <c r="C165" s="2" t="s">
        <v>24</v>
      </c>
      <c r="D165" s="2">
        <v>30</v>
      </c>
      <c r="E165" s="2">
        <v>21</v>
      </c>
      <c r="F165" s="2">
        <v>6</v>
      </c>
      <c r="G165" s="2">
        <f t="shared" ref="G165:G179" si="18">D165-E165-F165</f>
        <v>3</v>
      </c>
      <c r="H165" s="2">
        <v>69</v>
      </c>
      <c r="I165" s="2">
        <v>17</v>
      </c>
      <c r="J165" s="3">
        <f t="shared" ref="J165:J179" si="19">E165*3+F165*1</f>
        <v>69</v>
      </c>
    </row>
    <row r="166" spans="2:10" x14ac:dyDescent="0.25">
      <c r="B166">
        <v>3</v>
      </c>
      <c r="C166" s="2" t="s">
        <v>18</v>
      </c>
      <c r="D166" s="2">
        <v>30</v>
      </c>
      <c r="E166" s="2">
        <v>21</v>
      </c>
      <c r="F166" s="2">
        <v>4</v>
      </c>
      <c r="G166" s="2">
        <f t="shared" si="18"/>
        <v>5</v>
      </c>
      <c r="H166" s="2">
        <v>92</v>
      </c>
      <c r="I166" s="2">
        <v>32</v>
      </c>
      <c r="J166" s="3">
        <f t="shared" si="19"/>
        <v>67</v>
      </c>
    </row>
    <row r="167" spans="2:10" x14ac:dyDescent="0.25">
      <c r="B167">
        <v>4</v>
      </c>
      <c r="C167" s="2" t="s">
        <v>23</v>
      </c>
      <c r="D167" s="2">
        <v>30</v>
      </c>
      <c r="E167" s="2">
        <v>15</v>
      </c>
      <c r="F167" s="2">
        <v>8</v>
      </c>
      <c r="G167" s="2">
        <f t="shared" si="18"/>
        <v>7</v>
      </c>
      <c r="H167" s="2">
        <v>60</v>
      </c>
      <c r="I167" s="2">
        <v>27</v>
      </c>
      <c r="J167" s="3">
        <f t="shared" si="19"/>
        <v>53</v>
      </c>
    </row>
    <row r="168" spans="2:10" x14ac:dyDescent="0.25">
      <c r="B168">
        <v>5</v>
      </c>
      <c r="C168" s="2" t="s">
        <v>0</v>
      </c>
      <c r="D168" s="2">
        <v>30</v>
      </c>
      <c r="E168" s="2">
        <v>15</v>
      </c>
      <c r="F168" s="2">
        <v>6</v>
      </c>
      <c r="G168" s="2">
        <f t="shared" si="18"/>
        <v>9</v>
      </c>
      <c r="H168" s="2">
        <v>73</v>
      </c>
      <c r="I168" s="2">
        <v>36</v>
      </c>
      <c r="J168" s="3">
        <f t="shared" si="19"/>
        <v>51</v>
      </c>
    </row>
    <row r="169" spans="2:10" x14ac:dyDescent="0.25">
      <c r="B169">
        <v>6</v>
      </c>
      <c r="C169" s="2" t="s">
        <v>33</v>
      </c>
      <c r="D169" s="2">
        <v>30</v>
      </c>
      <c r="E169" s="2">
        <v>14</v>
      </c>
      <c r="F169" s="2">
        <v>5</v>
      </c>
      <c r="G169" s="2">
        <f t="shared" si="18"/>
        <v>11</v>
      </c>
      <c r="H169" s="2">
        <v>53</v>
      </c>
      <c r="I169" s="2">
        <v>36</v>
      </c>
      <c r="J169" s="3">
        <f t="shared" si="19"/>
        <v>47</v>
      </c>
    </row>
    <row r="170" spans="2:10" x14ac:dyDescent="0.25">
      <c r="B170">
        <v>7</v>
      </c>
      <c r="C170" s="2" t="s">
        <v>27</v>
      </c>
      <c r="D170" s="2">
        <v>30</v>
      </c>
      <c r="E170" s="2">
        <v>11</v>
      </c>
      <c r="F170" s="2">
        <v>10</v>
      </c>
      <c r="G170" s="2">
        <f t="shared" si="18"/>
        <v>9</v>
      </c>
      <c r="H170" s="2">
        <v>47</v>
      </c>
      <c r="I170" s="2">
        <v>27</v>
      </c>
      <c r="J170" s="3">
        <f t="shared" si="19"/>
        <v>43</v>
      </c>
    </row>
    <row r="171" spans="2:10" x14ac:dyDescent="0.25">
      <c r="B171">
        <v>8</v>
      </c>
      <c r="C171" s="2" t="s">
        <v>4</v>
      </c>
      <c r="D171" s="2">
        <v>30</v>
      </c>
      <c r="E171" s="2">
        <v>12</v>
      </c>
      <c r="F171" s="2">
        <v>5</v>
      </c>
      <c r="G171" s="2">
        <f t="shared" si="18"/>
        <v>13</v>
      </c>
      <c r="H171" s="2">
        <v>48</v>
      </c>
      <c r="I171" s="2">
        <v>46</v>
      </c>
      <c r="J171" s="3">
        <f t="shared" si="19"/>
        <v>41</v>
      </c>
    </row>
    <row r="172" spans="2:10" x14ac:dyDescent="0.25">
      <c r="B172">
        <v>9</v>
      </c>
      <c r="C172" s="2" t="s">
        <v>32</v>
      </c>
      <c r="D172" s="2">
        <v>30</v>
      </c>
      <c r="E172" s="2">
        <v>11</v>
      </c>
      <c r="F172" s="2">
        <v>7</v>
      </c>
      <c r="G172" s="2">
        <f t="shared" si="18"/>
        <v>12</v>
      </c>
      <c r="H172" s="2">
        <v>50</v>
      </c>
      <c r="I172" s="2">
        <v>42</v>
      </c>
      <c r="J172" s="3">
        <f t="shared" si="19"/>
        <v>40</v>
      </c>
    </row>
    <row r="173" spans="2:10" x14ac:dyDescent="0.25">
      <c r="B173">
        <v>10</v>
      </c>
      <c r="C173" s="2" t="s">
        <v>9</v>
      </c>
      <c r="D173" s="2">
        <v>30</v>
      </c>
      <c r="E173" s="2">
        <v>11</v>
      </c>
      <c r="F173" s="2">
        <v>5</v>
      </c>
      <c r="G173" s="2">
        <f t="shared" si="18"/>
        <v>14</v>
      </c>
      <c r="H173" s="2">
        <v>42</v>
      </c>
      <c r="I173" s="2">
        <v>40</v>
      </c>
      <c r="J173" s="3">
        <f t="shared" si="19"/>
        <v>38</v>
      </c>
    </row>
    <row r="174" spans="2:10" x14ac:dyDescent="0.25">
      <c r="B174">
        <v>11</v>
      </c>
      <c r="C174" s="2" t="s">
        <v>3</v>
      </c>
      <c r="D174" s="2">
        <v>30</v>
      </c>
      <c r="E174" s="2">
        <v>10</v>
      </c>
      <c r="F174" s="2">
        <v>4</v>
      </c>
      <c r="G174" s="2">
        <f t="shared" si="18"/>
        <v>16</v>
      </c>
      <c r="H174" s="2">
        <v>41</v>
      </c>
      <c r="I174" s="2">
        <v>54</v>
      </c>
      <c r="J174" s="3">
        <f t="shared" si="19"/>
        <v>34</v>
      </c>
    </row>
    <row r="175" spans="2:10" x14ac:dyDescent="0.25">
      <c r="B175">
        <v>12</v>
      </c>
      <c r="C175" s="2" t="s">
        <v>25</v>
      </c>
      <c r="D175" s="2">
        <v>30</v>
      </c>
      <c r="E175" s="2">
        <v>9</v>
      </c>
      <c r="F175" s="2">
        <v>6</v>
      </c>
      <c r="G175" s="2">
        <f t="shared" si="18"/>
        <v>15</v>
      </c>
      <c r="H175" s="2">
        <v>44</v>
      </c>
      <c r="I175" s="2">
        <v>51</v>
      </c>
      <c r="J175" s="3">
        <f t="shared" si="19"/>
        <v>33</v>
      </c>
    </row>
    <row r="176" spans="2:10" x14ac:dyDescent="0.25">
      <c r="B176">
        <v>13</v>
      </c>
      <c r="C176" s="2" t="s">
        <v>41</v>
      </c>
      <c r="D176" s="2">
        <v>30</v>
      </c>
      <c r="E176" s="2">
        <v>9</v>
      </c>
      <c r="F176" s="2">
        <v>4</v>
      </c>
      <c r="G176" s="2">
        <f t="shared" si="18"/>
        <v>17</v>
      </c>
      <c r="H176" s="2">
        <v>42</v>
      </c>
      <c r="I176" s="2">
        <v>53</v>
      </c>
      <c r="J176" s="3">
        <f t="shared" si="19"/>
        <v>31</v>
      </c>
    </row>
    <row r="177" spans="2:10" x14ac:dyDescent="0.25">
      <c r="B177">
        <v>14</v>
      </c>
      <c r="C177" s="2" t="s">
        <v>38</v>
      </c>
      <c r="D177" s="2">
        <v>30</v>
      </c>
      <c r="E177" s="2">
        <v>4</v>
      </c>
      <c r="F177" s="2">
        <v>3</v>
      </c>
      <c r="G177" s="2">
        <f t="shared" si="18"/>
        <v>23</v>
      </c>
      <c r="H177" s="2">
        <v>26</v>
      </c>
      <c r="I177" s="2">
        <v>88</v>
      </c>
      <c r="J177" s="3">
        <f t="shared" si="19"/>
        <v>15</v>
      </c>
    </row>
    <row r="178" spans="2:10" x14ac:dyDescent="0.25">
      <c r="B178">
        <v>15</v>
      </c>
      <c r="C178" t="s">
        <v>34</v>
      </c>
      <c r="D178">
        <v>0</v>
      </c>
      <c r="E178">
        <v>0</v>
      </c>
      <c r="F178">
        <v>0</v>
      </c>
      <c r="G178">
        <f t="shared" si="18"/>
        <v>0</v>
      </c>
      <c r="H178">
        <v>0</v>
      </c>
      <c r="I178">
        <v>0</v>
      </c>
      <c r="J178" s="1">
        <f t="shared" si="19"/>
        <v>0</v>
      </c>
    </row>
    <row r="179" spans="2:10" x14ac:dyDescent="0.25">
      <c r="B179">
        <v>16</v>
      </c>
      <c r="C179" t="s">
        <v>34</v>
      </c>
      <c r="D179">
        <v>18</v>
      </c>
      <c r="E179">
        <v>0</v>
      </c>
      <c r="F179">
        <v>0</v>
      </c>
      <c r="G179">
        <f t="shared" si="18"/>
        <v>18</v>
      </c>
      <c r="H179">
        <v>0</v>
      </c>
      <c r="I179">
        <v>180</v>
      </c>
      <c r="J179" s="1">
        <f t="shared" si="19"/>
        <v>0</v>
      </c>
    </row>
    <row r="181" spans="2:10" x14ac:dyDescent="0.25">
      <c r="B181" s="39" t="s">
        <v>44</v>
      </c>
      <c r="C181" s="39"/>
      <c r="D181" s="39"/>
      <c r="E181" s="39"/>
      <c r="F181" s="39"/>
      <c r="G181" s="39"/>
      <c r="H181" s="39"/>
      <c r="I181" s="39"/>
      <c r="J181" s="39"/>
    </row>
    <row r="182" spans="2:10" x14ac:dyDescent="0.25">
      <c r="B182">
        <v>1</v>
      </c>
      <c r="C182" s="2" t="s">
        <v>24</v>
      </c>
      <c r="D182" s="2">
        <v>30</v>
      </c>
      <c r="E182" s="2">
        <v>24</v>
      </c>
      <c r="F182" s="2">
        <v>4</v>
      </c>
      <c r="G182" s="2">
        <f>D182-E182-F182</f>
        <v>2</v>
      </c>
      <c r="H182" s="2">
        <v>83</v>
      </c>
      <c r="I182" s="2">
        <v>15</v>
      </c>
      <c r="J182" s="3">
        <f>E182*3+F182*1</f>
        <v>76</v>
      </c>
    </row>
    <row r="183" spans="2:10" x14ac:dyDescent="0.25">
      <c r="B183">
        <v>2</v>
      </c>
      <c r="C183" s="2" t="s">
        <v>23</v>
      </c>
      <c r="D183" s="2">
        <v>30</v>
      </c>
      <c r="E183" s="2">
        <v>23</v>
      </c>
      <c r="F183" s="2">
        <v>4</v>
      </c>
      <c r="G183" s="2">
        <f t="shared" ref="G183:G197" si="20">D183-E183-F183</f>
        <v>3</v>
      </c>
      <c r="H183" s="2">
        <v>106</v>
      </c>
      <c r="I183" s="2">
        <v>18</v>
      </c>
      <c r="J183" s="3">
        <f t="shared" ref="J183:J197" si="21">E183*3+F183*1</f>
        <v>73</v>
      </c>
    </row>
    <row r="184" spans="2:10" x14ac:dyDescent="0.25">
      <c r="B184">
        <v>3</v>
      </c>
      <c r="C184" s="2" t="s">
        <v>18</v>
      </c>
      <c r="D184" s="2">
        <v>30</v>
      </c>
      <c r="E184" s="2">
        <v>21</v>
      </c>
      <c r="F184" s="2">
        <v>3</v>
      </c>
      <c r="G184" s="2">
        <f t="shared" si="20"/>
        <v>6</v>
      </c>
      <c r="H184" s="2">
        <v>104</v>
      </c>
      <c r="I184" s="2">
        <v>30</v>
      </c>
      <c r="J184" s="3">
        <f t="shared" si="21"/>
        <v>66</v>
      </c>
    </row>
    <row r="185" spans="2:10" x14ac:dyDescent="0.25">
      <c r="B185">
        <v>4</v>
      </c>
      <c r="C185" s="2" t="s">
        <v>32</v>
      </c>
      <c r="D185" s="2">
        <v>30</v>
      </c>
      <c r="E185" s="2">
        <v>19</v>
      </c>
      <c r="F185" s="2">
        <v>6</v>
      </c>
      <c r="G185" s="2">
        <f t="shared" si="20"/>
        <v>5</v>
      </c>
      <c r="H185" s="2">
        <v>83</v>
      </c>
      <c r="I185" s="2">
        <v>22</v>
      </c>
      <c r="J185" s="3">
        <f t="shared" si="21"/>
        <v>63</v>
      </c>
    </row>
    <row r="186" spans="2:10" x14ac:dyDescent="0.25">
      <c r="B186">
        <v>5</v>
      </c>
      <c r="C186" s="2" t="s">
        <v>27</v>
      </c>
      <c r="D186" s="2">
        <v>30</v>
      </c>
      <c r="E186" s="2">
        <v>19</v>
      </c>
      <c r="F186" s="2">
        <v>4</v>
      </c>
      <c r="G186" s="2">
        <f t="shared" si="20"/>
        <v>7</v>
      </c>
      <c r="H186" s="2">
        <v>92</v>
      </c>
      <c r="I186" s="2">
        <v>29</v>
      </c>
      <c r="J186" s="3">
        <f t="shared" si="21"/>
        <v>61</v>
      </c>
    </row>
    <row r="187" spans="2:10" x14ac:dyDescent="0.25">
      <c r="B187">
        <v>6</v>
      </c>
      <c r="C187" s="2" t="s">
        <v>43</v>
      </c>
      <c r="D187" s="2">
        <v>30</v>
      </c>
      <c r="E187" s="2">
        <v>16</v>
      </c>
      <c r="F187" s="2">
        <v>5</v>
      </c>
      <c r="G187" s="2">
        <f t="shared" si="20"/>
        <v>9</v>
      </c>
      <c r="H187" s="2">
        <v>73</v>
      </c>
      <c r="I187" s="2">
        <v>30</v>
      </c>
      <c r="J187" s="3">
        <f t="shared" si="21"/>
        <v>53</v>
      </c>
    </row>
    <row r="188" spans="2:10" x14ac:dyDescent="0.25">
      <c r="B188">
        <v>7</v>
      </c>
      <c r="C188" s="2" t="s">
        <v>33</v>
      </c>
      <c r="D188" s="2">
        <v>30</v>
      </c>
      <c r="E188" s="2">
        <v>13</v>
      </c>
      <c r="F188" s="2">
        <v>7</v>
      </c>
      <c r="G188" s="2">
        <f t="shared" si="20"/>
        <v>10</v>
      </c>
      <c r="H188" s="2">
        <v>71</v>
      </c>
      <c r="I188" s="2">
        <v>39</v>
      </c>
      <c r="J188" s="3">
        <f t="shared" si="21"/>
        <v>46</v>
      </c>
    </row>
    <row r="189" spans="2:10" x14ac:dyDescent="0.25">
      <c r="B189">
        <v>8</v>
      </c>
      <c r="C189" s="2" t="s">
        <v>25</v>
      </c>
      <c r="D189" s="2">
        <v>30</v>
      </c>
      <c r="E189" s="2">
        <v>13</v>
      </c>
      <c r="F189" s="2">
        <v>6</v>
      </c>
      <c r="G189" s="2">
        <f t="shared" si="20"/>
        <v>11</v>
      </c>
      <c r="H189" s="2">
        <v>74</v>
      </c>
      <c r="I189" s="2">
        <v>50</v>
      </c>
      <c r="J189" s="3">
        <f t="shared" si="21"/>
        <v>45</v>
      </c>
    </row>
    <row r="190" spans="2:10" x14ac:dyDescent="0.25">
      <c r="B190">
        <v>9</v>
      </c>
      <c r="C190" s="2" t="s">
        <v>9</v>
      </c>
      <c r="D190" s="2">
        <v>30</v>
      </c>
      <c r="E190" s="2">
        <v>10</v>
      </c>
      <c r="F190" s="2">
        <v>7</v>
      </c>
      <c r="G190" s="2">
        <f t="shared" si="20"/>
        <v>13</v>
      </c>
      <c r="H190" s="2">
        <v>64</v>
      </c>
      <c r="I190" s="2">
        <v>45</v>
      </c>
      <c r="J190" s="3">
        <f t="shared" si="21"/>
        <v>37</v>
      </c>
    </row>
    <row r="191" spans="2:10" x14ac:dyDescent="0.25">
      <c r="B191">
        <v>10</v>
      </c>
      <c r="C191" s="2" t="s">
        <v>4</v>
      </c>
      <c r="D191" s="2">
        <v>30</v>
      </c>
      <c r="E191" s="2">
        <v>10</v>
      </c>
      <c r="F191" s="2">
        <v>7</v>
      </c>
      <c r="G191" s="2">
        <f t="shared" si="20"/>
        <v>13</v>
      </c>
      <c r="H191" s="2">
        <v>52</v>
      </c>
      <c r="I191" s="2">
        <v>56</v>
      </c>
      <c r="J191" s="3">
        <f t="shared" si="21"/>
        <v>37</v>
      </c>
    </row>
    <row r="192" spans="2:10" x14ac:dyDescent="0.25">
      <c r="B192">
        <v>11</v>
      </c>
      <c r="C192" s="2" t="s">
        <v>3</v>
      </c>
      <c r="D192" s="2">
        <v>30</v>
      </c>
      <c r="E192" s="2">
        <v>10</v>
      </c>
      <c r="F192" s="2">
        <v>5</v>
      </c>
      <c r="G192" s="2">
        <f t="shared" si="20"/>
        <v>15</v>
      </c>
      <c r="H192" s="2">
        <v>52</v>
      </c>
      <c r="I192" s="2">
        <v>58</v>
      </c>
      <c r="J192" s="3">
        <f t="shared" si="21"/>
        <v>35</v>
      </c>
    </row>
    <row r="193" spans="2:10" x14ac:dyDescent="0.25">
      <c r="B193">
        <v>12</v>
      </c>
      <c r="C193" s="2" t="s">
        <v>45</v>
      </c>
      <c r="D193" s="2">
        <v>30</v>
      </c>
      <c r="E193" s="2">
        <v>9</v>
      </c>
      <c r="F193" s="2">
        <v>4</v>
      </c>
      <c r="G193" s="2">
        <f t="shared" si="20"/>
        <v>17</v>
      </c>
      <c r="H193" s="2">
        <v>45</v>
      </c>
      <c r="I193" s="2">
        <v>57</v>
      </c>
      <c r="J193" s="3">
        <f t="shared" si="21"/>
        <v>31</v>
      </c>
    </row>
    <row r="194" spans="2:10" x14ac:dyDescent="0.25">
      <c r="B194">
        <v>13</v>
      </c>
      <c r="C194" s="2" t="s">
        <v>41</v>
      </c>
      <c r="D194" s="2">
        <v>30</v>
      </c>
      <c r="E194" s="2">
        <v>9</v>
      </c>
      <c r="F194" s="2">
        <v>4</v>
      </c>
      <c r="G194" s="2">
        <f t="shared" si="20"/>
        <v>17</v>
      </c>
      <c r="H194" s="2">
        <v>57</v>
      </c>
      <c r="I194" s="2">
        <v>73</v>
      </c>
      <c r="J194" s="3">
        <f t="shared" si="21"/>
        <v>31</v>
      </c>
    </row>
    <row r="195" spans="2:10" x14ac:dyDescent="0.25">
      <c r="B195">
        <v>14</v>
      </c>
      <c r="C195" s="2" t="s">
        <v>38</v>
      </c>
      <c r="D195" s="2">
        <v>30</v>
      </c>
      <c r="E195" s="2">
        <v>3</v>
      </c>
      <c r="F195" s="2">
        <v>1</v>
      </c>
      <c r="G195" s="2">
        <f t="shared" si="20"/>
        <v>26</v>
      </c>
      <c r="H195" s="2">
        <v>23</v>
      </c>
      <c r="I195" s="2">
        <v>122</v>
      </c>
      <c r="J195" s="3">
        <f t="shared" si="21"/>
        <v>10</v>
      </c>
    </row>
    <row r="196" spans="2:10" x14ac:dyDescent="0.25">
      <c r="B196">
        <v>15</v>
      </c>
      <c r="C196" t="s">
        <v>34</v>
      </c>
      <c r="D196">
        <v>21</v>
      </c>
      <c r="E196">
        <v>2</v>
      </c>
      <c r="F196">
        <v>0</v>
      </c>
      <c r="G196">
        <f t="shared" si="20"/>
        <v>19</v>
      </c>
      <c r="H196">
        <v>5</v>
      </c>
      <c r="I196">
        <v>177</v>
      </c>
      <c r="J196" s="1">
        <f t="shared" si="21"/>
        <v>6</v>
      </c>
    </row>
    <row r="197" spans="2:10" x14ac:dyDescent="0.25">
      <c r="B197">
        <v>16</v>
      </c>
      <c r="C197" t="s">
        <v>34</v>
      </c>
      <c r="D197">
        <v>14</v>
      </c>
      <c r="E197">
        <v>1</v>
      </c>
      <c r="F197">
        <v>0</v>
      </c>
      <c r="G197">
        <f t="shared" si="20"/>
        <v>13</v>
      </c>
      <c r="H197">
        <v>3</v>
      </c>
      <c r="I197">
        <v>123</v>
      </c>
      <c r="J197" s="1">
        <f t="shared" si="21"/>
        <v>3</v>
      </c>
    </row>
    <row r="199" spans="2:10" x14ac:dyDescent="0.25">
      <c r="B199" s="39" t="s">
        <v>46</v>
      </c>
      <c r="C199" s="39"/>
      <c r="D199" s="39"/>
      <c r="E199" s="39"/>
      <c r="F199" s="39"/>
      <c r="G199" s="39"/>
      <c r="H199" s="39"/>
      <c r="I199" s="39"/>
      <c r="J199" s="39"/>
    </row>
    <row r="200" spans="2:10" x14ac:dyDescent="0.25">
      <c r="B200">
        <v>1</v>
      </c>
      <c r="C200" s="2" t="s">
        <v>24</v>
      </c>
      <c r="D200" s="2">
        <v>30</v>
      </c>
      <c r="E200" s="2">
        <v>27</v>
      </c>
      <c r="F200" s="2">
        <v>3</v>
      </c>
      <c r="G200" s="2">
        <f>D200-E200-F200</f>
        <v>0</v>
      </c>
      <c r="H200" s="2">
        <v>115</v>
      </c>
      <c r="I200" s="2">
        <v>8</v>
      </c>
      <c r="J200" s="3">
        <f>E200*3+F200*1</f>
        <v>84</v>
      </c>
    </row>
    <row r="201" spans="2:10" x14ac:dyDescent="0.25">
      <c r="B201">
        <v>2</v>
      </c>
      <c r="C201" s="2" t="s">
        <v>18</v>
      </c>
      <c r="D201" s="2">
        <v>30</v>
      </c>
      <c r="E201" s="2">
        <v>21</v>
      </c>
      <c r="F201" s="2">
        <v>5</v>
      </c>
      <c r="G201" s="2">
        <f t="shared" ref="G201:G215" si="22">D201-E201-F201</f>
        <v>4</v>
      </c>
      <c r="H201" s="2">
        <v>142</v>
      </c>
      <c r="I201" s="2">
        <v>28</v>
      </c>
      <c r="J201" s="3">
        <f t="shared" ref="J201:J215" si="23">E201*3+F201*1</f>
        <v>68</v>
      </c>
    </row>
    <row r="202" spans="2:10" x14ac:dyDescent="0.25">
      <c r="B202">
        <v>3</v>
      </c>
      <c r="C202" s="2" t="s">
        <v>33</v>
      </c>
      <c r="D202" s="2">
        <v>30</v>
      </c>
      <c r="E202" s="2">
        <v>21</v>
      </c>
      <c r="F202" s="2">
        <v>3</v>
      </c>
      <c r="G202" s="2">
        <f t="shared" si="22"/>
        <v>6</v>
      </c>
      <c r="H202" s="2">
        <v>121</v>
      </c>
      <c r="I202" s="2">
        <v>25</v>
      </c>
      <c r="J202" s="3">
        <f t="shared" si="23"/>
        <v>66</v>
      </c>
    </row>
    <row r="203" spans="2:10" x14ac:dyDescent="0.25">
      <c r="B203">
        <v>4</v>
      </c>
      <c r="C203" s="2" t="s">
        <v>23</v>
      </c>
      <c r="D203" s="2">
        <v>30</v>
      </c>
      <c r="E203" s="2">
        <v>20</v>
      </c>
      <c r="F203" s="2">
        <v>5</v>
      </c>
      <c r="G203" s="2">
        <f t="shared" si="22"/>
        <v>5</v>
      </c>
      <c r="H203" s="2">
        <v>116</v>
      </c>
      <c r="I203" s="2">
        <v>25</v>
      </c>
      <c r="J203" s="3">
        <f t="shared" si="23"/>
        <v>65</v>
      </c>
    </row>
    <row r="204" spans="2:10" x14ac:dyDescent="0.25">
      <c r="B204">
        <v>5</v>
      </c>
      <c r="C204" s="2" t="s">
        <v>32</v>
      </c>
      <c r="D204" s="2">
        <v>30</v>
      </c>
      <c r="E204" s="2">
        <v>20</v>
      </c>
      <c r="F204" s="2">
        <v>4</v>
      </c>
      <c r="G204" s="2">
        <f t="shared" si="22"/>
        <v>6</v>
      </c>
      <c r="H204" s="2">
        <v>92</v>
      </c>
      <c r="I204" s="2">
        <v>22</v>
      </c>
      <c r="J204" s="3">
        <f t="shared" si="23"/>
        <v>64</v>
      </c>
    </row>
    <row r="205" spans="2:10" x14ac:dyDescent="0.25">
      <c r="B205">
        <v>6</v>
      </c>
      <c r="C205" s="2" t="s">
        <v>43</v>
      </c>
      <c r="D205" s="2">
        <v>30</v>
      </c>
      <c r="E205" s="2">
        <v>17</v>
      </c>
      <c r="F205" s="2">
        <v>3</v>
      </c>
      <c r="G205" s="2">
        <f t="shared" si="22"/>
        <v>10</v>
      </c>
      <c r="H205" s="2">
        <v>100</v>
      </c>
      <c r="I205" s="2">
        <v>36</v>
      </c>
      <c r="J205" s="3">
        <f t="shared" si="23"/>
        <v>54</v>
      </c>
    </row>
    <row r="206" spans="2:10" x14ac:dyDescent="0.25">
      <c r="B206">
        <v>7</v>
      </c>
      <c r="C206" s="2" t="s">
        <v>27</v>
      </c>
      <c r="D206" s="2">
        <v>30</v>
      </c>
      <c r="E206" s="2">
        <v>16</v>
      </c>
      <c r="F206" s="2">
        <v>2</v>
      </c>
      <c r="G206" s="2">
        <f t="shared" si="22"/>
        <v>12</v>
      </c>
      <c r="H206" s="2">
        <v>96</v>
      </c>
      <c r="I206" s="2">
        <v>38</v>
      </c>
      <c r="J206" s="3">
        <f t="shared" si="23"/>
        <v>50</v>
      </c>
    </row>
    <row r="207" spans="2:10" x14ac:dyDescent="0.25">
      <c r="B207">
        <v>8</v>
      </c>
      <c r="C207" s="2" t="s">
        <v>4</v>
      </c>
      <c r="D207" s="2">
        <v>30</v>
      </c>
      <c r="E207" s="2">
        <v>14</v>
      </c>
      <c r="F207" s="2">
        <v>4</v>
      </c>
      <c r="G207" s="2">
        <f t="shared" si="22"/>
        <v>12</v>
      </c>
      <c r="H207" s="2">
        <v>93</v>
      </c>
      <c r="I207" s="2">
        <v>34</v>
      </c>
      <c r="J207" s="3">
        <f t="shared" si="23"/>
        <v>46</v>
      </c>
    </row>
    <row r="208" spans="2:10" x14ac:dyDescent="0.25">
      <c r="B208">
        <v>9</v>
      </c>
      <c r="C208" s="2" t="s">
        <v>9</v>
      </c>
      <c r="D208" s="2">
        <v>30</v>
      </c>
      <c r="E208" s="2">
        <v>12</v>
      </c>
      <c r="F208" s="2">
        <v>7</v>
      </c>
      <c r="G208" s="2">
        <f t="shared" si="22"/>
        <v>11</v>
      </c>
      <c r="H208" s="2">
        <v>87</v>
      </c>
      <c r="I208" s="2">
        <v>46</v>
      </c>
      <c r="J208" s="3">
        <f t="shared" si="23"/>
        <v>43</v>
      </c>
    </row>
    <row r="209" spans="2:10" x14ac:dyDescent="0.25">
      <c r="B209">
        <v>10</v>
      </c>
      <c r="C209" s="2" t="s">
        <v>47</v>
      </c>
      <c r="D209" s="2">
        <v>30</v>
      </c>
      <c r="E209" s="2">
        <v>12</v>
      </c>
      <c r="F209" s="2">
        <v>3</v>
      </c>
      <c r="G209" s="2">
        <f t="shared" si="22"/>
        <v>15</v>
      </c>
      <c r="H209" s="2">
        <v>85</v>
      </c>
      <c r="I209" s="2">
        <v>52</v>
      </c>
      <c r="J209" s="3">
        <f t="shared" si="23"/>
        <v>39</v>
      </c>
    </row>
    <row r="210" spans="2:10" x14ac:dyDescent="0.25">
      <c r="B210">
        <v>11</v>
      </c>
      <c r="C210" s="2" t="s">
        <v>41</v>
      </c>
      <c r="D210" s="2">
        <v>30</v>
      </c>
      <c r="E210" s="2">
        <v>11</v>
      </c>
      <c r="F210" s="2">
        <v>3</v>
      </c>
      <c r="G210" s="2">
        <f t="shared" si="22"/>
        <v>16</v>
      </c>
      <c r="H210" s="2">
        <v>70</v>
      </c>
      <c r="I210" s="2">
        <v>58</v>
      </c>
      <c r="J210" s="3">
        <f t="shared" si="23"/>
        <v>36</v>
      </c>
    </row>
    <row r="211" spans="2:10" x14ac:dyDescent="0.25">
      <c r="B211">
        <v>12</v>
      </c>
      <c r="C211" s="2" t="s">
        <v>48</v>
      </c>
      <c r="D211" s="2">
        <v>30</v>
      </c>
      <c r="E211" s="2">
        <v>10</v>
      </c>
      <c r="F211" s="2">
        <v>5</v>
      </c>
      <c r="G211" s="2">
        <f t="shared" si="22"/>
        <v>15</v>
      </c>
      <c r="H211" s="2">
        <v>70</v>
      </c>
      <c r="I211" s="2">
        <v>55</v>
      </c>
      <c r="J211" s="3">
        <f t="shared" si="23"/>
        <v>35</v>
      </c>
    </row>
    <row r="212" spans="2:10" x14ac:dyDescent="0.25">
      <c r="B212">
        <v>13</v>
      </c>
      <c r="C212" t="s">
        <v>34</v>
      </c>
      <c r="D212">
        <v>24</v>
      </c>
      <c r="E212">
        <v>2</v>
      </c>
      <c r="F212">
        <v>1</v>
      </c>
      <c r="G212">
        <f t="shared" si="22"/>
        <v>21</v>
      </c>
      <c r="H212">
        <v>4</v>
      </c>
      <c r="I212">
        <v>210</v>
      </c>
      <c r="J212" s="1">
        <f t="shared" si="23"/>
        <v>7</v>
      </c>
    </row>
    <row r="213" spans="2:10" x14ac:dyDescent="0.25">
      <c r="B213">
        <v>14</v>
      </c>
      <c r="C213" t="s">
        <v>34</v>
      </c>
      <c r="D213">
        <v>26</v>
      </c>
      <c r="E213">
        <v>2</v>
      </c>
      <c r="F213">
        <v>1</v>
      </c>
      <c r="G213">
        <f t="shared" si="22"/>
        <v>23</v>
      </c>
      <c r="H213">
        <v>3</v>
      </c>
      <c r="I213">
        <v>236</v>
      </c>
      <c r="J213" s="1">
        <f t="shared" si="23"/>
        <v>7</v>
      </c>
    </row>
    <row r="214" spans="2:10" x14ac:dyDescent="0.25">
      <c r="B214">
        <v>15</v>
      </c>
      <c r="C214" t="s">
        <v>34</v>
      </c>
      <c r="D214">
        <v>17</v>
      </c>
      <c r="E214">
        <v>2</v>
      </c>
      <c r="F214">
        <v>0</v>
      </c>
      <c r="G214">
        <f t="shared" si="22"/>
        <v>15</v>
      </c>
      <c r="H214">
        <v>4</v>
      </c>
      <c r="I214">
        <v>144</v>
      </c>
      <c r="J214" s="1">
        <f t="shared" si="23"/>
        <v>6</v>
      </c>
    </row>
    <row r="215" spans="2:10" x14ac:dyDescent="0.25">
      <c r="B215">
        <v>16</v>
      </c>
      <c r="C215" t="s">
        <v>34</v>
      </c>
      <c r="D215">
        <v>13</v>
      </c>
      <c r="E215">
        <v>0</v>
      </c>
      <c r="F215">
        <v>0</v>
      </c>
      <c r="G215">
        <f t="shared" si="22"/>
        <v>13</v>
      </c>
      <c r="H215">
        <v>0</v>
      </c>
      <c r="I215">
        <v>111</v>
      </c>
      <c r="J215" s="1">
        <f t="shared" si="23"/>
        <v>0</v>
      </c>
    </row>
    <row r="217" spans="2:10" x14ac:dyDescent="0.25">
      <c r="B217" s="39" t="s">
        <v>49</v>
      </c>
      <c r="C217" s="39"/>
      <c r="D217" s="39"/>
      <c r="E217" s="39"/>
      <c r="F217" s="39"/>
      <c r="G217" s="39"/>
      <c r="H217" s="39"/>
      <c r="I217" s="39"/>
      <c r="J217" s="39"/>
    </row>
    <row r="218" spans="2:10" x14ac:dyDescent="0.25">
      <c r="B218">
        <v>1</v>
      </c>
      <c r="C218" s="2" t="s">
        <v>43</v>
      </c>
      <c r="D218" s="2">
        <v>30</v>
      </c>
      <c r="E218" s="2">
        <v>25</v>
      </c>
      <c r="F218" s="2">
        <v>3</v>
      </c>
      <c r="G218" s="2">
        <f>D218-E218-F218</f>
        <v>2</v>
      </c>
      <c r="H218" s="2">
        <v>104</v>
      </c>
      <c r="I218" s="2">
        <v>15</v>
      </c>
      <c r="J218" s="3">
        <f>E218*3+F218*1</f>
        <v>78</v>
      </c>
    </row>
    <row r="219" spans="2:10" x14ac:dyDescent="0.25">
      <c r="B219">
        <v>2</v>
      </c>
      <c r="C219" s="2" t="s">
        <v>24</v>
      </c>
      <c r="D219" s="2">
        <v>30</v>
      </c>
      <c r="E219" s="2">
        <v>24</v>
      </c>
      <c r="F219" s="2">
        <v>3</v>
      </c>
      <c r="G219" s="2">
        <f t="shared" ref="G219:G233" si="24">D219-E219-F219</f>
        <v>3</v>
      </c>
      <c r="H219" s="2">
        <v>103</v>
      </c>
      <c r="I219" s="2">
        <v>26</v>
      </c>
      <c r="J219" s="3">
        <f t="shared" ref="J219:J233" si="25">E219*3+F219*1</f>
        <v>75</v>
      </c>
    </row>
    <row r="220" spans="2:10" x14ac:dyDescent="0.25">
      <c r="B220">
        <v>3</v>
      </c>
      <c r="C220" s="2" t="s">
        <v>18</v>
      </c>
      <c r="D220" s="2">
        <v>30</v>
      </c>
      <c r="E220" s="2">
        <v>22</v>
      </c>
      <c r="F220" s="2">
        <v>4</v>
      </c>
      <c r="G220" s="2">
        <f t="shared" si="24"/>
        <v>4</v>
      </c>
      <c r="H220" s="2">
        <v>120</v>
      </c>
      <c r="I220" s="2">
        <v>27</v>
      </c>
      <c r="J220" s="3">
        <f t="shared" si="25"/>
        <v>70</v>
      </c>
    </row>
    <row r="221" spans="2:10" x14ac:dyDescent="0.25">
      <c r="B221">
        <v>4</v>
      </c>
      <c r="C221" s="2" t="s">
        <v>33</v>
      </c>
      <c r="D221" s="2">
        <v>30</v>
      </c>
      <c r="E221" s="2">
        <v>21</v>
      </c>
      <c r="F221" s="2">
        <v>3</v>
      </c>
      <c r="G221" s="2">
        <f t="shared" si="24"/>
        <v>6</v>
      </c>
      <c r="H221" s="2">
        <v>86</v>
      </c>
      <c r="I221" s="2">
        <v>31</v>
      </c>
      <c r="J221" s="3">
        <f t="shared" si="25"/>
        <v>66</v>
      </c>
    </row>
    <row r="222" spans="2:10" x14ac:dyDescent="0.25">
      <c r="B222">
        <v>5</v>
      </c>
      <c r="C222" s="2" t="s">
        <v>32</v>
      </c>
      <c r="D222" s="2">
        <v>30</v>
      </c>
      <c r="E222" s="2">
        <v>20</v>
      </c>
      <c r="F222" s="2">
        <v>3</v>
      </c>
      <c r="G222" s="2">
        <f t="shared" si="24"/>
        <v>7</v>
      </c>
      <c r="H222" s="2">
        <v>72</v>
      </c>
      <c r="I222" s="2">
        <v>22</v>
      </c>
      <c r="J222" s="3">
        <f t="shared" si="25"/>
        <v>63</v>
      </c>
    </row>
    <row r="223" spans="2:10" x14ac:dyDescent="0.25">
      <c r="B223">
        <v>6</v>
      </c>
      <c r="C223" s="2" t="s">
        <v>27</v>
      </c>
      <c r="D223" s="2">
        <v>30</v>
      </c>
      <c r="E223" s="2">
        <v>15</v>
      </c>
      <c r="F223" s="2">
        <v>9</v>
      </c>
      <c r="G223" s="2">
        <f t="shared" si="24"/>
        <v>6</v>
      </c>
      <c r="H223" s="2">
        <v>69</v>
      </c>
      <c r="I223" s="2">
        <v>29</v>
      </c>
      <c r="J223" s="3">
        <f t="shared" si="25"/>
        <v>54</v>
      </c>
    </row>
    <row r="224" spans="2:10" x14ac:dyDescent="0.25">
      <c r="B224">
        <v>7</v>
      </c>
      <c r="C224" s="2" t="s">
        <v>50</v>
      </c>
      <c r="D224" s="2">
        <v>30</v>
      </c>
      <c r="E224" s="2">
        <v>13</v>
      </c>
      <c r="F224" s="2">
        <v>2</v>
      </c>
      <c r="G224" s="2">
        <f t="shared" si="24"/>
        <v>15</v>
      </c>
      <c r="H224" s="2">
        <v>49</v>
      </c>
      <c r="I224" s="2">
        <v>55</v>
      </c>
      <c r="J224" s="3">
        <f t="shared" si="25"/>
        <v>41</v>
      </c>
    </row>
    <row r="225" spans="2:10" x14ac:dyDescent="0.25">
      <c r="B225">
        <v>8</v>
      </c>
      <c r="C225" s="2" t="s">
        <v>47</v>
      </c>
      <c r="D225" s="2">
        <v>30</v>
      </c>
      <c r="E225" s="2">
        <v>12</v>
      </c>
      <c r="F225" s="2">
        <v>4</v>
      </c>
      <c r="G225" s="2">
        <f t="shared" si="24"/>
        <v>14</v>
      </c>
      <c r="H225" s="2">
        <v>60</v>
      </c>
      <c r="I225" s="2">
        <v>41</v>
      </c>
      <c r="J225" s="3">
        <f t="shared" si="25"/>
        <v>40</v>
      </c>
    </row>
    <row r="226" spans="2:10" x14ac:dyDescent="0.25">
      <c r="B226">
        <v>9</v>
      </c>
      <c r="C226" s="2" t="s">
        <v>51</v>
      </c>
      <c r="D226" s="2">
        <v>30</v>
      </c>
      <c r="E226" s="2">
        <v>12</v>
      </c>
      <c r="F226" s="2">
        <v>2</v>
      </c>
      <c r="G226" s="2">
        <f t="shared" si="24"/>
        <v>16</v>
      </c>
      <c r="H226" s="2">
        <v>56</v>
      </c>
      <c r="I226" s="2">
        <v>50</v>
      </c>
      <c r="J226" s="3">
        <f t="shared" si="25"/>
        <v>38</v>
      </c>
    </row>
    <row r="227" spans="2:10" x14ac:dyDescent="0.25">
      <c r="B227">
        <v>10</v>
      </c>
      <c r="C227" s="2" t="s">
        <v>48</v>
      </c>
      <c r="D227" s="2">
        <v>30</v>
      </c>
      <c r="E227" s="2">
        <v>8</v>
      </c>
      <c r="F227" s="2">
        <v>8</v>
      </c>
      <c r="G227" s="2">
        <f t="shared" si="24"/>
        <v>14</v>
      </c>
      <c r="H227" s="2">
        <v>46</v>
      </c>
      <c r="I227" s="2">
        <v>59</v>
      </c>
      <c r="J227" s="3">
        <f t="shared" si="25"/>
        <v>32</v>
      </c>
    </row>
    <row r="228" spans="2:10" x14ac:dyDescent="0.25">
      <c r="B228">
        <v>11</v>
      </c>
      <c r="C228" s="2" t="s">
        <v>52</v>
      </c>
      <c r="D228" s="2">
        <v>30</v>
      </c>
      <c r="E228" s="2">
        <v>9</v>
      </c>
      <c r="F228" s="2">
        <v>5</v>
      </c>
      <c r="G228" s="2">
        <f t="shared" si="24"/>
        <v>16</v>
      </c>
      <c r="H228" s="2">
        <v>45</v>
      </c>
      <c r="I228" s="2">
        <v>72</v>
      </c>
      <c r="J228" s="3">
        <f t="shared" si="25"/>
        <v>32</v>
      </c>
    </row>
    <row r="229" spans="2:10" x14ac:dyDescent="0.25">
      <c r="B229">
        <v>12</v>
      </c>
      <c r="C229" s="2" t="s">
        <v>53</v>
      </c>
      <c r="D229" s="2">
        <v>30</v>
      </c>
      <c r="E229" s="2">
        <v>8</v>
      </c>
      <c r="F229" s="2">
        <v>3</v>
      </c>
      <c r="G229" s="2">
        <f t="shared" si="24"/>
        <v>19</v>
      </c>
      <c r="H229" s="2">
        <v>31</v>
      </c>
      <c r="I229" s="2">
        <v>50</v>
      </c>
      <c r="J229" s="3">
        <f t="shared" si="25"/>
        <v>27</v>
      </c>
    </row>
    <row r="230" spans="2:10" x14ac:dyDescent="0.25">
      <c r="B230">
        <v>13</v>
      </c>
      <c r="C230" s="2" t="s">
        <v>9</v>
      </c>
      <c r="D230" s="2">
        <v>30</v>
      </c>
      <c r="E230" s="2">
        <v>3</v>
      </c>
      <c r="F230" s="2">
        <v>6</v>
      </c>
      <c r="G230" s="2">
        <f t="shared" si="24"/>
        <v>21</v>
      </c>
      <c r="H230" s="2">
        <v>17</v>
      </c>
      <c r="I230" s="2">
        <v>64</v>
      </c>
      <c r="J230" s="3">
        <f t="shared" si="25"/>
        <v>15</v>
      </c>
    </row>
    <row r="231" spans="2:10" x14ac:dyDescent="0.25">
      <c r="B231">
        <v>14</v>
      </c>
      <c r="C231" s="2" t="s">
        <v>41</v>
      </c>
      <c r="D231" s="2">
        <v>30</v>
      </c>
      <c r="E231" s="2">
        <v>3</v>
      </c>
      <c r="F231" s="2">
        <v>5</v>
      </c>
      <c r="G231" s="2">
        <f t="shared" si="24"/>
        <v>22</v>
      </c>
      <c r="H231" s="2">
        <v>26</v>
      </c>
      <c r="I231" s="2">
        <v>73</v>
      </c>
      <c r="J231" s="3">
        <f t="shared" si="25"/>
        <v>14</v>
      </c>
    </row>
    <row r="232" spans="2:10" x14ac:dyDescent="0.25">
      <c r="B232">
        <v>15</v>
      </c>
      <c r="C232" t="s">
        <v>34</v>
      </c>
      <c r="D232">
        <v>30</v>
      </c>
      <c r="E232">
        <v>2</v>
      </c>
      <c r="F232">
        <v>0</v>
      </c>
      <c r="G232">
        <f t="shared" si="24"/>
        <v>28</v>
      </c>
      <c r="H232">
        <v>6</v>
      </c>
      <c r="I232">
        <v>283</v>
      </c>
      <c r="J232" s="1">
        <f t="shared" si="25"/>
        <v>6</v>
      </c>
    </row>
    <row r="233" spans="2:10" x14ac:dyDescent="0.25">
      <c r="B233">
        <v>16</v>
      </c>
      <c r="C233" t="s">
        <v>34</v>
      </c>
      <c r="D233">
        <v>1</v>
      </c>
      <c r="E233">
        <v>0</v>
      </c>
      <c r="F233">
        <v>0</v>
      </c>
      <c r="G233">
        <f t="shared" si="24"/>
        <v>1</v>
      </c>
      <c r="H233">
        <v>0</v>
      </c>
      <c r="I233">
        <v>9</v>
      </c>
      <c r="J233" s="1">
        <f t="shared" si="25"/>
        <v>0</v>
      </c>
    </row>
    <row r="235" spans="2:10" x14ac:dyDescent="0.25">
      <c r="B235" s="39" t="s">
        <v>54</v>
      </c>
      <c r="C235" s="39"/>
      <c r="D235" s="39"/>
      <c r="E235" s="39"/>
      <c r="F235" s="39"/>
      <c r="G235" s="39"/>
      <c r="H235" s="39"/>
      <c r="I235" s="39"/>
      <c r="J235" s="39"/>
    </row>
    <row r="236" spans="2:10" x14ac:dyDescent="0.25">
      <c r="B236">
        <v>1</v>
      </c>
      <c r="C236" s="2" t="s">
        <v>18</v>
      </c>
      <c r="D236" s="2">
        <v>30</v>
      </c>
      <c r="E236" s="2">
        <v>27</v>
      </c>
      <c r="F236" s="2">
        <v>1</v>
      </c>
      <c r="G236" s="2">
        <f>D236-E236-F236</f>
        <v>2</v>
      </c>
      <c r="H236" s="2">
        <v>163</v>
      </c>
      <c r="I236" s="2">
        <v>16</v>
      </c>
      <c r="J236" s="3">
        <f>E236*3+F236*1</f>
        <v>82</v>
      </c>
    </row>
    <row r="237" spans="2:10" x14ac:dyDescent="0.25">
      <c r="B237">
        <v>2</v>
      </c>
      <c r="C237" s="2" t="s">
        <v>43</v>
      </c>
      <c r="D237" s="2">
        <v>30</v>
      </c>
      <c r="E237" s="2">
        <v>25</v>
      </c>
      <c r="F237" s="2">
        <v>2</v>
      </c>
      <c r="G237" s="2">
        <f t="shared" ref="G237:G251" si="26">D237-E237-F237</f>
        <v>3</v>
      </c>
      <c r="H237" s="2">
        <v>108</v>
      </c>
      <c r="I237" s="2">
        <v>17</v>
      </c>
      <c r="J237" s="3">
        <f t="shared" ref="J237:J251" si="27">E237*3+F237*1</f>
        <v>77</v>
      </c>
    </row>
    <row r="238" spans="2:10" x14ac:dyDescent="0.25">
      <c r="B238">
        <v>3</v>
      </c>
      <c r="C238" s="2" t="s">
        <v>32</v>
      </c>
      <c r="D238" s="2">
        <v>30</v>
      </c>
      <c r="E238" s="2">
        <v>21</v>
      </c>
      <c r="F238" s="2">
        <v>7</v>
      </c>
      <c r="G238" s="2">
        <f t="shared" si="26"/>
        <v>2</v>
      </c>
      <c r="H238" s="2">
        <v>104</v>
      </c>
      <c r="I238" s="2">
        <v>17</v>
      </c>
      <c r="J238" s="3">
        <f t="shared" si="27"/>
        <v>70</v>
      </c>
    </row>
    <row r="239" spans="2:10" x14ac:dyDescent="0.25">
      <c r="B239">
        <v>4</v>
      </c>
      <c r="C239" s="2" t="s">
        <v>33</v>
      </c>
      <c r="D239" s="2">
        <v>30</v>
      </c>
      <c r="E239" s="2">
        <v>18</v>
      </c>
      <c r="F239" s="2">
        <v>6</v>
      </c>
      <c r="G239" s="2">
        <f t="shared" si="26"/>
        <v>6</v>
      </c>
      <c r="H239" s="2">
        <v>105</v>
      </c>
      <c r="I239" s="2">
        <v>30</v>
      </c>
      <c r="J239" s="3">
        <f t="shared" si="27"/>
        <v>60</v>
      </c>
    </row>
    <row r="240" spans="2:10" x14ac:dyDescent="0.25">
      <c r="B240">
        <v>5</v>
      </c>
      <c r="C240" s="2" t="s">
        <v>27</v>
      </c>
      <c r="D240" s="2">
        <v>30</v>
      </c>
      <c r="E240" s="2">
        <v>17</v>
      </c>
      <c r="F240" s="2">
        <v>7</v>
      </c>
      <c r="G240" s="2">
        <f t="shared" si="26"/>
        <v>6</v>
      </c>
      <c r="H240" s="2">
        <v>78</v>
      </c>
      <c r="I240" s="2">
        <v>18</v>
      </c>
      <c r="J240" s="3">
        <f t="shared" si="27"/>
        <v>58</v>
      </c>
    </row>
    <row r="241" spans="2:10" x14ac:dyDescent="0.25">
      <c r="B241">
        <v>6</v>
      </c>
      <c r="C241" s="2" t="s">
        <v>51</v>
      </c>
      <c r="D241" s="2">
        <v>30</v>
      </c>
      <c r="E241" s="2">
        <v>17</v>
      </c>
      <c r="F241" s="2">
        <v>4</v>
      </c>
      <c r="G241" s="2">
        <f t="shared" si="26"/>
        <v>9</v>
      </c>
      <c r="H241" s="2">
        <v>82</v>
      </c>
      <c r="I241" s="2">
        <v>36</v>
      </c>
      <c r="J241" s="3">
        <f t="shared" si="27"/>
        <v>55</v>
      </c>
    </row>
    <row r="242" spans="2:10" x14ac:dyDescent="0.25">
      <c r="B242">
        <v>7</v>
      </c>
      <c r="C242" s="2" t="s">
        <v>55</v>
      </c>
      <c r="D242" s="2">
        <v>30</v>
      </c>
      <c r="E242" s="2">
        <v>14</v>
      </c>
      <c r="F242" s="2">
        <v>4</v>
      </c>
      <c r="G242" s="2">
        <f t="shared" si="26"/>
        <v>12</v>
      </c>
      <c r="H242" s="2">
        <v>64</v>
      </c>
      <c r="I242" s="2">
        <v>37</v>
      </c>
      <c r="J242" s="3">
        <f t="shared" si="27"/>
        <v>46</v>
      </c>
    </row>
    <row r="243" spans="2:10" x14ac:dyDescent="0.25">
      <c r="B243">
        <v>8</v>
      </c>
      <c r="C243" s="2" t="s">
        <v>53</v>
      </c>
      <c r="D243" s="2">
        <v>30</v>
      </c>
      <c r="E243" s="2">
        <v>12</v>
      </c>
      <c r="F243" s="2">
        <v>4</v>
      </c>
      <c r="G243" s="2">
        <f t="shared" si="26"/>
        <v>14</v>
      </c>
      <c r="H243" s="2">
        <v>64</v>
      </c>
      <c r="I243" s="2">
        <v>54</v>
      </c>
      <c r="J243" s="3">
        <f t="shared" si="27"/>
        <v>40</v>
      </c>
    </row>
    <row r="244" spans="2:10" x14ac:dyDescent="0.25">
      <c r="B244">
        <v>9</v>
      </c>
      <c r="C244" s="2" t="s">
        <v>41</v>
      </c>
      <c r="D244" s="2">
        <v>30</v>
      </c>
      <c r="E244" s="2">
        <v>11</v>
      </c>
      <c r="F244" s="2">
        <v>5</v>
      </c>
      <c r="G244" s="2">
        <f t="shared" si="26"/>
        <v>14</v>
      </c>
      <c r="H244" s="2">
        <v>56</v>
      </c>
      <c r="I244" s="2">
        <v>42</v>
      </c>
      <c r="J244" s="3">
        <f t="shared" si="27"/>
        <v>38</v>
      </c>
    </row>
    <row r="245" spans="2:10" x14ac:dyDescent="0.25">
      <c r="B245">
        <v>10</v>
      </c>
      <c r="C245" s="2" t="s">
        <v>47</v>
      </c>
      <c r="D245" s="2">
        <v>30</v>
      </c>
      <c r="E245" s="2">
        <v>11</v>
      </c>
      <c r="F245" s="2">
        <v>5</v>
      </c>
      <c r="G245" s="2">
        <f t="shared" si="26"/>
        <v>14</v>
      </c>
      <c r="H245" s="2">
        <v>67</v>
      </c>
      <c r="I245" s="2">
        <v>60</v>
      </c>
      <c r="J245" s="3">
        <f t="shared" si="27"/>
        <v>38</v>
      </c>
    </row>
    <row r="246" spans="2:10" x14ac:dyDescent="0.25">
      <c r="B246">
        <v>11</v>
      </c>
      <c r="C246" s="2" t="s">
        <v>50</v>
      </c>
      <c r="D246" s="2">
        <v>30</v>
      </c>
      <c r="E246" s="2">
        <v>12</v>
      </c>
      <c r="F246" s="2">
        <v>0</v>
      </c>
      <c r="G246" s="2">
        <f t="shared" si="26"/>
        <v>18</v>
      </c>
      <c r="H246" s="2">
        <v>72</v>
      </c>
      <c r="I246" s="2">
        <v>55</v>
      </c>
      <c r="J246" s="3">
        <f t="shared" si="27"/>
        <v>36</v>
      </c>
    </row>
    <row r="247" spans="2:10" x14ac:dyDescent="0.25">
      <c r="B247">
        <v>12</v>
      </c>
      <c r="C247" s="2" t="s">
        <v>56</v>
      </c>
      <c r="D247" s="2">
        <v>30</v>
      </c>
      <c r="E247" s="2">
        <v>9</v>
      </c>
      <c r="F247" s="2">
        <v>4</v>
      </c>
      <c r="G247" s="2">
        <f t="shared" si="26"/>
        <v>17</v>
      </c>
      <c r="H247" s="2">
        <v>47</v>
      </c>
      <c r="I247" s="2">
        <v>69</v>
      </c>
      <c r="J247" s="3">
        <f t="shared" si="27"/>
        <v>31</v>
      </c>
    </row>
    <row r="248" spans="2:10" x14ac:dyDescent="0.25">
      <c r="B248">
        <v>13</v>
      </c>
      <c r="C248" s="2" t="s">
        <v>52</v>
      </c>
      <c r="D248" s="2">
        <v>30</v>
      </c>
      <c r="E248" s="2">
        <v>9</v>
      </c>
      <c r="F248" s="2">
        <v>2</v>
      </c>
      <c r="G248" s="2">
        <f t="shared" si="26"/>
        <v>19</v>
      </c>
      <c r="H248" s="2">
        <v>46</v>
      </c>
      <c r="I248" s="2">
        <v>67</v>
      </c>
      <c r="J248" s="3">
        <f t="shared" si="27"/>
        <v>29</v>
      </c>
    </row>
    <row r="249" spans="2:10" x14ac:dyDescent="0.25">
      <c r="B249">
        <v>14</v>
      </c>
      <c r="C249" s="2" t="s">
        <v>24</v>
      </c>
      <c r="D249" s="2">
        <v>30</v>
      </c>
      <c r="E249" s="2">
        <v>5</v>
      </c>
      <c r="F249" s="2">
        <v>1</v>
      </c>
      <c r="G249" s="2">
        <f t="shared" si="26"/>
        <v>24</v>
      </c>
      <c r="H249" s="2">
        <v>31</v>
      </c>
      <c r="I249" s="2">
        <v>175</v>
      </c>
      <c r="J249" s="3">
        <f t="shared" si="27"/>
        <v>16</v>
      </c>
    </row>
    <row r="250" spans="2:10" x14ac:dyDescent="0.25">
      <c r="B250">
        <v>15</v>
      </c>
      <c r="C250" t="s">
        <v>34</v>
      </c>
      <c r="D250">
        <v>30</v>
      </c>
      <c r="E250">
        <v>2</v>
      </c>
      <c r="F250">
        <v>0</v>
      </c>
      <c r="G250">
        <f t="shared" si="26"/>
        <v>28</v>
      </c>
      <c r="H250">
        <v>6</v>
      </c>
      <c r="I250">
        <v>287</v>
      </c>
      <c r="J250" s="1">
        <f t="shared" si="27"/>
        <v>6</v>
      </c>
    </row>
    <row r="251" spans="2:10" x14ac:dyDescent="0.25">
      <c r="B251">
        <v>16</v>
      </c>
      <c r="C251" t="s">
        <v>34</v>
      </c>
      <c r="D251">
        <v>6</v>
      </c>
      <c r="E251">
        <v>0</v>
      </c>
      <c r="F251">
        <v>0</v>
      </c>
      <c r="G251">
        <f t="shared" si="26"/>
        <v>6</v>
      </c>
      <c r="H251">
        <v>0</v>
      </c>
      <c r="I251">
        <v>52</v>
      </c>
      <c r="J251" s="1">
        <f t="shared" si="27"/>
        <v>0</v>
      </c>
    </row>
    <row r="253" spans="2:10" x14ac:dyDescent="0.25">
      <c r="B253" s="39" t="s">
        <v>57</v>
      </c>
      <c r="C253" s="39"/>
      <c r="D253" s="39"/>
      <c r="E253" s="39"/>
      <c r="F253" s="39"/>
      <c r="G253" s="39"/>
      <c r="H253" s="39"/>
      <c r="I253" s="39"/>
      <c r="J253" s="39"/>
    </row>
    <row r="254" spans="2:10" x14ac:dyDescent="0.25">
      <c r="B254">
        <v>1</v>
      </c>
      <c r="C254" s="2" t="s">
        <v>18</v>
      </c>
      <c r="D254" s="2">
        <v>30</v>
      </c>
      <c r="E254" s="2">
        <v>23</v>
      </c>
      <c r="F254" s="2">
        <v>4</v>
      </c>
      <c r="G254" s="2">
        <f>D254-E254-F254</f>
        <v>3</v>
      </c>
      <c r="H254" s="2">
        <v>144</v>
      </c>
      <c r="I254" s="2">
        <v>23</v>
      </c>
      <c r="J254" s="3">
        <f>E254*3+F254*1</f>
        <v>73</v>
      </c>
    </row>
    <row r="255" spans="2:10" x14ac:dyDescent="0.25">
      <c r="B255">
        <v>2</v>
      </c>
      <c r="C255" s="2" t="s">
        <v>33</v>
      </c>
      <c r="D255" s="2">
        <v>30</v>
      </c>
      <c r="E255" s="2">
        <v>22</v>
      </c>
      <c r="F255" s="2">
        <v>5</v>
      </c>
      <c r="G255" s="2">
        <f t="shared" ref="G255:G269" si="28">D255-E255-F255</f>
        <v>3</v>
      </c>
      <c r="H255" s="2">
        <v>107</v>
      </c>
      <c r="I255" s="2">
        <v>19</v>
      </c>
      <c r="J255" s="3">
        <f t="shared" ref="J255:J269" si="29">E255*3+F255*1</f>
        <v>71</v>
      </c>
    </row>
    <row r="256" spans="2:10" x14ac:dyDescent="0.25">
      <c r="B256">
        <v>3</v>
      </c>
      <c r="C256" s="2" t="s">
        <v>32</v>
      </c>
      <c r="D256" s="2">
        <v>30</v>
      </c>
      <c r="E256" s="2">
        <v>20</v>
      </c>
      <c r="F256" s="2">
        <v>9</v>
      </c>
      <c r="G256" s="2">
        <f t="shared" si="28"/>
        <v>1</v>
      </c>
      <c r="H256" s="2">
        <v>121</v>
      </c>
      <c r="I256" s="2">
        <v>19</v>
      </c>
      <c r="J256" s="3">
        <f t="shared" si="29"/>
        <v>69</v>
      </c>
    </row>
    <row r="257" spans="2:10" x14ac:dyDescent="0.25">
      <c r="B257">
        <v>4</v>
      </c>
      <c r="C257" s="2" t="s">
        <v>27</v>
      </c>
      <c r="D257" s="2">
        <v>30</v>
      </c>
      <c r="E257" s="2">
        <v>19</v>
      </c>
      <c r="F257" s="2">
        <v>4</v>
      </c>
      <c r="G257" s="2">
        <f t="shared" si="28"/>
        <v>7</v>
      </c>
      <c r="H257" s="2">
        <v>77</v>
      </c>
      <c r="I257" s="2">
        <v>30</v>
      </c>
      <c r="J257" s="3">
        <f t="shared" si="29"/>
        <v>61</v>
      </c>
    </row>
    <row r="258" spans="2:10" x14ac:dyDescent="0.25">
      <c r="B258">
        <v>5</v>
      </c>
      <c r="C258" s="2" t="s">
        <v>51</v>
      </c>
      <c r="D258" s="2">
        <v>30</v>
      </c>
      <c r="E258" s="2">
        <v>17</v>
      </c>
      <c r="F258" s="2">
        <v>7</v>
      </c>
      <c r="G258" s="2">
        <f t="shared" si="28"/>
        <v>6</v>
      </c>
      <c r="H258" s="2">
        <v>69</v>
      </c>
      <c r="I258" s="2">
        <v>31</v>
      </c>
      <c r="J258" s="3">
        <f t="shared" si="29"/>
        <v>58</v>
      </c>
    </row>
    <row r="259" spans="2:10" x14ac:dyDescent="0.25">
      <c r="B259">
        <v>6</v>
      </c>
      <c r="C259" s="2" t="s">
        <v>43</v>
      </c>
      <c r="D259" s="2">
        <v>30</v>
      </c>
      <c r="E259" s="2">
        <v>16</v>
      </c>
      <c r="F259" s="2">
        <v>8</v>
      </c>
      <c r="G259" s="2">
        <f t="shared" si="28"/>
        <v>6</v>
      </c>
      <c r="H259" s="2">
        <v>78</v>
      </c>
      <c r="I259" s="2">
        <v>30</v>
      </c>
      <c r="J259" s="3">
        <f t="shared" si="29"/>
        <v>56</v>
      </c>
    </row>
    <row r="260" spans="2:10" x14ac:dyDescent="0.25">
      <c r="B260">
        <v>7</v>
      </c>
      <c r="C260" s="2" t="s">
        <v>50</v>
      </c>
      <c r="D260" s="2">
        <v>30</v>
      </c>
      <c r="E260" s="2">
        <v>14</v>
      </c>
      <c r="F260" s="2">
        <v>6</v>
      </c>
      <c r="G260" s="2">
        <f t="shared" si="28"/>
        <v>10</v>
      </c>
      <c r="H260" s="2">
        <v>62</v>
      </c>
      <c r="I260" s="2">
        <v>44</v>
      </c>
      <c r="J260" s="3">
        <f t="shared" si="29"/>
        <v>48</v>
      </c>
    </row>
    <row r="261" spans="2:10" x14ac:dyDescent="0.25">
      <c r="B261">
        <v>8</v>
      </c>
      <c r="C261" s="2" t="s">
        <v>24</v>
      </c>
      <c r="D261" s="2">
        <v>30</v>
      </c>
      <c r="E261" s="2">
        <v>14</v>
      </c>
      <c r="F261" s="2">
        <v>5</v>
      </c>
      <c r="G261" s="2">
        <f t="shared" si="28"/>
        <v>11</v>
      </c>
      <c r="H261" s="2">
        <v>94</v>
      </c>
      <c r="I261" s="2">
        <v>43</v>
      </c>
      <c r="J261" s="3">
        <f t="shared" si="29"/>
        <v>47</v>
      </c>
    </row>
    <row r="262" spans="2:10" x14ac:dyDescent="0.25">
      <c r="B262">
        <v>9</v>
      </c>
      <c r="C262" s="2" t="s">
        <v>55</v>
      </c>
      <c r="D262" s="2">
        <v>30</v>
      </c>
      <c r="E262" s="2">
        <v>13</v>
      </c>
      <c r="F262" s="2">
        <v>8</v>
      </c>
      <c r="G262" s="2">
        <f t="shared" si="28"/>
        <v>9</v>
      </c>
      <c r="H262" s="2">
        <v>58</v>
      </c>
      <c r="I262" s="2">
        <v>40</v>
      </c>
      <c r="J262" s="3">
        <f t="shared" si="29"/>
        <v>47</v>
      </c>
    </row>
    <row r="263" spans="2:10" x14ac:dyDescent="0.25">
      <c r="B263">
        <v>10</v>
      </c>
      <c r="C263" s="2" t="s">
        <v>58</v>
      </c>
      <c r="D263" s="2">
        <v>30</v>
      </c>
      <c r="E263" s="2">
        <v>9</v>
      </c>
      <c r="F263" s="2">
        <v>7</v>
      </c>
      <c r="G263" s="2">
        <f t="shared" si="28"/>
        <v>14</v>
      </c>
      <c r="H263" s="2">
        <v>67</v>
      </c>
      <c r="I263" s="2">
        <v>61</v>
      </c>
      <c r="J263" s="3">
        <f t="shared" si="29"/>
        <v>34</v>
      </c>
    </row>
    <row r="264" spans="2:10" x14ac:dyDescent="0.25">
      <c r="B264">
        <v>11</v>
      </c>
      <c r="C264" s="2" t="s">
        <v>53</v>
      </c>
      <c r="D264" s="2">
        <v>30</v>
      </c>
      <c r="E264" s="2">
        <v>10</v>
      </c>
      <c r="F264" s="2">
        <v>4</v>
      </c>
      <c r="G264" s="2">
        <f t="shared" si="28"/>
        <v>16</v>
      </c>
      <c r="H264" s="2">
        <v>44</v>
      </c>
      <c r="I264" s="2">
        <v>58</v>
      </c>
      <c r="J264" s="3">
        <f t="shared" si="29"/>
        <v>34</v>
      </c>
    </row>
    <row r="265" spans="2:10" x14ac:dyDescent="0.25">
      <c r="B265">
        <v>12</v>
      </c>
      <c r="C265" s="2" t="s">
        <v>56</v>
      </c>
      <c r="D265" s="2">
        <v>30</v>
      </c>
      <c r="E265" s="2">
        <v>9</v>
      </c>
      <c r="F265" s="2">
        <v>4</v>
      </c>
      <c r="G265" s="2">
        <f t="shared" si="28"/>
        <v>17</v>
      </c>
      <c r="H265" s="2">
        <v>51</v>
      </c>
      <c r="I265" s="2">
        <v>70</v>
      </c>
      <c r="J265" s="3">
        <f t="shared" si="29"/>
        <v>31</v>
      </c>
    </row>
    <row r="266" spans="2:10" x14ac:dyDescent="0.25">
      <c r="B266">
        <v>13</v>
      </c>
      <c r="C266" s="2" t="s">
        <v>59</v>
      </c>
      <c r="D266" s="2">
        <v>30</v>
      </c>
      <c r="E266" s="2">
        <v>6</v>
      </c>
      <c r="F266" s="2">
        <v>3</v>
      </c>
      <c r="G266" s="2">
        <f t="shared" si="28"/>
        <v>21</v>
      </c>
      <c r="H266" s="2">
        <v>27</v>
      </c>
      <c r="I266" s="2">
        <v>69</v>
      </c>
      <c r="J266" s="3">
        <f t="shared" si="29"/>
        <v>21</v>
      </c>
    </row>
    <row r="267" spans="2:10" x14ac:dyDescent="0.25">
      <c r="B267">
        <v>14</v>
      </c>
      <c r="C267" s="2" t="s">
        <v>52</v>
      </c>
      <c r="D267" s="2">
        <v>30</v>
      </c>
      <c r="E267" s="2">
        <v>4</v>
      </c>
      <c r="F267" s="2">
        <v>2</v>
      </c>
      <c r="G267" s="2">
        <f t="shared" si="28"/>
        <v>24</v>
      </c>
      <c r="H267" s="2">
        <v>33</v>
      </c>
      <c r="I267" s="2">
        <v>84</v>
      </c>
      <c r="J267" s="3">
        <f t="shared" si="29"/>
        <v>14</v>
      </c>
    </row>
    <row r="268" spans="2:10" x14ac:dyDescent="0.25">
      <c r="B268">
        <v>15</v>
      </c>
      <c r="C268" t="s">
        <v>34</v>
      </c>
      <c r="D268">
        <v>8</v>
      </c>
      <c r="E268">
        <v>0</v>
      </c>
      <c r="F268">
        <v>0</v>
      </c>
      <c r="G268">
        <f t="shared" si="28"/>
        <v>8</v>
      </c>
      <c r="H268">
        <v>0</v>
      </c>
      <c r="I268">
        <v>92</v>
      </c>
      <c r="J268" s="1">
        <f t="shared" si="29"/>
        <v>0</v>
      </c>
    </row>
    <row r="269" spans="2:10" x14ac:dyDescent="0.25">
      <c r="B269">
        <v>16</v>
      </c>
      <c r="C269" t="s">
        <v>34</v>
      </c>
      <c r="D269">
        <v>24</v>
      </c>
      <c r="E269">
        <v>0</v>
      </c>
      <c r="F269">
        <v>0</v>
      </c>
      <c r="G269">
        <f t="shared" si="28"/>
        <v>24</v>
      </c>
      <c r="H269">
        <v>0</v>
      </c>
      <c r="I269">
        <v>271</v>
      </c>
      <c r="J269" s="1">
        <f t="shared" si="29"/>
        <v>0</v>
      </c>
    </row>
    <row r="271" spans="2:10" x14ac:dyDescent="0.25">
      <c r="B271" s="39" t="s">
        <v>60</v>
      </c>
      <c r="C271" s="39"/>
      <c r="D271" s="39"/>
      <c r="E271" s="39"/>
      <c r="F271" s="39"/>
      <c r="G271" s="39"/>
      <c r="H271" s="39"/>
      <c r="I271" s="39"/>
      <c r="J271" s="39"/>
    </row>
    <row r="272" spans="2:10" x14ac:dyDescent="0.25">
      <c r="B272">
        <v>1</v>
      </c>
      <c r="C272" s="2" t="s">
        <v>33</v>
      </c>
      <c r="D272" s="2">
        <v>30</v>
      </c>
      <c r="E272" s="2">
        <v>28</v>
      </c>
      <c r="F272" s="2">
        <v>1</v>
      </c>
      <c r="G272" s="2">
        <f>D272-E272-F272</f>
        <v>1</v>
      </c>
      <c r="H272" s="2">
        <v>121</v>
      </c>
      <c r="I272" s="2">
        <v>13</v>
      </c>
      <c r="J272" s="3">
        <f>E272*3+F272*1</f>
        <v>85</v>
      </c>
    </row>
    <row r="273" spans="2:10" x14ac:dyDescent="0.25">
      <c r="B273">
        <v>2</v>
      </c>
      <c r="C273" s="2" t="s">
        <v>18</v>
      </c>
      <c r="D273" s="2">
        <v>30</v>
      </c>
      <c r="E273" s="2">
        <v>25</v>
      </c>
      <c r="F273" s="2">
        <v>3</v>
      </c>
      <c r="G273" s="2">
        <f t="shared" ref="G273:G287" si="30">D273-E273-F273</f>
        <v>2</v>
      </c>
      <c r="H273" s="2">
        <v>128</v>
      </c>
      <c r="I273" s="2">
        <v>20</v>
      </c>
      <c r="J273" s="3">
        <f t="shared" ref="J273:J287" si="31">E273*3+F273*1</f>
        <v>78</v>
      </c>
    </row>
    <row r="274" spans="2:10" x14ac:dyDescent="0.25">
      <c r="B274">
        <v>3</v>
      </c>
      <c r="C274" s="2" t="s">
        <v>32</v>
      </c>
      <c r="D274" s="2">
        <v>30</v>
      </c>
      <c r="E274" s="2">
        <v>23</v>
      </c>
      <c r="F274" s="2">
        <v>2</v>
      </c>
      <c r="G274" s="2">
        <f t="shared" si="30"/>
        <v>5</v>
      </c>
      <c r="H274" s="2">
        <v>105</v>
      </c>
      <c r="I274" s="2">
        <v>23</v>
      </c>
      <c r="J274" s="3">
        <f t="shared" si="31"/>
        <v>71</v>
      </c>
    </row>
    <row r="275" spans="2:10" x14ac:dyDescent="0.25">
      <c r="B275">
        <v>4</v>
      </c>
      <c r="C275" s="2" t="s">
        <v>24</v>
      </c>
      <c r="D275" s="2">
        <v>30</v>
      </c>
      <c r="E275" s="2">
        <v>20</v>
      </c>
      <c r="F275" s="2">
        <v>3</v>
      </c>
      <c r="G275" s="2">
        <f t="shared" si="30"/>
        <v>7</v>
      </c>
      <c r="H275" s="2">
        <v>112</v>
      </c>
      <c r="I275" s="2">
        <v>36</v>
      </c>
      <c r="J275" s="3">
        <f t="shared" si="31"/>
        <v>63</v>
      </c>
    </row>
    <row r="276" spans="2:10" x14ac:dyDescent="0.25">
      <c r="B276">
        <v>5</v>
      </c>
      <c r="C276" s="2" t="s">
        <v>51</v>
      </c>
      <c r="D276" s="2">
        <v>30</v>
      </c>
      <c r="E276" s="2">
        <v>19</v>
      </c>
      <c r="F276" s="2">
        <v>4</v>
      </c>
      <c r="G276" s="2">
        <f t="shared" si="30"/>
        <v>7</v>
      </c>
      <c r="H276" s="2">
        <v>81</v>
      </c>
      <c r="I276" s="2">
        <v>34</v>
      </c>
      <c r="J276" s="3">
        <f t="shared" si="31"/>
        <v>61</v>
      </c>
    </row>
    <row r="277" spans="2:10" x14ac:dyDescent="0.25">
      <c r="B277">
        <v>6</v>
      </c>
      <c r="C277" s="2" t="s">
        <v>50</v>
      </c>
      <c r="D277" s="2">
        <v>30</v>
      </c>
      <c r="E277" s="2">
        <v>17</v>
      </c>
      <c r="F277" s="2">
        <v>2</v>
      </c>
      <c r="G277" s="2">
        <f t="shared" si="30"/>
        <v>11</v>
      </c>
      <c r="H277" s="2">
        <v>70</v>
      </c>
      <c r="I277" s="2">
        <v>39</v>
      </c>
      <c r="J277" s="3">
        <f t="shared" si="31"/>
        <v>53</v>
      </c>
    </row>
    <row r="278" spans="2:10" x14ac:dyDescent="0.25">
      <c r="B278">
        <v>7</v>
      </c>
      <c r="C278" s="2" t="s">
        <v>43</v>
      </c>
      <c r="D278" s="2">
        <v>30</v>
      </c>
      <c r="E278" s="2">
        <v>16</v>
      </c>
      <c r="F278" s="2">
        <v>3</v>
      </c>
      <c r="G278" s="2">
        <f t="shared" si="30"/>
        <v>11</v>
      </c>
      <c r="H278" s="2">
        <v>62</v>
      </c>
      <c r="I278" s="2">
        <v>34</v>
      </c>
      <c r="J278" s="3">
        <f t="shared" si="31"/>
        <v>51</v>
      </c>
    </row>
    <row r="279" spans="2:10" x14ac:dyDescent="0.25">
      <c r="B279">
        <v>8</v>
      </c>
      <c r="C279" s="2" t="s">
        <v>55</v>
      </c>
      <c r="D279" s="2">
        <v>30</v>
      </c>
      <c r="E279" s="2">
        <v>13</v>
      </c>
      <c r="F279" s="2">
        <v>4</v>
      </c>
      <c r="G279" s="2">
        <f t="shared" si="30"/>
        <v>13</v>
      </c>
      <c r="H279" s="2">
        <v>56</v>
      </c>
      <c r="I279" s="2">
        <v>44</v>
      </c>
      <c r="J279" s="3">
        <f t="shared" si="31"/>
        <v>43</v>
      </c>
    </row>
    <row r="280" spans="2:10" x14ac:dyDescent="0.25">
      <c r="B280">
        <v>9</v>
      </c>
      <c r="C280" s="2" t="s">
        <v>53</v>
      </c>
      <c r="D280" s="2">
        <v>30</v>
      </c>
      <c r="E280" s="2">
        <v>11</v>
      </c>
      <c r="F280" s="2">
        <v>6</v>
      </c>
      <c r="G280" s="2">
        <f t="shared" si="30"/>
        <v>13</v>
      </c>
      <c r="H280" s="2">
        <v>32</v>
      </c>
      <c r="I280" s="2">
        <v>48</v>
      </c>
      <c r="J280" s="3">
        <f t="shared" si="31"/>
        <v>39</v>
      </c>
    </row>
    <row r="281" spans="2:10" x14ac:dyDescent="0.25">
      <c r="B281">
        <v>10</v>
      </c>
      <c r="C281" s="2" t="s">
        <v>58</v>
      </c>
      <c r="D281" s="2">
        <v>30</v>
      </c>
      <c r="E281" s="2">
        <v>9</v>
      </c>
      <c r="F281" s="2">
        <v>5</v>
      </c>
      <c r="G281" s="2">
        <f t="shared" si="30"/>
        <v>16</v>
      </c>
      <c r="H281" s="2">
        <v>42</v>
      </c>
      <c r="I281" s="2">
        <v>60</v>
      </c>
      <c r="J281" s="3">
        <f t="shared" si="31"/>
        <v>32</v>
      </c>
    </row>
    <row r="282" spans="2:10" x14ac:dyDescent="0.25">
      <c r="B282">
        <v>11</v>
      </c>
      <c r="C282" s="2" t="s">
        <v>56</v>
      </c>
      <c r="D282" s="2">
        <v>30</v>
      </c>
      <c r="E282" s="2">
        <v>8</v>
      </c>
      <c r="F282" s="2">
        <v>3</v>
      </c>
      <c r="G282" s="2">
        <f t="shared" si="30"/>
        <v>19</v>
      </c>
      <c r="H282" s="2">
        <v>38</v>
      </c>
      <c r="I282" s="2">
        <v>77</v>
      </c>
      <c r="J282" s="3">
        <f t="shared" si="31"/>
        <v>27</v>
      </c>
    </row>
    <row r="283" spans="2:10" x14ac:dyDescent="0.25">
      <c r="B283">
        <v>12</v>
      </c>
      <c r="C283" s="2" t="s">
        <v>61</v>
      </c>
      <c r="D283" s="2">
        <v>30</v>
      </c>
      <c r="E283" s="2">
        <v>6</v>
      </c>
      <c r="F283" s="2">
        <v>6</v>
      </c>
      <c r="G283" s="2">
        <f t="shared" si="30"/>
        <v>18</v>
      </c>
      <c r="H283" s="2">
        <v>36</v>
      </c>
      <c r="I283" s="2">
        <v>82</v>
      </c>
      <c r="J283" s="3">
        <f t="shared" si="31"/>
        <v>24</v>
      </c>
    </row>
    <row r="284" spans="2:10" x14ac:dyDescent="0.25">
      <c r="B284">
        <v>13</v>
      </c>
      <c r="C284" s="2" t="s">
        <v>52</v>
      </c>
      <c r="D284" s="2">
        <v>30</v>
      </c>
      <c r="E284" s="2">
        <v>5</v>
      </c>
      <c r="F284" s="2">
        <v>3</v>
      </c>
      <c r="G284" s="2">
        <f t="shared" si="30"/>
        <v>22</v>
      </c>
      <c r="H284" s="2">
        <v>23</v>
      </c>
      <c r="I284" s="2">
        <v>96</v>
      </c>
      <c r="J284" s="3">
        <f t="shared" si="31"/>
        <v>18</v>
      </c>
    </row>
    <row r="285" spans="2:10" x14ac:dyDescent="0.25">
      <c r="B285">
        <v>14</v>
      </c>
      <c r="C285" s="2" t="s">
        <v>59</v>
      </c>
      <c r="D285" s="2">
        <v>30</v>
      </c>
      <c r="E285" s="2">
        <v>4</v>
      </c>
      <c r="F285" s="2">
        <v>5</v>
      </c>
      <c r="G285" s="2">
        <f t="shared" si="30"/>
        <v>21</v>
      </c>
      <c r="H285" s="2">
        <v>16</v>
      </c>
      <c r="I285" s="2">
        <v>83</v>
      </c>
      <c r="J285" s="3">
        <f t="shared" si="31"/>
        <v>17</v>
      </c>
    </row>
    <row r="286" spans="2:10" x14ac:dyDescent="0.25">
      <c r="B286">
        <v>15</v>
      </c>
      <c r="C286" s="2" t="s">
        <v>62</v>
      </c>
      <c r="D286" s="2">
        <v>30</v>
      </c>
      <c r="E286" s="2">
        <v>5</v>
      </c>
      <c r="F286" s="2">
        <v>1</v>
      </c>
      <c r="G286" s="2">
        <f t="shared" si="30"/>
        <v>24</v>
      </c>
      <c r="H286" s="2">
        <v>22</v>
      </c>
      <c r="I286" s="2">
        <v>72</v>
      </c>
      <c r="J286" s="3">
        <f t="shared" si="31"/>
        <v>16</v>
      </c>
    </row>
    <row r="287" spans="2:10" x14ac:dyDescent="0.25">
      <c r="B287">
        <v>16</v>
      </c>
      <c r="C287" t="s">
        <v>34</v>
      </c>
      <c r="D287">
        <v>18</v>
      </c>
      <c r="E287">
        <v>0</v>
      </c>
      <c r="F287">
        <v>0</v>
      </c>
      <c r="G287">
        <f t="shared" si="30"/>
        <v>18</v>
      </c>
      <c r="H287">
        <v>0</v>
      </c>
      <c r="I287">
        <v>183</v>
      </c>
      <c r="J287" s="1">
        <f t="shared" si="31"/>
        <v>0</v>
      </c>
    </row>
    <row r="289" spans="2:10" x14ac:dyDescent="0.25">
      <c r="B289" s="39" t="s">
        <v>63</v>
      </c>
      <c r="C289" s="39"/>
      <c r="D289" s="39"/>
      <c r="E289" s="39"/>
      <c r="F289" s="39"/>
      <c r="G289" s="39"/>
      <c r="H289" s="39"/>
      <c r="I289" s="39"/>
      <c r="J289" s="39"/>
    </row>
    <row r="290" spans="2:10" x14ac:dyDescent="0.25">
      <c r="B290">
        <v>1</v>
      </c>
      <c r="C290" s="2" t="s">
        <v>18</v>
      </c>
      <c r="D290" s="2">
        <v>30</v>
      </c>
      <c r="E290" s="2">
        <v>26</v>
      </c>
      <c r="F290" s="2">
        <v>2</v>
      </c>
      <c r="G290" s="2">
        <f>D290-E290-F290</f>
        <v>2</v>
      </c>
      <c r="H290" s="2">
        <v>136</v>
      </c>
      <c r="I290" s="2">
        <v>14</v>
      </c>
      <c r="J290" s="3">
        <f>E290*3+F290*1</f>
        <v>80</v>
      </c>
    </row>
    <row r="291" spans="2:10" x14ac:dyDescent="0.25">
      <c r="B291">
        <v>2</v>
      </c>
      <c r="C291" s="2" t="s">
        <v>32</v>
      </c>
      <c r="D291" s="2">
        <v>30</v>
      </c>
      <c r="E291" s="2">
        <v>26</v>
      </c>
      <c r="F291" s="2">
        <v>2</v>
      </c>
      <c r="G291" s="2">
        <f t="shared" ref="G291:G305" si="32">D291-E291-F291</f>
        <v>2</v>
      </c>
      <c r="H291" s="2">
        <v>137</v>
      </c>
      <c r="I291" s="2">
        <v>16</v>
      </c>
      <c r="J291" s="3">
        <f t="shared" ref="J291:J305" si="33">E291*3+F291*1</f>
        <v>80</v>
      </c>
    </row>
    <row r="292" spans="2:10" x14ac:dyDescent="0.25">
      <c r="B292">
        <v>3</v>
      </c>
      <c r="C292" s="2" t="s">
        <v>33</v>
      </c>
      <c r="D292" s="2">
        <v>30</v>
      </c>
      <c r="E292" s="2">
        <v>23</v>
      </c>
      <c r="F292" s="2">
        <v>3</v>
      </c>
      <c r="G292" s="2">
        <f t="shared" si="32"/>
        <v>4</v>
      </c>
      <c r="H292" s="2">
        <v>136</v>
      </c>
      <c r="I292" s="2">
        <v>23</v>
      </c>
      <c r="J292" s="3">
        <f t="shared" si="33"/>
        <v>72</v>
      </c>
    </row>
    <row r="293" spans="2:10" x14ac:dyDescent="0.25">
      <c r="B293">
        <v>4</v>
      </c>
      <c r="C293" s="2" t="s">
        <v>43</v>
      </c>
      <c r="D293" s="2">
        <v>30</v>
      </c>
      <c r="E293" s="2">
        <v>20</v>
      </c>
      <c r="F293" s="2">
        <v>7</v>
      </c>
      <c r="G293" s="2">
        <f t="shared" si="32"/>
        <v>3</v>
      </c>
      <c r="H293" s="2">
        <v>115</v>
      </c>
      <c r="I293" s="2">
        <v>20</v>
      </c>
      <c r="J293" s="3">
        <f t="shared" si="33"/>
        <v>67</v>
      </c>
    </row>
    <row r="294" spans="2:10" x14ac:dyDescent="0.25">
      <c r="B294">
        <v>5</v>
      </c>
      <c r="C294" s="2" t="s">
        <v>51</v>
      </c>
      <c r="D294" s="2">
        <v>30</v>
      </c>
      <c r="E294" s="2">
        <v>18</v>
      </c>
      <c r="F294" s="2">
        <v>3</v>
      </c>
      <c r="G294" s="2">
        <f t="shared" si="32"/>
        <v>9</v>
      </c>
      <c r="H294" s="2">
        <v>73</v>
      </c>
      <c r="I294" s="2">
        <v>34</v>
      </c>
      <c r="J294" s="3">
        <f t="shared" si="33"/>
        <v>57</v>
      </c>
    </row>
    <row r="295" spans="2:10" x14ac:dyDescent="0.25">
      <c r="B295">
        <v>6</v>
      </c>
      <c r="C295" s="2" t="s">
        <v>58</v>
      </c>
      <c r="D295" s="2">
        <v>30</v>
      </c>
      <c r="E295" s="2">
        <v>14</v>
      </c>
      <c r="F295" s="2">
        <v>7</v>
      </c>
      <c r="G295" s="2">
        <f t="shared" si="32"/>
        <v>9</v>
      </c>
      <c r="H295" s="2">
        <v>69</v>
      </c>
      <c r="I295" s="2">
        <v>46</v>
      </c>
      <c r="J295" s="3">
        <f t="shared" si="33"/>
        <v>49</v>
      </c>
    </row>
    <row r="296" spans="2:10" x14ac:dyDescent="0.25">
      <c r="B296">
        <v>7</v>
      </c>
      <c r="C296" s="2" t="s">
        <v>61</v>
      </c>
      <c r="D296" s="2">
        <v>30</v>
      </c>
      <c r="E296" s="2">
        <v>14</v>
      </c>
      <c r="F296" s="2">
        <v>5</v>
      </c>
      <c r="G296" s="2">
        <f t="shared" si="32"/>
        <v>11</v>
      </c>
      <c r="H296" s="2">
        <v>50</v>
      </c>
      <c r="I296" s="2">
        <v>63</v>
      </c>
      <c r="J296" s="3">
        <f t="shared" si="33"/>
        <v>47</v>
      </c>
    </row>
    <row r="297" spans="2:10" x14ac:dyDescent="0.25">
      <c r="B297">
        <v>8</v>
      </c>
      <c r="C297" s="2" t="s">
        <v>55</v>
      </c>
      <c r="D297" s="2">
        <v>30</v>
      </c>
      <c r="E297" s="2">
        <v>14</v>
      </c>
      <c r="F297" s="2">
        <v>2</v>
      </c>
      <c r="G297" s="2">
        <f t="shared" si="32"/>
        <v>14</v>
      </c>
      <c r="H297" s="2">
        <v>56</v>
      </c>
      <c r="I297" s="2">
        <v>57</v>
      </c>
      <c r="J297" s="3">
        <f t="shared" si="33"/>
        <v>44</v>
      </c>
    </row>
    <row r="298" spans="2:10" x14ac:dyDescent="0.25">
      <c r="B298">
        <v>9</v>
      </c>
      <c r="C298" s="2" t="s">
        <v>50</v>
      </c>
      <c r="D298" s="2">
        <v>30</v>
      </c>
      <c r="E298" s="2">
        <v>12</v>
      </c>
      <c r="F298" s="2">
        <v>4</v>
      </c>
      <c r="G298" s="2">
        <f t="shared" si="32"/>
        <v>14</v>
      </c>
      <c r="H298" s="2">
        <v>57</v>
      </c>
      <c r="I298" s="2">
        <v>48</v>
      </c>
      <c r="J298" s="3">
        <f t="shared" si="33"/>
        <v>40</v>
      </c>
    </row>
    <row r="299" spans="2:10" x14ac:dyDescent="0.25">
      <c r="B299">
        <v>10</v>
      </c>
      <c r="C299" s="2" t="s">
        <v>64</v>
      </c>
      <c r="D299" s="2">
        <v>30</v>
      </c>
      <c r="E299" s="2">
        <v>11</v>
      </c>
      <c r="F299" s="2">
        <v>2</v>
      </c>
      <c r="G299" s="2">
        <f t="shared" si="32"/>
        <v>17</v>
      </c>
      <c r="H299" s="2">
        <v>47</v>
      </c>
      <c r="I299" s="2">
        <v>55</v>
      </c>
      <c r="J299" s="3">
        <f t="shared" si="33"/>
        <v>35</v>
      </c>
    </row>
    <row r="300" spans="2:10" x14ac:dyDescent="0.25">
      <c r="B300">
        <v>11</v>
      </c>
      <c r="C300" s="2" t="s">
        <v>65</v>
      </c>
      <c r="D300" s="2">
        <v>30</v>
      </c>
      <c r="E300" s="2">
        <v>9</v>
      </c>
      <c r="F300" s="2">
        <v>5</v>
      </c>
      <c r="G300" s="2">
        <f t="shared" si="32"/>
        <v>16</v>
      </c>
      <c r="H300" s="2">
        <v>50</v>
      </c>
      <c r="I300" s="2">
        <v>60</v>
      </c>
      <c r="J300" s="3">
        <f t="shared" si="33"/>
        <v>32</v>
      </c>
    </row>
    <row r="301" spans="2:10" x14ac:dyDescent="0.25">
      <c r="B301">
        <v>12</v>
      </c>
      <c r="C301" s="2" t="s">
        <v>53</v>
      </c>
      <c r="D301" s="2">
        <v>30</v>
      </c>
      <c r="E301" s="2">
        <v>7</v>
      </c>
      <c r="F301" s="2">
        <v>5</v>
      </c>
      <c r="G301" s="2">
        <f t="shared" si="32"/>
        <v>18</v>
      </c>
      <c r="H301" s="2">
        <v>33</v>
      </c>
      <c r="I301" s="2">
        <v>53</v>
      </c>
      <c r="J301" s="3">
        <f t="shared" si="33"/>
        <v>26</v>
      </c>
    </row>
    <row r="302" spans="2:10" x14ac:dyDescent="0.25">
      <c r="B302">
        <v>13</v>
      </c>
      <c r="C302" s="2" t="s">
        <v>56</v>
      </c>
      <c r="D302" s="2">
        <v>30</v>
      </c>
      <c r="E302" s="2">
        <v>7</v>
      </c>
      <c r="F302" s="2">
        <v>5</v>
      </c>
      <c r="G302" s="2">
        <f t="shared" si="32"/>
        <v>18</v>
      </c>
      <c r="H302" s="2">
        <v>42</v>
      </c>
      <c r="I302" s="2">
        <v>75</v>
      </c>
      <c r="J302" s="3">
        <f t="shared" si="33"/>
        <v>26</v>
      </c>
    </row>
    <row r="303" spans="2:10" x14ac:dyDescent="0.25">
      <c r="B303">
        <v>14</v>
      </c>
      <c r="C303" s="2" t="s">
        <v>52</v>
      </c>
      <c r="D303" s="2">
        <v>30</v>
      </c>
      <c r="E303" s="2">
        <v>6</v>
      </c>
      <c r="F303" s="2">
        <v>5</v>
      </c>
      <c r="G303" s="2">
        <f t="shared" si="32"/>
        <v>19</v>
      </c>
      <c r="H303" s="2">
        <v>45</v>
      </c>
      <c r="I303" s="2">
        <v>74</v>
      </c>
      <c r="J303" s="3">
        <f t="shared" si="33"/>
        <v>23</v>
      </c>
    </row>
    <row r="304" spans="2:10" x14ac:dyDescent="0.25">
      <c r="B304">
        <v>15</v>
      </c>
      <c r="C304" t="s">
        <v>34</v>
      </c>
      <c r="D304">
        <v>28</v>
      </c>
      <c r="E304">
        <v>1</v>
      </c>
      <c r="F304">
        <v>0</v>
      </c>
      <c r="G304">
        <f t="shared" si="32"/>
        <v>27</v>
      </c>
      <c r="H304">
        <v>3</v>
      </c>
      <c r="I304">
        <v>303</v>
      </c>
      <c r="J304" s="1">
        <f t="shared" si="33"/>
        <v>3</v>
      </c>
    </row>
    <row r="305" spans="2:10" x14ac:dyDescent="0.25">
      <c r="B305">
        <v>16</v>
      </c>
      <c r="C305" t="s">
        <v>34</v>
      </c>
      <c r="D305">
        <v>0</v>
      </c>
      <c r="E305">
        <v>0</v>
      </c>
      <c r="F305">
        <v>0</v>
      </c>
      <c r="G305">
        <f t="shared" si="32"/>
        <v>0</v>
      </c>
      <c r="H305">
        <v>0</v>
      </c>
      <c r="I305">
        <v>0</v>
      </c>
      <c r="J305" s="1">
        <f t="shared" si="33"/>
        <v>0</v>
      </c>
    </row>
    <row r="307" spans="2:10" x14ac:dyDescent="0.25">
      <c r="B307" s="39" t="s">
        <v>66</v>
      </c>
      <c r="C307" s="39"/>
      <c r="D307" s="39"/>
      <c r="E307" s="39"/>
      <c r="F307" s="39"/>
      <c r="G307" s="39"/>
      <c r="H307" s="39"/>
      <c r="I307" s="39"/>
      <c r="J307" s="39"/>
    </row>
    <row r="308" spans="2:10" x14ac:dyDescent="0.25">
      <c r="B308">
        <v>1</v>
      </c>
      <c r="C308" s="2" t="s">
        <v>18</v>
      </c>
      <c r="D308" s="2">
        <v>30</v>
      </c>
      <c r="E308" s="2">
        <v>27</v>
      </c>
      <c r="F308" s="2">
        <v>2</v>
      </c>
      <c r="G308" s="2">
        <f>D308-E308-F308</f>
        <v>1</v>
      </c>
      <c r="H308" s="2">
        <v>101</v>
      </c>
      <c r="I308" s="2">
        <v>17</v>
      </c>
      <c r="J308" s="3">
        <f>E308*3+F308*1</f>
        <v>83</v>
      </c>
    </row>
    <row r="309" spans="2:10" x14ac:dyDescent="0.25">
      <c r="B309">
        <v>2</v>
      </c>
      <c r="C309" s="2" t="s">
        <v>32</v>
      </c>
      <c r="D309" s="2">
        <v>30</v>
      </c>
      <c r="E309" s="2">
        <v>27</v>
      </c>
      <c r="F309" s="2">
        <v>1</v>
      </c>
      <c r="G309" s="2">
        <f t="shared" ref="G309:G323" si="34">D309-E309-F309</f>
        <v>2</v>
      </c>
      <c r="H309" s="2">
        <v>122</v>
      </c>
      <c r="I309" s="2">
        <v>13</v>
      </c>
      <c r="J309" s="3">
        <f t="shared" ref="J309:J323" si="35">E309*3+F309*1</f>
        <v>82</v>
      </c>
    </row>
    <row r="310" spans="2:10" x14ac:dyDescent="0.25">
      <c r="B310">
        <v>3</v>
      </c>
      <c r="C310" s="2" t="s">
        <v>33</v>
      </c>
      <c r="D310" s="2">
        <v>30</v>
      </c>
      <c r="E310" s="2">
        <v>26</v>
      </c>
      <c r="F310" s="2">
        <v>3</v>
      </c>
      <c r="G310" s="2">
        <f t="shared" si="34"/>
        <v>1</v>
      </c>
      <c r="H310" s="2">
        <v>106</v>
      </c>
      <c r="I310" s="2">
        <v>11</v>
      </c>
      <c r="J310" s="3">
        <f t="shared" si="35"/>
        <v>81</v>
      </c>
    </row>
    <row r="311" spans="2:10" x14ac:dyDescent="0.25">
      <c r="B311">
        <v>4</v>
      </c>
      <c r="C311" s="2" t="s">
        <v>51</v>
      </c>
      <c r="D311" s="2">
        <v>30</v>
      </c>
      <c r="E311" s="2">
        <v>17</v>
      </c>
      <c r="F311" s="2">
        <v>4</v>
      </c>
      <c r="G311" s="2">
        <f t="shared" si="34"/>
        <v>9</v>
      </c>
      <c r="H311" s="2">
        <v>50</v>
      </c>
      <c r="I311" s="2">
        <v>35</v>
      </c>
      <c r="J311" s="3">
        <f t="shared" si="35"/>
        <v>55</v>
      </c>
    </row>
    <row r="312" spans="2:10" x14ac:dyDescent="0.25">
      <c r="B312">
        <v>5</v>
      </c>
      <c r="C312" s="2" t="s">
        <v>43</v>
      </c>
      <c r="D312" s="2">
        <v>30</v>
      </c>
      <c r="E312" s="2">
        <v>16</v>
      </c>
      <c r="F312" s="2">
        <v>3</v>
      </c>
      <c r="G312" s="2">
        <f t="shared" si="34"/>
        <v>11</v>
      </c>
      <c r="H312" s="2">
        <v>72</v>
      </c>
      <c r="I312" s="2">
        <v>37</v>
      </c>
      <c r="J312" s="3">
        <f t="shared" si="35"/>
        <v>51</v>
      </c>
    </row>
    <row r="313" spans="2:10" x14ac:dyDescent="0.25">
      <c r="B313">
        <v>6</v>
      </c>
      <c r="C313" s="2" t="s">
        <v>50</v>
      </c>
      <c r="D313" s="2">
        <v>30</v>
      </c>
      <c r="E313" s="2">
        <v>16</v>
      </c>
      <c r="F313" s="2">
        <v>3</v>
      </c>
      <c r="G313" s="2">
        <f t="shared" si="34"/>
        <v>11</v>
      </c>
      <c r="H313" s="2">
        <v>50</v>
      </c>
      <c r="I313" s="2">
        <v>40</v>
      </c>
      <c r="J313" s="3">
        <f t="shared" si="35"/>
        <v>51</v>
      </c>
    </row>
    <row r="314" spans="2:10" x14ac:dyDescent="0.25">
      <c r="B314">
        <v>7</v>
      </c>
      <c r="C314" s="2" t="s">
        <v>64</v>
      </c>
      <c r="D314" s="2">
        <v>30</v>
      </c>
      <c r="E314" s="2">
        <v>11</v>
      </c>
      <c r="F314" s="2">
        <v>6</v>
      </c>
      <c r="G314" s="2">
        <f t="shared" si="34"/>
        <v>13</v>
      </c>
      <c r="H314" s="2">
        <v>33</v>
      </c>
      <c r="I314" s="2">
        <v>40</v>
      </c>
      <c r="J314" s="3">
        <f t="shared" si="35"/>
        <v>39</v>
      </c>
    </row>
    <row r="315" spans="2:10" x14ac:dyDescent="0.25">
      <c r="B315">
        <v>8</v>
      </c>
      <c r="C315" s="2" t="s">
        <v>58</v>
      </c>
      <c r="D315" s="2">
        <v>30</v>
      </c>
      <c r="E315" s="2">
        <v>11</v>
      </c>
      <c r="F315" s="2">
        <v>5</v>
      </c>
      <c r="G315" s="2">
        <f t="shared" si="34"/>
        <v>14</v>
      </c>
      <c r="H315" s="2">
        <v>35</v>
      </c>
      <c r="I315" s="2">
        <v>50</v>
      </c>
      <c r="J315" s="3">
        <f t="shared" si="35"/>
        <v>38</v>
      </c>
    </row>
    <row r="316" spans="2:10" x14ac:dyDescent="0.25">
      <c r="B316">
        <v>9</v>
      </c>
      <c r="C316" s="2" t="s">
        <v>55</v>
      </c>
      <c r="D316" s="2">
        <v>30</v>
      </c>
      <c r="E316" s="2">
        <v>10</v>
      </c>
      <c r="F316" s="2">
        <v>7</v>
      </c>
      <c r="G316" s="2">
        <f t="shared" si="34"/>
        <v>13</v>
      </c>
      <c r="H316" s="2">
        <v>43</v>
      </c>
      <c r="I316" s="2">
        <v>53</v>
      </c>
      <c r="J316" s="3">
        <f t="shared" si="35"/>
        <v>37</v>
      </c>
    </row>
    <row r="317" spans="2:10" x14ac:dyDescent="0.25">
      <c r="B317">
        <v>10</v>
      </c>
      <c r="C317" s="2" t="s">
        <v>67</v>
      </c>
      <c r="D317" s="2">
        <v>30</v>
      </c>
      <c r="E317" s="2">
        <v>7</v>
      </c>
      <c r="F317" s="2">
        <v>11</v>
      </c>
      <c r="G317" s="2">
        <f t="shared" si="34"/>
        <v>12</v>
      </c>
      <c r="H317" s="2">
        <v>29</v>
      </c>
      <c r="I317" s="2">
        <v>47</v>
      </c>
      <c r="J317" s="3">
        <f t="shared" si="35"/>
        <v>32</v>
      </c>
    </row>
    <row r="318" spans="2:10" x14ac:dyDescent="0.25">
      <c r="B318">
        <v>11</v>
      </c>
      <c r="C318" s="2" t="s">
        <v>61</v>
      </c>
      <c r="D318" s="2">
        <v>30</v>
      </c>
      <c r="E318" s="2">
        <v>8</v>
      </c>
      <c r="F318" s="2">
        <v>5</v>
      </c>
      <c r="G318" s="2">
        <f t="shared" si="34"/>
        <v>17</v>
      </c>
      <c r="H318" s="2">
        <v>35</v>
      </c>
      <c r="I318" s="2">
        <v>72</v>
      </c>
      <c r="J318" s="3">
        <f t="shared" si="35"/>
        <v>29</v>
      </c>
    </row>
    <row r="319" spans="2:10" x14ac:dyDescent="0.25">
      <c r="B319">
        <v>12</v>
      </c>
      <c r="C319" s="2" t="s">
        <v>53</v>
      </c>
      <c r="D319" s="2">
        <v>30</v>
      </c>
      <c r="E319" s="2">
        <v>7</v>
      </c>
      <c r="F319" s="2">
        <v>6</v>
      </c>
      <c r="G319" s="2">
        <f t="shared" si="34"/>
        <v>17</v>
      </c>
      <c r="H319" s="2">
        <v>20</v>
      </c>
      <c r="I319" s="2">
        <v>60</v>
      </c>
      <c r="J319" s="3">
        <f t="shared" si="35"/>
        <v>27</v>
      </c>
    </row>
    <row r="320" spans="2:10" x14ac:dyDescent="0.25">
      <c r="B320">
        <v>13</v>
      </c>
      <c r="C320" s="2" t="s">
        <v>52</v>
      </c>
      <c r="D320" s="2">
        <v>30</v>
      </c>
      <c r="E320" s="2">
        <v>7</v>
      </c>
      <c r="F320" s="2">
        <v>5</v>
      </c>
      <c r="G320" s="2">
        <f t="shared" si="34"/>
        <v>18</v>
      </c>
      <c r="H320" s="2">
        <v>31</v>
      </c>
      <c r="I320" s="2">
        <v>69</v>
      </c>
      <c r="J320" s="3">
        <f t="shared" si="35"/>
        <v>26</v>
      </c>
    </row>
    <row r="321" spans="2:10" x14ac:dyDescent="0.25">
      <c r="B321">
        <v>14</v>
      </c>
      <c r="C321" s="2" t="s">
        <v>56</v>
      </c>
      <c r="D321" s="2">
        <v>30</v>
      </c>
      <c r="E321" s="2">
        <v>6</v>
      </c>
      <c r="F321" s="2">
        <v>5</v>
      </c>
      <c r="G321" s="2">
        <f t="shared" si="34"/>
        <v>19</v>
      </c>
      <c r="H321" s="2">
        <v>26</v>
      </c>
      <c r="I321" s="2">
        <v>81</v>
      </c>
      <c r="J321" s="3">
        <f t="shared" si="35"/>
        <v>23</v>
      </c>
    </row>
    <row r="322" spans="2:10" x14ac:dyDescent="0.25">
      <c r="B322">
        <v>15</v>
      </c>
      <c r="C322" s="2" t="s">
        <v>68</v>
      </c>
      <c r="D322" s="2">
        <v>30</v>
      </c>
      <c r="E322" s="2">
        <v>4</v>
      </c>
      <c r="F322" s="2">
        <v>6</v>
      </c>
      <c r="G322" s="2">
        <f t="shared" si="34"/>
        <v>20</v>
      </c>
      <c r="H322" s="2">
        <v>24</v>
      </c>
      <c r="I322" s="2">
        <v>86</v>
      </c>
      <c r="J322" s="3">
        <f t="shared" si="35"/>
        <v>18</v>
      </c>
    </row>
    <row r="323" spans="2:10" x14ac:dyDescent="0.25">
      <c r="B323">
        <v>16</v>
      </c>
      <c r="C323" s="2" t="s">
        <v>65</v>
      </c>
      <c r="D323" s="2">
        <v>30</v>
      </c>
      <c r="E323" s="2">
        <v>3</v>
      </c>
      <c r="F323" s="2">
        <v>2</v>
      </c>
      <c r="G323" s="2">
        <f t="shared" si="34"/>
        <v>25</v>
      </c>
      <c r="H323" s="2">
        <v>19</v>
      </c>
      <c r="I323" s="2">
        <v>85</v>
      </c>
      <c r="J323" s="3">
        <f t="shared" si="35"/>
        <v>11</v>
      </c>
    </row>
    <row r="325" spans="2:10" x14ac:dyDescent="0.25">
      <c r="B325" s="39" t="s">
        <v>69</v>
      </c>
      <c r="C325" s="39"/>
      <c r="D325" s="39"/>
      <c r="E325" s="39"/>
      <c r="F325" s="39"/>
      <c r="G325" s="39"/>
      <c r="H325" s="39"/>
      <c r="I325" s="39"/>
      <c r="J325" s="39"/>
    </row>
    <row r="326" spans="2:10" x14ac:dyDescent="0.25">
      <c r="B326">
        <v>1</v>
      </c>
      <c r="C326" s="2" t="s">
        <v>32</v>
      </c>
      <c r="D326" s="2">
        <v>30</v>
      </c>
      <c r="E326" s="2">
        <v>26</v>
      </c>
      <c r="F326" s="2">
        <v>2</v>
      </c>
      <c r="G326" s="2">
        <f>D326-E326-F326</f>
        <v>2</v>
      </c>
      <c r="H326" s="2">
        <v>121</v>
      </c>
      <c r="I326" s="2">
        <v>12</v>
      </c>
      <c r="J326" s="3">
        <f>E326*3+F326*1</f>
        <v>80</v>
      </c>
    </row>
    <row r="327" spans="2:10" x14ac:dyDescent="0.25">
      <c r="B327">
        <v>2</v>
      </c>
      <c r="C327" s="2" t="s">
        <v>18</v>
      </c>
      <c r="D327" s="2">
        <v>30</v>
      </c>
      <c r="E327" s="2">
        <v>26</v>
      </c>
      <c r="F327" s="2">
        <v>1</v>
      </c>
      <c r="G327" s="2">
        <f t="shared" ref="G327:G341" si="36">D327-E327-F327</f>
        <v>3</v>
      </c>
      <c r="H327" s="2">
        <v>115</v>
      </c>
      <c r="I327" s="2">
        <v>16</v>
      </c>
      <c r="J327" s="3">
        <f t="shared" ref="J327:J341" si="37">E327*3+F327*1</f>
        <v>79</v>
      </c>
    </row>
    <row r="328" spans="2:10" x14ac:dyDescent="0.25">
      <c r="B328">
        <v>3</v>
      </c>
      <c r="C328" s="2" t="s">
        <v>33</v>
      </c>
      <c r="D328" s="2">
        <v>30</v>
      </c>
      <c r="E328" s="2">
        <v>24</v>
      </c>
      <c r="F328" s="2">
        <v>2</v>
      </c>
      <c r="G328" s="2">
        <f t="shared" si="36"/>
        <v>4</v>
      </c>
      <c r="H328" s="2">
        <v>91</v>
      </c>
      <c r="I328" s="2">
        <v>21</v>
      </c>
      <c r="J328" s="3">
        <f t="shared" si="37"/>
        <v>74</v>
      </c>
    </row>
    <row r="329" spans="2:10" x14ac:dyDescent="0.25">
      <c r="B329">
        <v>4</v>
      </c>
      <c r="C329" s="2" t="s">
        <v>51</v>
      </c>
      <c r="D329" s="2">
        <v>30</v>
      </c>
      <c r="E329" s="2">
        <v>20</v>
      </c>
      <c r="F329" s="2">
        <v>3</v>
      </c>
      <c r="G329" s="2">
        <f t="shared" si="36"/>
        <v>7</v>
      </c>
      <c r="H329" s="2">
        <v>78</v>
      </c>
      <c r="I329" s="2">
        <v>25</v>
      </c>
      <c r="J329" s="3">
        <f t="shared" si="37"/>
        <v>63</v>
      </c>
    </row>
    <row r="330" spans="2:10" x14ac:dyDescent="0.25">
      <c r="B330">
        <v>5</v>
      </c>
      <c r="C330" s="2" t="s">
        <v>43</v>
      </c>
      <c r="D330" s="2">
        <v>30</v>
      </c>
      <c r="E330" s="2">
        <v>19</v>
      </c>
      <c r="F330" s="2">
        <v>5</v>
      </c>
      <c r="G330" s="2">
        <f t="shared" si="36"/>
        <v>6</v>
      </c>
      <c r="H330" s="2">
        <v>70</v>
      </c>
      <c r="I330" s="2">
        <v>23</v>
      </c>
      <c r="J330" s="3">
        <f t="shared" si="37"/>
        <v>62</v>
      </c>
    </row>
    <row r="331" spans="2:10" x14ac:dyDescent="0.25">
      <c r="B331">
        <v>6</v>
      </c>
      <c r="C331" s="2" t="s">
        <v>70</v>
      </c>
      <c r="D331" s="2">
        <v>30</v>
      </c>
      <c r="E331" s="2">
        <v>16</v>
      </c>
      <c r="F331" s="2">
        <v>6</v>
      </c>
      <c r="G331" s="2">
        <f t="shared" si="36"/>
        <v>8</v>
      </c>
      <c r="H331" s="2">
        <v>65</v>
      </c>
      <c r="I331" s="2">
        <v>37</v>
      </c>
      <c r="J331" s="3">
        <f t="shared" si="37"/>
        <v>54</v>
      </c>
    </row>
    <row r="332" spans="2:10" x14ac:dyDescent="0.25">
      <c r="B332">
        <v>7</v>
      </c>
      <c r="C332" s="2" t="s">
        <v>64</v>
      </c>
      <c r="D332" s="2">
        <v>30</v>
      </c>
      <c r="E332" s="2">
        <v>12</v>
      </c>
      <c r="F332" s="2">
        <v>6</v>
      </c>
      <c r="G332" s="2">
        <f t="shared" si="36"/>
        <v>12</v>
      </c>
      <c r="H332" s="2">
        <v>35</v>
      </c>
      <c r="I332" s="2">
        <v>37</v>
      </c>
      <c r="J332" s="3">
        <f t="shared" si="37"/>
        <v>42</v>
      </c>
    </row>
    <row r="333" spans="2:10" x14ac:dyDescent="0.25">
      <c r="B333">
        <v>8</v>
      </c>
      <c r="C333" s="2" t="s">
        <v>50</v>
      </c>
      <c r="D333" s="2">
        <v>30</v>
      </c>
      <c r="E333" s="2">
        <v>12</v>
      </c>
      <c r="F333" s="2">
        <v>3</v>
      </c>
      <c r="G333" s="2">
        <f t="shared" si="36"/>
        <v>15</v>
      </c>
      <c r="H333" s="2">
        <v>34</v>
      </c>
      <c r="I333" s="2">
        <v>49</v>
      </c>
      <c r="J333" s="3">
        <f t="shared" si="37"/>
        <v>39</v>
      </c>
    </row>
    <row r="334" spans="2:10" x14ac:dyDescent="0.25">
      <c r="B334">
        <v>9</v>
      </c>
      <c r="C334" s="2" t="s">
        <v>71</v>
      </c>
      <c r="D334" s="2">
        <v>30</v>
      </c>
      <c r="E334" s="2">
        <v>11</v>
      </c>
      <c r="F334" s="2">
        <v>4</v>
      </c>
      <c r="G334" s="2">
        <f t="shared" si="36"/>
        <v>15</v>
      </c>
      <c r="H334" s="2">
        <v>41</v>
      </c>
      <c r="I334" s="2">
        <v>45</v>
      </c>
      <c r="J334" s="3">
        <f t="shared" si="37"/>
        <v>37</v>
      </c>
    </row>
    <row r="335" spans="2:10" x14ac:dyDescent="0.25">
      <c r="B335">
        <v>10</v>
      </c>
      <c r="C335" s="2" t="s">
        <v>52</v>
      </c>
      <c r="D335" s="2">
        <v>30</v>
      </c>
      <c r="E335" s="2">
        <v>10</v>
      </c>
      <c r="F335" s="2">
        <v>4</v>
      </c>
      <c r="G335" s="2">
        <f t="shared" si="36"/>
        <v>16</v>
      </c>
      <c r="H335" s="2">
        <v>35</v>
      </c>
      <c r="I335" s="2">
        <v>61</v>
      </c>
      <c r="J335" s="3">
        <f t="shared" si="37"/>
        <v>34</v>
      </c>
    </row>
    <row r="336" spans="2:10" x14ac:dyDescent="0.25">
      <c r="B336">
        <v>11</v>
      </c>
      <c r="C336" s="2" t="s">
        <v>58</v>
      </c>
      <c r="D336" s="2">
        <v>30</v>
      </c>
      <c r="E336" s="2">
        <v>9</v>
      </c>
      <c r="F336" s="2">
        <v>4</v>
      </c>
      <c r="G336" s="2">
        <f t="shared" si="36"/>
        <v>17</v>
      </c>
      <c r="H336" s="2">
        <v>36</v>
      </c>
      <c r="I336" s="2">
        <v>68</v>
      </c>
      <c r="J336" s="3">
        <f t="shared" si="37"/>
        <v>31</v>
      </c>
    </row>
    <row r="337" spans="2:10" x14ac:dyDescent="0.25">
      <c r="B337">
        <v>12</v>
      </c>
      <c r="C337" s="2" t="s">
        <v>61</v>
      </c>
      <c r="D337" s="2">
        <v>30</v>
      </c>
      <c r="E337" s="2">
        <v>7</v>
      </c>
      <c r="F337" s="2">
        <v>4</v>
      </c>
      <c r="G337" s="2">
        <f t="shared" si="36"/>
        <v>19</v>
      </c>
      <c r="H337" s="2">
        <v>16</v>
      </c>
      <c r="I337" s="2">
        <v>84</v>
      </c>
      <c r="J337" s="3">
        <f t="shared" si="37"/>
        <v>25</v>
      </c>
    </row>
    <row r="338" spans="2:10" x14ac:dyDescent="0.25">
      <c r="B338">
        <v>13</v>
      </c>
      <c r="C338" s="2" t="s">
        <v>56</v>
      </c>
      <c r="D338" s="2">
        <v>30</v>
      </c>
      <c r="E338" s="2">
        <v>6</v>
      </c>
      <c r="F338" s="2">
        <v>6</v>
      </c>
      <c r="G338" s="2">
        <f t="shared" si="36"/>
        <v>18</v>
      </c>
      <c r="H338" s="2">
        <v>24</v>
      </c>
      <c r="I338" s="2">
        <v>89</v>
      </c>
      <c r="J338" s="3">
        <f t="shared" si="37"/>
        <v>24</v>
      </c>
    </row>
    <row r="339" spans="2:10" x14ac:dyDescent="0.25">
      <c r="B339">
        <v>14</v>
      </c>
      <c r="C339" s="2" t="s">
        <v>67</v>
      </c>
      <c r="D339" s="2">
        <v>30</v>
      </c>
      <c r="E339" s="2">
        <v>7</v>
      </c>
      <c r="F339" s="2">
        <v>1</v>
      </c>
      <c r="G339" s="2">
        <f t="shared" si="36"/>
        <v>22</v>
      </c>
      <c r="H339" s="2">
        <v>19</v>
      </c>
      <c r="I339" s="2">
        <v>79</v>
      </c>
      <c r="J339" s="3">
        <f t="shared" si="37"/>
        <v>22</v>
      </c>
    </row>
    <row r="340" spans="2:10" x14ac:dyDescent="0.25">
      <c r="B340">
        <v>15</v>
      </c>
      <c r="C340" s="2" t="s">
        <v>53</v>
      </c>
      <c r="D340" s="2">
        <v>30</v>
      </c>
      <c r="E340" s="2">
        <v>6</v>
      </c>
      <c r="F340" s="2">
        <v>3</v>
      </c>
      <c r="G340" s="2">
        <f t="shared" si="36"/>
        <v>21</v>
      </c>
      <c r="H340" s="2">
        <v>22</v>
      </c>
      <c r="I340" s="2">
        <v>69</v>
      </c>
      <c r="J340" s="3">
        <f t="shared" si="37"/>
        <v>21</v>
      </c>
    </row>
    <row r="341" spans="2:10" x14ac:dyDescent="0.25">
      <c r="B341">
        <v>16</v>
      </c>
      <c r="C341" t="s">
        <v>34</v>
      </c>
      <c r="D341">
        <v>0</v>
      </c>
      <c r="E341">
        <v>0</v>
      </c>
      <c r="F341">
        <v>0</v>
      </c>
      <c r="G341">
        <f t="shared" si="36"/>
        <v>0</v>
      </c>
      <c r="H341">
        <v>0</v>
      </c>
      <c r="I341">
        <v>0</v>
      </c>
      <c r="J341" s="1">
        <f t="shared" si="37"/>
        <v>0</v>
      </c>
    </row>
    <row r="343" spans="2:10" x14ac:dyDescent="0.25">
      <c r="B343" s="39" t="s">
        <v>74</v>
      </c>
      <c r="C343" s="39"/>
      <c r="D343" s="39"/>
      <c r="E343" s="39"/>
      <c r="F343" s="39"/>
      <c r="G343" s="39"/>
      <c r="H343" s="39"/>
      <c r="I343" s="39"/>
      <c r="J343" s="39"/>
    </row>
    <row r="344" spans="2:10" x14ac:dyDescent="0.25">
      <c r="B344">
        <v>1</v>
      </c>
      <c r="C344" s="2" t="s">
        <v>32</v>
      </c>
      <c r="D344" s="2">
        <v>30</v>
      </c>
      <c r="E344" s="2">
        <v>27</v>
      </c>
      <c r="F344" s="2">
        <v>2</v>
      </c>
      <c r="G344" s="2">
        <f>D344-E344-F344</f>
        <v>1</v>
      </c>
      <c r="H344" s="2">
        <v>121</v>
      </c>
      <c r="I344" s="2">
        <v>12</v>
      </c>
      <c r="J344" s="3">
        <f>E344*3+F344*1</f>
        <v>83</v>
      </c>
    </row>
    <row r="345" spans="2:10" x14ac:dyDescent="0.25">
      <c r="B345">
        <v>2</v>
      </c>
      <c r="C345" s="2" t="s">
        <v>18</v>
      </c>
      <c r="D345" s="2">
        <v>30</v>
      </c>
      <c r="E345" s="2">
        <v>26</v>
      </c>
      <c r="F345" s="2">
        <v>0</v>
      </c>
      <c r="G345" s="2">
        <f t="shared" ref="G345:G359" si="38">D345-E345-F345</f>
        <v>4</v>
      </c>
      <c r="H345" s="2">
        <v>115</v>
      </c>
      <c r="I345" s="2">
        <v>16</v>
      </c>
      <c r="J345" s="3">
        <f t="shared" ref="J345:J359" si="39">E345*3+F345*1</f>
        <v>78</v>
      </c>
    </row>
    <row r="346" spans="2:10" x14ac:dyDescent="0.25">
      <c r="B346">
        <v>3</v>
      </c>
      <c r="C346" s="2" t="s">
        <v>51</v>
      </c>
      <c r="D346" s="2">
        <v>30</v>
      </c>
      <c r="E346" s="2">
        <v>21</v>
      </c>
      <c r="F346" s="2">
        <v>3</v>
      </c>
      <c r="G346" s="2">
        <f t="shared" si="38"/>
        <v>6</v>
      </c>
      <c r="H346" s="2">
        <v>91</v>
      </c>
      <c r="I346" s="2">
        <v>21</v>
      </c>
      <c r="J346" s="3">
        <f t="shared" si="39"/>
        <v>66</v>
      </c>
    </row>
    <row r="347" spans="2:10" x14ac:dyDescent="0.25">
      <c r="B347">
        <v>4</v>
      </c>
      <c r="C347" s="2" t="s">
        <v>43</v>
      </c>
      <c r="D347" s="2">
        <v>30</v>
      </c>
      <c r="E347" s="2">
        <v>21</v>
      </c>
      <c r="F347" s="2">
        <v>1</v>
      </c>
      <c r="G347" s="2">
        <f t="shared" si="38"/>
        <v>8</v>
      </c>
      <c r="H347" s="2">
        <v>78</v>
      </c>
      <c r="I347" s="2">
        <v>25</v>
      </c>
      <c r="J347" s="3">
        <f t="shared" si="39"/>
        <v>64</v>
      </c>
    </row>
    <row r="348" spans="2:10" x14ac:dyDescent="0.25">
      <c r="B348">
        <v>5</v>
      </c>
      <c r="C348" s="2" t="s">
        <v>64</v>
      </c>
      <c r="D348" s="2">
        <v>30</v>
      </c>
      <c r="E348" s="2">
        <v>19</v>
      </c>
      <c r="F348" s="2">
        <v>4</v>
      </c>
      <c r="G348" s="2">
        <f t="shared" si="38"/>
        <v>7</v>
      </c>
      <c r="H348" s="2">
        <v>70</v>
      </c>
      <c r="I348" s="2">
        <v>23</v>
      </c>
      <c r="J348" s="3">
        <f t="shared" si="39"/>
        <v>61</v>
      </c>
    </row>
    <row r="349" spans="2:10" x14ac:dyDescent="0.25">
      <c r="B349">
        <v>6</v>
      </c>
      <c r="C349" s="2" t="s">
        <v>33</v>
      </c>
      <c r="D349" s="2">
        <v>30</v>
      </c>
      <c r="E349" s="2">
        <v>18</v>
      </c>
      <c r="F349" s="2">
        <v>3</v>
      </c>
      <c r="G349" s="2">
        <f t="shared" si="38"/>
        <v>9</v>
      </c>
      <c r="H349" s="2">
        <v>65</v>
      </c>
      <c r="I349" s="2">
        <v>37</v>
      </c>
      <c r="J349" s="3">
        <f t="shared" si="39"/>
        <v>57</v>
      </c>
    </row>
    <row r="350" spans="2:10" x14ac:dyDescent="0.25">
      <c r="B350">
        <v>7</v>
      </c>
      <c r="C350" s="2" t="s">
        <v>70</v>
      </c>
      <c r="D350" s="2">
        <v>30</v>
      </c>
      <c r="E350" s="2">
        <v>18</v>
      </c>
      <c r="F350" s="2">
        <v>2</v>
      </c>
      <c r="G350" s="2">
        <f t="shared" si="38"/>
        <v>10</v>
      </c>
      <c r="H350" s="2">
        <v>35</v>
      </c>
      <c r="I350" s="2">
        <v>37</v>
      </c>
      <c r="J350" s="3">
        <f t="shared" si="39"/>
        <v>56</v>
      </c>
    </row>
    <row r="351" spans="2:10" x14ac:dyDescent="0.25">
      <c r="B351">
        <v>8</v>
      </c>
      <c r="C351" s="2" t="s">
        <v>50</v>
      </c>
      <c r="D351" s="2">
        <v>30</v>
      </c>
      <c r="E351" s="2">
        <v>14</v>
      </c>
      <c r="F351" s="2">
        <v>3</v>
      </c>
      <c r="G351" s="2">
        <f t="shared" si="38"/>
        <v>13</v>
      </c>
      <c r="H351" s="2">
        <v>34</v>
      </c>
      <c r="I351" s="2">
        <v>49</v>
      </c>
      <c r="J351" s="3">
        <f t="shared" si="39"/>
        <v>45</v>
      </c>
    </row>
    <row r="352" spans="2:10" x14ac:dyDescent="0.25">
      <c r="B352">
        <v>9</v>
      </c>
      <c r="C352" s="2" t="s">
        <v>58</v>
      </c>
      <c r="D352" s="2">
        <v>30</v>
      </c>
      <c r="E352" s="2">
        <v>13</v>
      </c>
      <c r="F352" s="2">
        <v>4</v>
      </c>
      <c r="G352" s="2">
        <f t="shared" si="38"/>
        <v>13</v>
      </c>
      <c r="H352" s="2">
        <v>41</v>
      </c>
      <c r="I352" s="2">
        <v>45</v>
      </c>
      <c r="J352" s="3">
        <f t="shared" si="39"/>
        <v>43</v>
      </c>
    </row>
    <row r="353" spans="2:10" x14ac:dyDescent="0.25">
      <c r="B353">
        <v>10</v>
      </c>
      <c r="C353" s="2" t="s">
        <v>52</v>
      </c>
      <c r="D353" s="2">
        <v>30</v>
      </c>
      <c r="E353" s="2">
        <v>10</v>
      </c>
      <c r="F353" s="2">
        <v>5</v>
      </c>
      <c r="G353" s="2">
        <f t="shared" si="38"/>
        <v>15</v>
      </c>
      <c r="H353" s="2">
        <v>35</v>
      </c>
      <c r="I353" s="2">
        <v>61</v>
      </c>
      <c r="J353" s="3">
        <f t="shared" si="39"/>
        <v>35</v>
      </c>
    </row>
    <row r="354" spans="2:10" x14ac:dyDescent="0.25">
      <c r="B354">
        <v>11</v>
      </c>
      <c r="C354" s="2" t="s">
        <v>71</v>
      </c>
      <c r="D354" s="2">
        <v>30</v>
      </c>
      <c r="E354" s="2">
        <v>9</v>
      </c>
      <c r="F354" s="2">
        <v>2</v>
      </c>
      <c r="G354" s="2">
        <f t="shared" si="38"/>
        <v>19</v>
      </c>
      <c r="H354" s="2">
        <v>36</v>
      </c>
      <c r="I354" s="2">
        <v>68</v>
      </c>
      <c r="J354" s="3">
        <f t="shared" si="39"/>
        <v>29</v>
      </c>
    </row>
    <row r="355" spans="2:10" x14ac:dyDescent="0.25">
      <c r="B355">
        <v>12</v>
      </c>
      <c r="C355" s="2" t="s">
        <v>56</v>
      </c>
      <c r="D355" s="2">
        <v>30</v>
      </c>
      <c r="E355" s="2">
        <v>8</v>
      </c>
      <c r="F355" s="2">
        <v>2</v>
      </c>
      <c r="G355" s="2">
        <f t="shared" si="38"/>
        <v>20</v>
      </c>
      <c r="H355" s="2">
        <v>16</v>
      </c>
      <c r="I355" s="2">
        <v>84</v>
      </c>
      <c r="J355" s="3">
        <f t="shared" si="39"/>
        <v>26</v>
      </c>
    </row>
    <row r="356" spans="2:10" x14ac:dyDescent="0.25">
      <c r="B356">
        <v>13</v>
      </c>
      <c r="C356" s="2" t="s">
        <v>61</v>
      </c>
      <c r="D356" s="2">
        <v>30</v>
      </c>
      <c r="E356" s="2">
        <v>8</v>
      </c>
      <c r="F356" s="2">
        <v>1</v>
      </c>
      <c r="G356" s="2">
        <f t="shared" si="38"/>
        <v>21</v>
      </c>
      <c r="H356" s="2">
        <v>24</v>
      </c>
      <c r="I356" s="2">
        <v>89</v>
      </c>
      <c r="J356" s="3">
        <f t="shared" si="39"/>
        <v>25</v>
      </c>
    </row>
    <row r="357" spans="2:10" x14ac:dyDescent="0.25">
      <c r="B357">
        <v>14</v>
      </c>
      <c r="C357" s="2" t="s">
        <v>72</v>
      </c>
      <c r="D357" s="2">
        <v>30</v>
      </c>
      <c r="E357" s="2">
        <v>3</v>
      </c>
      <c r="F357" s="2">
        <v>6</v>
      </c>
      <c r="G357" s="2">
        <f t="shared" si="38"/>
        <v>21</v>
      </c>
      <c r="H357" s="2">
        <v>19</v>
      </c>
      <c r="I357" s="2">
        <v>79</v>
      </c>
      <c r="J357" s="3">
        <f t="shared" si="39"/>
        <v>15</v>
      </c>
    </row>
    <row r="358" spans="2:10" x14ac:dyDescent="0.25">
      <c r="B358">
        <v>15</v>
      </c>
      <c r="C358" s="2" t="s">
        <v>73</v>
      </c>
      <c r="D358" s="2">
        <v>30</v>
      </c>
      <c r="E358" s="2">
        <v>4</v>
      </c>
      <c r="F358" s="2">
        <v>2</v>
      </c>
      <c r="G358" s="2">
        <f t="shared" si="38"/>
        <v>24</v>
      </c>
      <c r="H358" s="2">
        <v>22</v>
      </c>
      <c r="I358" s="2">
        <v>69</v>
      </c>
      <c r="J358" s="3">
        <f t="shared" si="39"/>
        <v>14</v>
      </c>
    </row>
    <row r="359" spans="2:10" x14ac:dyDescent="0.25">
      <c r="B359">
        <v>16</v>
      </c>
      <c r="C359" s="4" t="s">
        <v>34</v>
      </c>
      <c r="D359" s="4">
        <v>21</v>
      </c>
      <c r="E359" s="4">
        <v>1</v>
      </c>
      <c r="F359" s="4">
        <v>0</v>
      </c>
      <c r="G359" s="4">
        <f t="shared" si="38"/>
        <v>20</v>
      </c>
      <c r="H359" s="4">
        <v>0</v>
      </c>
      <c r="I359" s="4">
        <v>0</v>
      </c>
      <c r="J359" s="5">
        <f t="shared" si="39"/>
        <v>3</v>
      </c>
    </row>
    <row r="361" spans="2:10" x14ac:dyDescent="0.25">
      <c r="B361" s="39" t="s">
        <v>75</v>
      </c>
      <c r="C361" s="39"/>
      <c r="D361" s="39"/>
      <c r="E361" s="39"/>
      <c r="F361" s="39"/>
      <c r="G361" s="39"/>
      <c r="H361" s="39"/>
      <c r="I361" s="39"/>
      <c r="J361" s="39"/>
    </row>
    <row r="362" spans="2:10" x14ac:dyDescent="0.25">
      <c r="B362">
        <v>1</v>
      </c>
      <c r="C362" s="2" t="s">
        <v>18</v>
      </c>
      <c r="D362" s="2">
        <v>30</v>
      </c>
      <c r="E362" s="2">
        <v>27</v>
      </c>
      <c r="F362" s="2">
        <v>3</v>
      </c>
      <c r="G362" s="2">
        <f>D362-E362-F362</f>
        <v>0</v>
      </c>
      <c r="H362" s="2">
        <v>112</v>
      </c>
      <c r="I362" s="2">
        <v>14</v>
      </c>
      <c r="J362" s="3">
        <f>E362*3+F362*1</f>
        <v>84</v>
      </c>
    </row>
    <row r="363" spans="2:10" x14ac:dyDescent="0.25">
      <c r="B363">
        <v>2</v>
      </c>
      <c r="C363" s="2" t="s">
        <v>32</v>
      </c>
      <c r="D363" s="2">
        <v>30</v>
      </c>
      <c r="E363" s="2">
        <v>27</v>
      </c>
      <c r="F363" s="2">
        <v>0</v>
      </c>
      <c r="G363" s="2">
        <f t="shared" ref="G363:G377" si="40">D363-E363-F363</f>
        <v>3</v>
      </c>
      <c r="H363" s="2">
        <v>119</v>
      </c>
      <c r="I363" s="2">
        <v>19</v>
      </c>
      <c r="J363" s="3">
        <f t="shared" ref="J363:J377" si="41">E363*3+F363*1</f>
        <v>81</v>
      </c>
    </row>
    <row r="364" spans="2:10" x14ac:dyDescent="0.25">
      <c r="B364">
        <v>3</v>
      </c>
      <c r="C364" s="2" t="s">
        <v>33</v>
      </c>
      <c r="D364" s="2">
        <v>30</v>
      </c>
      <c r="E364" s="2">
        <v>21</v>
      </c>
      <c r="F364" s="2">
        <v>2</v>
      </c>
      <c r="G364" s="2">
        <f t="shared" si="40"/>
        <v>7</v>
      </c>
      <c r="H364" s="2">
        <v>71</v>
      </c>
      <c r="I364" s="2">
        <v>26</v>
      </c>
      <c r="J364" s="3">
        <f t="shared" si="41"/>
        <v>65</v>
      </c>
    </row>
    <row r="365" spans="2:10" x14ac:dyDescent="0.25">
      <c r="B365">
        <v>4</v>
      </c>
      <c r="C365" s="2" t="s">
        <v>43</v>
      </c>
      <c r="D365" s="2">
        <v>30</v>
      </c>
      <c r="E365" s="2">
        <v>19</v>
      </c>
      <c r="F365" s="2">
        <v>6</v>
      </c>
      <c r="G365" s="2">
        <f t="shared" si="40"/>
        <v>5</v>
      </c>
      <c r="H365" s="2">
        <v>74</v>
      </c>
      <c r="I365" s="2">
        <v>28</v>
      </c>
      <c r="J365" s="3">
        <f t="shared" si="41"/>
        <v>63</v>
      </c>
    </row>
    <row r="366" spans="2:10" x14ac:dyDescent="0.25">
      <c r="B366">
        <v>5</v>
      </c>
      <c r="C366" s="2" t="s">
        <v>51</v>
      </c>
      <c r="D366" s="2">
        <v>30</v>
      </c>
      <c r="E366" s="2">
        <v>19</v>
      </c>
      <c r="F366" s="2">
        <v>2</v>
      </c>
      <c r="G366" s="2">
        <f t="shared" si="40"/>
        <v>9</v>
      </c>
      <c r="H366" s="2">
        <v>69</v>
      </c>
      <c r="I366" s="2">
        <v>35</v>
      </c>
      <c r="J366" s="3">
        <f t="shared" si="41"/>
        <v>59</v>
      </c>
    </row>
    <row r="367" spans="2:10" x14ac:dyDescent="0.25">
      <c r="B367">
        <v>6</v>
      </c>
      <c r="C367" s="2" t="s">
        <v>70</v>
      </c>
      <c r="D367" s="2">
        <v>30</v>
      </c>
      <c r="E367" s="2">
        <v>18</v>
      </c>
      <c r="F367" s="2">
        <v>3</v>
      </c>
      <c r="G367" s="2">
        <f t="shared" si="40"/>
        <v>9</v>
      </c>
      <c r="H367" s="2">
        <v>54</v>
      </c>
      <c r="I367" s="2">
        <v>50</v>
      </c>
      <c r="J367" s="3">
        <f t="shared" si="41"/>
        <v>57</v>
      </c>
    </row>
    <row r="368" spans="2:10" x14ac:dyDescent="0.25">
      <c r="B368">
        <v>7</v>
      </c>
      <c r="C368" s="2" t="s">
        <v>64</v>
      </c>
      <c r="D368" s="2">
        <v>30</v>
      </c>
      <c r="E368" s="2">
        <v>14</v>
      </c>
      <c r="F368" s="2">
        <v>5</v>
      </c>
      <c r="G368" s="2">
        <f t="shared" si="40"/>
        <v>11</v>
      </c>
      <c r="H368" s="2">
        <v>52</v>
      </c>
      <c r="I368" s="2">
        <v>29</v>
      </c>
      <c r="J368" s="3">
        <f t="shared" si="41"/>
        <v>47</v>
      </c>
    </row>
    <row r="369" spans="2:10" x14ac:dyDescent="0.25">
      <c r="B369">
        <v>8</v>
      </c>
      <c r="C369" s="2" t="s">
        <v>50</v>
      </c>
      <c r="D369" s="2">
        <v>30</v>
      </c>
      <c r="E369" s="2">
        <v>10</v>
      </c>
      <c r="F369" s="2">
        <v>7</v>
      </c>
      <c r="G369" s="2">
        <f t="shared" si="40"/>
        <v>13</v>
      </c>
      <c r="H369" s="2">
        <v>37</v>
      </c>
      <c r="I369" s="2">
        <v>41</v>
      </c>
      <c r="J369" s="3">
        <f t="shared" si="41"/>
        <v>37</v>
      </c>
    </row>
    <row r="370" spans="2:10" x14ac:dyDescent="0.25">
      <c r="B370">
        <v>9</v>
      </c>
      <c r="C370" s="2" t="s">
        <v>58</v>
      </c>
      <c r="D370" s="2">
        <v>30</v>
      </c>
      <c r="E370" s="2">
        <v>10</v>
      </c>
      <c r="F370" s="2">
        <v>7</v>
      </c>
      <c r="G370" s="2">
        <f t="shared" si="40"/>
        <v>13</v>
      </c>
      <c r="H370" s="2">
        <v>35</v>
      </c>
      <c r="I370" s="2">
        <v>49</v>
      </c>
      <c r="J370" s="3">
        <f t="shared" si="41"/>
        <v>37</v>
      </c>
    </row>
    <row r="371" spans="2:10" x14ac:dyDescent="0.25">
      <c r="B371">
        <v>10</v>
      </c>
      <c r="C371" s="2" t="s">
        <v>71</v>
      </c>
      <c r="D371" s="2">
        <v>30</v>
      </c>
      <c r="E371" s="2">
        <v>9</v>
      </c>
      <c r="F371" s="2">
        <v>7</v>
      </c>
      <c r="G371" s="2">
        <f t="shared" si="40"/>
        <v>14</v>
      </c>
      <c r="H371" s="2">
        <v>38</v>
      </c>
      <c r="I371" s="2">
        <v>59</v>
      </c>
      <c r="J371" s="3">
        <f t="shared" si="41"/>
        <v>34</v>
      </c>
    </row>
    <row r="372" spans="2:10" x14ac:dyDescent="0.25">
      <c r="B372">
        <v>11</v>
      </c>
      <c r="C372" s="2" t="s">
        <v>52</v>
      </c>
      <c r="D372" s="2">
        <v>30</v>
      </c>
      <c r="E372" s="2">
        <v>9</v>
      </c>
      <c r="F372" s="2">
        <v>5</v>
      </c>
      <c r="G372" s="2">
        <f t="shared" si="40"/>
        <v>16</v>
      </c>
      <c r="H372" s="2">
        <v>36</v>
      </c>
      <c r="I372" s="2">
        <v>59</v>
      </c>
      <c r="J372" s="3">
        <f t="shared" si="41"/>
        <v>32</v>
      </c>
    </row>
    <row r="373" spans="2:10" x14ac:dyDescent="0.25">
      <c r="B373">
        <v>12</v>
      </c>
      <c r="C373" s="2" t="s">
        <v>72</v>
      </c>
      <c r="D373" s="2">
        <v>30</v>
      </c>
      <c r="E373" s="2">
        <v>7</v>
      </c>
      <c r="F373" s="2">
        <v>7</v>
      </c>
      <c r="G373" s="2">
        <f t="shared" si="40"/>
        <v>16</v>
      </c>
      <c r="H373" s="2">
        <v>33</v>
      </c>
      <c r="I373" s="2">
        <v>75</v>
      </c>
      <c r="J373" s="3">
        <f t="shared" si="41"/>
        <v>28</v>
      </c>
    </row>
    <row r="374" spans="2:10" x14ac:dyDescent="0.25">
      <c r="B374">
        <v>13</v>
      </c>
      <c r="C374" s="2" t="s">
        <v>53</v>
      </c>
      <c r="D374" s="2">
        <v>30</v>
      </c>
      <c r="E374" s="2">
        <v>4</v>
      </c>
      <c r="F374" s="2">
        <v>7</v>
      </c>
      <c r="G374" s="2">
        <f t="shared" si="40"/>
        <v>19</v>
      </c>
      <c r="H374" s="2">
        <v>21</v>
      </c>
      <c r="I374" s="2">
        <v>68</v>
      </c>
      <c r="J374" s="3">
        <f t="shared" si="41"/>
        <v>19</v>
      </c>
    </row>
    <row r="375" spans="2:10" x14ac:dyDescent="0.25">
      <c r="B375">
        <v>14</v>
      </c>
      <c r="C375" s="2" t="s">
        <v>76</v>
      </c>
      <c r="D375" s="2">
        <v>30</v>
      </c>
      <c r="E375" s="2">
        <v>2</v>
      </c>
      <c r="F375" s="2">
        <v>6</v>
      </c>
      <c r="G375" s="2">
        <f t="shared" si="40"/>
        <v>22</v>
      </c>
      <c r="H375" s="2">
        <v>24</v>
      </c>
      <c r="I375" s="2">
        <v>84</v>
      </c>
      <c r="J375" s="3">
        <f t="shared" si="41"/>
        <v>12</v>
      </c>
    </row>
    <row r="376" spans="2:10" x14ac:dyDescent="0.25">
      <c r="B376">
        <v>15</v>
      </c>
      <c r="C376" s="2" t="s">
        <v>56</v>
      </c>
      <c r="D376" s="2">
        <v>30</v>
      </c>
      <c r="E376" s="2">
        <v>2</v>
      </c>
      <c r="F376" s="2">
        <v>4</v>
      </c>
      <c r="G376" s="2">
        <f t="shared" si="40"/>
        <v>24</v>
      </c>
      <c r="H376" s="2">
        <v>18</v>
      </c>
      <c r="I376" s="2">
        <v>92</v>
      </c>
      <c r="J376" s="3">
        <f t="shared" si="41"/>
        <v>10</v>
      </c>
    </row>
    <row r="377" spans="2:10" x14ac:dyDescent="0.25">
      <c r="B377">
        <v>16</v>
      </c>
      <c r="C377" s="4" t="s">
        <v>34</v>
      </c>
      <c r="D377" s="4">
        <v>1</v>
      </c>
      <c r="E377" s="4">
        <v>0</v>
      </c>
      <c r="F377" s="4">
        <v>0</v>
      </c>
      <c r="G377" s="4">
        <f t="shared" si="40"/>
        <v>1</v>
      </c>
      <c r="H377" s="4">
        <v>0</v>
      </c>
      <c r="I377" s="4">
        <v>6</v>
      </c>
      <c r="J377" s="5">
        <f t="shared" si="41"/>
        <v>0</v>
      </c>
    </row>
    <row r="379" spans="2:10" x14ac:dyDescent="0.25">
      <c r="B379" s="38" t="s">
        <v>77</v>
      </c>
      <c r="C379" s="38"/>
      <c r="D379" s="38"/>
      <c r="E379" s="38"/>
      <c r="F379" s="38"/>
      <c r="G379" s="38"/>
      <c r="H379" s="38"/>
      <c r="I379" s="38"/>
      <c r="J379" s="38"/>
    </row>
    <row r="380" spans="2:10" x14ac:dyDescent="0.25">
      <c r="B380" s="4">
        <v>1</v>
      </c>
      <c r="C380" s="2" t="s">
        <v>64</v>
      </c>
      <c r="D380" s="2">
        <v>30</v>
      </c>
      <c r="E380" s="2">
        <v>26</v>
      </c>
      <c r="F380" s="2">
        <v>2</v>
      </c>
      <c r="G380" s="2">
        <f>D380-E380-F380</f>
        <v>2</v>
      </c>
      <c r="H380" s="2">
        <v>103</v>
      </c>
      <c r="I380" s="2">
        <v>16</v>
      </c>
      <c r="J380" s="3">
        <f>E380*3+F380*1</f>
        <v>80</v>
      </c>
    </row>
    <row r="381" spans="2:10" x14ac:dyDescent="0.25">
      <c r="B381" s="4">
        <v>2</v>
      </c>
      <c r="C381" s="2" t="s">
        <v>18</v>
      </c>
      <c r="D381" s="2">
        <v>30</v>
      </c>
      <c r="E381" s="2">
        <v>25</v>
      </c>
      <c r="F381" s="2">
        <v>3</v>
      </c>
      <c r="G381" s="2">
        <f t="shared" ref="G381:G395" si="42">D381-E381-F381</f>
        <v>2</v>
      </c>
      <c r="H381" s="2">
        <v>106</v>
      </c>
      <c r="I381" s="2">
        <v>19</v>
      </c>
      <c r="J381" s="3">
        <f t="shared" ref="J381:J395" si="43">E381*3+F381*1</f>
        <v>78</v>
      </c>
    </row>
    <row r="382" spans="2:10" x14ac:dyDescent="0.25">
      <c r="B382" s="4">
        <v>3</v>
      </c>
      <c r="C382" s="2" t="s">
        <v>32</v>
      </c>
      <c r="D382" s="2">
        <v>30</v>
      </c>
      <c r="E382" s="2">
        <v>25</v>
      </c>
      <c r="F382" s="2">
        <v>2</v>
      </c>
      <c r="G382" s="2">
        <f t="shared" si="42"/>
        <v>3</v>
      </c>
      <c r="H382" s="2">
        <v>81</v>
      </c>
      <c r="I382" s="2">
        <v>22</v>
      </c>
      <c r="J382" s="3">
        <f t="shared" si="43"/>
        <v>77</v>
      </c>
    </row>
    <row r="383" spans="2:10" x14ac:dyDescent="0.25">
      <c r="B383" s="4">
        <v>4</v>
      </c>
      <c r="C383" s="2" t="s">
        <v>33</v>
      </c>
      <c r="D383" s="2">
        <v>30</v>
      </c>
      <c r="E383" s="2">
        <v>22</v>
      </c>
      <c r="F383" s="2">
        <v>3</v>
      </c>
      <c r="G383" s="2">
        <f t="shared" si="42"/>
        <v>5</v>
      </c>
      <c r="H383" s="2">
        <v>96</v>
      </c>
      <c r="I383" s="2">
        <v>25</v>
      </c>
      <c r="J383" s="3">
        <f t="shared" si="43"/>
        <v>69</v>
      </c>
    </row>
    <row r="384" spans="2:10" x14ac:dyDescent="0.25">
      <c r="B384" s="4">
        <v>5</v>
      </c>
      <c r="C384" s="2" t="s">
        <v>70</v>
      </c>
      <c r="D384" s="2">
        <v>30</v>
      </c>
      <c r="E384" s="2">
        <v>20</v>
      </c>
      <c r="F384" s="2">
        <v>4</v>
      </c>
      <c r="G384" s="2">
        <f t="shared" si="42"/>
        <v>6</v>
      </c>
      <c r="H384" s="2">
        <v>90</v>
      </c>
      <c r="I384" s="2">
        <v>34</v>
      </c>
      <c r="J384" s="3">
        <f t="shared" si="43"/>
        <v>64</v>
      </c>
    </row>
    <row r="385" spans="2:11" x14ac:dyDescent="0.25">
      <c r="B385" s="4">
        <v>6</v>
      </c>
      <c r="C385" s="2" t="s">
        <v>43</v>
      </c>
      <c r="D385" s="2">
        <v>30</v>
      </c>
      <c r="E385" s="2">
        <v>16</v>
      </c>
      <c r="F385" s="2">
        <v>2</v>
      </c>
      <c r="G385" s="2">
        <f t="shared" si="42"/>
        <v>12</v>
      </c>
      <c r="H385" s="2">
        <v>67</v>
      </c>
      <c r="I385" s="2">
        <v>37</v>
      </c>
      <c r="J385" s="3">
        <f t="shared" si="43"/>
        <v>50</v>
      </c>
    </row>
    <row r="386" spans="2:11" x14ac:dyDescent="0.25">
      <c r="B386" s="4">
        <v>7</v>
      </c>
      <c r="C386" s="2" t="s">
        <v>50</v>
      </c>
      <c r="D386" s="2">
        <v>30</v>
      </c>
      <c r="E386" s="2">
        <v>11</v>
      </c>
      <c r="F386" s="2">
        <v>3</v>
      </c>
      <c r="G386" s="2">
        <f t="shared" si="42"/>
        <v>16</v>
      </c>
      <c r="H386" s="2">
        <v>42</v>
      </c>
      <c r="I386" s="2">
        <v>55</v>
      </c>
      <c r="J386" s="3">
        <f t="shared" si="43"/>
        <v>36</v>
      </c>
    </row>
    <row r="387" spans="2:11" x14ac:dyDescent="0.25">
      <c r="B387" s="4">
        <v>8</v>
      </c>
      <c r="C387" s="2" t="s">
        <v>58</v>
      </c>
      <c r="D387" s="2">
        <v>30</v>
      </c>
      <c r="E387" s="2">
        <v>11</v>
      </c>
      <c r="F387" s="2">
        <v>3</v>
      </c>
      <c r="G387" s="2">
        <f t="shared" si="42"/>
        <v>16</v>
      </c>
      <c r="H387" s="2">
        <v>40</v>
      </c>
      <c r="I387" s="2">
        <v>56</v>
      </c>
      <c r="J387" s="3">
        <f t="shared" si="43"/>
        <v>36</v>
      </c>
    </row>
    <row r="388" spans="2:11" x14ac:dyDescent="0.25">
      <c r="B388" s="4">
        <v>9</v>
      </c>
      <c r="C388" s="2" t="s">
        <v>72</v>
      </c>
      <c r="D388" s="2">
        <v>30</v>
      </c>
      <c r="E388" s="2">
        <v>8</v>
      </c>
      <c r="F388" s="2">
        <v>4</v>
      </c>
      <c r="G388" s="2">
        <f t="shared" si="42"/>
        <v>18</v>
      </c>
      <c r="H388" s="2">
        <v>37</v>
      </c>
      <c r="I388" s="2">
        <v>65</v>
      </c>
      <c r="J388" s="3">
        <f t="shared" si="43"/>
        <v>28</v>
      </c>
    </row>
    <row r="389" spans="2:11" x14ac:dyDescent="0.25">
      <c r="B389" s="4">
        <v>10</v>
      </c>
      <c r="C389" s="2" t="s">
        <v>68</v>
      </c>
      <c r="D389" s="2">
        <v>30</v>
      </c>
      <c r="E389" s="2">
        <v>8</v>
      </c>
      <c r="F389" s="2">
        <v>4</v>
      </c>
      <c r="G389" s="2">
        <f t="shared" si="42"/>
        <v>18</v>
      </c>
      <c r="H389" s="2">
        <v>40</v>
      </c>
      <c r="I389" s="2">
        <v>85</v>
      </c>
      <c r="J389" s="3">
        <f t="shared" si="43"/>
        <v>28</v>
      </c>
    </row>
    <row r="390" spans="2:11" x14ac:dyDescent="0.25">
      <c r="B390" s="4">
        <v>11</v>
      </c>
      <c r="C390" s="2" t="s">
        <v>52</v>
      </c>
      <c r="D390" s="2">
        <v>30</v>
      </c>
      <c r="E390" s="2">
        <v>8</v>
      </c>
      <c r="F390" s="2">
        <v>3</v>
      </c>
      <c r="G390" s="2">
        <f t="shared" si="42"/>
        <v>19</v>
      </c>
      <c r="H390" s="2">
        <v>35</v>
      </c>
      <c r="I390" s="2">
        <v>86</v>
      </c>
      <c r="J390" s="3">
        <f t="shared" si="43"/>
        <v>27</v>
      </c>
    </row>
    <row r="391" spans="2:11" x14ac:dyDescent="0.25">
      <c r="B391" s="4">
        <v>12</v>
      </c>
      <c r="C391" s="2" t="s">
        <v>71</v>
      </c>
      <c r="D391" s="2">
        <v>30</v>
      </c>
      <c r="E391" s="2">
        <v>7</v>
      </c>
      <c r="F391" s="2">
        <v>3</v>
      </c>
      <c r="G391" s="2">
        <f t="shared" si="42"/>
        <v>20</v>
      </c>
      <c r="H391" s="2">
        <v>36</v>
      </c>
      <c r="I391" s="2">
        <v>79</v>
      </c>
      <c r="J391" s="3">
        <f t="shared" si="43"/>
        <v>24</v>
      </c>
    </row>
    <row r="392" spans="2:11" x14ac:dyDescent="0.25">
      <c r="B392" s="4">
        <v>13</v>
      </c>
      <c r="C392" s="2" t="s">
        <v>53</v>
      </c>
      <c r="D392" s="2">
        <v>30</v>
      </c>
      <c r="E392" s="2">
        <v>5</v>
      </c>
      <c r="F392" s="2">
        <v>7</v>
      </c>
      <c r="G392" s="2">
        <f t="shared" si="42"/>
        <v>18</v>
      </c>
      <c r="H392" s="2">
        <v>28</v>
      </c>
      <c r="I392" s="2">
        <v>68</v>
      </c>
      <c r="J392" s="3">
        <f t="shared" si="43"/>
        <v>22</v>
      </c>
    </row>
    <row r="393" spans="2:11" x14ac:dyDescent="0.25">
      <c r="B393" s="4">
        <v>14</v>
      </c>
      <c r="C393" s="2" t="s">
        <v>73</v>
      </c>
      <c r="D393" s="2">
        <v>30</v>
      </c>
      <c r="E393" s="2">
        <v>5</v>
      </c>
      <c r="F393" s="2">
        <v>4</v>
      </c>
      <c r="G393" s="2">
        <f t="shared" si="42"/>
        <v>21</v>
      </c>
      <c r="H393" s="2">
        <v>17</v>
      </c>
      <c r="I393" s="2">
        <v>85</v>
      </c>
      <c r="J393" s="3">
        <f t="shared" si="43"/>
        <v>19</v>
      </c>
    </row>
    <row r="394" spans="2:11" x14ac:dyDescent="0.25">
      <c r="B394" s="4">
        <v>15</v>
      </c>
      <c r="C394" s="2" t="s">
        <v>76</v>
      </c>
      <c r="D394" s="2">
        <v>30</v>
      </c>
      <c r="E394" s="2">
        <v>4</v>
      </c>
      <c r="F394" s="2">
        <v>3</v>
      </c>
      <c r="G394" s="2">
        <f t="shared" si="42"/>
        <v>23</v>
      </c>
      <c r="H394" s="2">
        <v>16</v>
      </c>
      <c r="I394" s="2">
        <v>91</v>
      </c>
      <c r="J394" s="3">
        <f t="shared" si="43"/>
        <v>15</v>
      </c>
    </row>
    <row r="395" spans="2:11" x14ac:dyDescent="0.25">
      <c r="B395" s="4">
        <v>16</v>
      </c>
      <c r="C395" s="4" t="s">
        <v>34</v>
      </c>
      <c r="D395" s="4">
        <v>5</v>
      </c>
      <c r="E395" s="4">
        <v>0</v>
      </c>
      <c r="F395" s="4">
        <v>0</v>
      </c>
      <c r="G395" s="4">
        <f t="shared" si="42"/>
        <v>5</v>
      </c>
      <c r="H395" s="4">
        <v>1</v>
      </c>
      <c r="I395" s="4">
        <v>32</v>
      </c>
      <c r="J395" s="5">
        <f t="shared" si="43"/>
        <v>0</v>
      </c>
    </row>
    <row r="397" spans="2:11" x14ac:dyDescent="0.25">
      <c r="B397" s="38" t="s">
        <v>91</v>
      </c>
      <c r="C397" s="38"/>
      <c r="D397" s="38"/>
      <c r="E397" s="38"/>
      <c r="F397" s="38"/>
      <c r="G397" s="38"/>
      <c r="H397" s="38"/>
      <c r="I397" s="38"/>
      <c r="J397" s="38"/>
    </row>
    <row r="398" spans="2:11" x14ac:dyDescent="0.25">
      <c r="B398" s="4">
        <v>1</v>
      </c>
      <c r="C398" s="2" t="s">
        <v>18</v>
      </c>
      <c r="D398" s="2">
        <v>30</v>
      </c>
      <c r="E398" s="2">
        <v>25</v>
      </c>
      <c r="F398" s="2">
        <v>2</v>
      </c>
      <c r="G398" s="2">
        <f>D398-E398-F398</f>
        <v>3</v>
      </c>
      <c r="H398" s="2">
        <v>97</v>
      </c>
      <c r="I398" s="2">
        <v>17</v>
      </c>
      <c r="J398" s="3">
        <f>E398*3+F398*1</f>
        <v>77</v>
      </c>
      <c r="K398">
        <f t="shared" ref="K398:K413" si="44">(E398*3+F398)/(D398*3)*100</f>
        <v>85.555555555555557</v>
      </c>
    </row>
    <row r="399" spans="2:11" x14ac:dyDescent="0.25">
      <c r="B399" s="4">
        <v>2</v>
      </c>
      <c r="C399" s="2" t="s">
        <v>32</v>
      </c>
      <c r="D399" s="2">
        <v>30</v>
      </c>
      <c r="E399" s="2">
        <v>25</v>
      </c>
      <c r="F399" s="2">
        <v>1</v>
      </c>
      <c r="G399" s="2">
        <f t="shared" ref="G399:G413" si="45">D399-E399-F399</f>
        <v>4</v>
      </c>
      <c r="H399" s="2">
        <v>109</v>
      </c>
      <c r="I399" s="2">
        <v>32</v>
      </c>
      <c r="J399" s="3">
        <f t="shared" ref="J399:J413" si="46">E399*3+F399*1</f>
        <v>76</v>
      </c>
      <c r="K399">
        <f t="shared" si="44"/>
        <v>84.444444444444443</v>
      </c>
    </row>
    <row r="400" spans="2:11" x14ac:dyDescent="0.25">
      <c r="B400" s="4">
        <v>3</v>
      </c>
      <c r="C400" s="2" t="s">
        <v>64</v>
      </c>
      <c r="D400" s="2">
        <v>30</v>
      </c>
      <c r="E400" s="2">
        <v>24</v>
      </c>
      <c r="F400" s="2">
        <v>2</v>
      </c>
      <c r="G400" s="2">
        <f t="shared" si="45"/>
        <v>4</v>
      </c>
      <c r="H400" s="2">
        <v>108</v>
      </c>
      <c r="I400" s="2">
        <v>25</v>
      </c>
      <c r="J400" s="3">
        <f t="shared" si="46"/>
        <v>74</v>
      </c>
      <c r="K400">
        <f t="shared" si="44"/>
        <v>82.222222222222214</v>
      </c>
    </row>
    <row r="401" spans="2:13" x14ac:dyDescent="0.25">
      <c r="B401" s="4">
        <v>4</v>
      </c>
      <c r="C401" s="2" t="s">
        <v>33</v>
      </c>
      <c r="D401" s="2">
        <v>30</v>
      </c>
      <c r="E401" s="2">
        <v>23</v>
      </c>
      <c r="F401" s="2">
        <v>2</v>
      </c>
      <c r="G401" s="2">
        <f t="shared" si="45"/>
        <v>5</v>
      </c>
      <c r="H401" s="2">
        <v>109</v>
      </c>
      <c r="I401" s="2">
        <v>20</v>
      </c>
      <c r="J401" s="3">
        <f t="shared" si="46"/>
        <v>71</v>
      </c>
      <c r="K401">
        <f t="shared" si="44"/>
        <v>78.888888888888886</v>
      </c>
    </row>
    <row r="402" spans="2:13" x14ac:dyDescent="0.25">
      <c r="B402" s="4">
        <v>5</v>
      </c>
      <c r="C402" s="2" t="s">
        <v>70</v>
      </c>
      <c r="D402" s="2">
        <v>30</v>
      </c>
      <c r="E402" s="2">
        <v>20</v>
      </c>
      <c r="F402" s="2">
        <v>6</v>
      </c>
      <c r="G402" s="2">
        <f t="shared" si="45"/>
        <v>4</v>
      </c>
      <c r="H402" s="2">
        <v>84</v>
      </c>
      <c r="I402" s="2">
        <v>31</v>
      </c>
      <c r="J402" s="3">
        <f t="shared" si="46"/>
        <v>66</v>
      </c>
      <c r="K402">
        <f t="shared" si="44"/>
        <v>73.333333333333329</v>
      </c>
    </row>
    <row r="403" spans="2:13" x14ac:dyDescent="0.25">
      <c r="B403" s="4">
        <v>6</v>
      </c>
      <c r="C403" s="2" t="s">
        <v>43</v>
      </c>
      <c r="D403" s="2">
        <v>30</v>
      </c>
      <c r="E403" s="2">
        <v>21</v>
      </c>
      <c r="F403" s="2">
        <v>2</v>
      </c>
      <c r="G403" s="2">
        <f t="shared" si="45"/>
        <v>7</v>
      </c>
      <c r="H403" s="2">
        <v>91</v>
      </c>
      <c r="I403" s="2">
        <v>27</v>
      </c>
      <c r="J403" s="3">
        <f t="shared" si="46"/>
        <v>65</v>
      </c>
      <c r="K403">
        <f t="shared" si="44"/>
        <v>72.222222222222214</v>
      </c>
    </row>
    <row r="404" spans="2:13" x14ac:dyDescent="0.25">
      <c r="B404" s="4">
        <v>7</v>
      </c>
      <c r="C404" s="2" t="s">
        <v>92</v>
      </c>
      <c r="D404" s="2">
        <v>30</v>
      </c>
      <c r="E404" s="2">
        <v>14</v>
      </c>
      <c r="F404" s="2">
        <v>1</v>
      </c>
      <c r="G404" s="2">
        <f t="shared" si="45"/>
        <v>15</v>
      </c>
      <c r="H404" s="2">
        <v>31</v>
      </c>
      <c r="I404" s="2">
        <v>47</v>
      </c>
      <c r="J404" s="3">
        <f t="shared" si="46"/>
        <v>43</v>
      </c>
      <c r="K404">
        <f t="shared" si="44"/>
        <v>47.777777777777779</v>
      </c>
    </row>
    <row r="405" spans="2:13" x14ac:dyDescent="0.25">
      <c r="B405" s="4">
        <v>8</v>
      </c>
      <c r="C405" s="2" t="s">
        <v>71</v>
      </c>
      <c r="D405" s="2">
        <v>30</v>
      </c>
      <c r="E405" s="2">
        <v>10</v>
      </c>
      <c r="F405" s="2">
        <v>4</v>
      </c>
      <c r="G405" s="2">
        <f t="shared" si="45"/>
        <v>16</v>
      </c>
      <c r="H405" s="2">
        <v>41</v>
      </c>
      <c r="I405" s="2">
        <v>56</v>
      </c>
      <c r="J405" s="3">
        <f t="shared" si="46"/>
        <v>34</v>
      </c>
      <c r="K405">
        <f t="shared" si="44"/>
        <v>37.777777777777779</v>
      </c>
    </row>
    <row r="406" spans="2:13" x14ac:dyDescent="0.25">
      <c r="B406" s="4">
        <v>9</v>
      </c>
      <c r="C406" s="2" t="s">
        <v>50</v>
      </c>
      <c r="D406" s="2">
        <v>30</v>
      </c>
      <c r="E406" s="2">
        <v>9</v>
      </c>
      <c r="F406" s="2">
        <v>6</v>
      </c>
      <c r="G406" s="2">
        <f t="shared" si="45"/>
        <v>15</v>
      </c>
      <c r="H406" s="2">
        <v>26</v>
      </c>
      <c r="I406" s="2">
        <v>50</v>
      </c>
      <c r="J406" s="3">
        <f t="shared" si="46"/>
        <v>33</v>
      </c>
      <c r="K406">
        <f t="shared" si="44"/>
        <v>36.666666666666664</v>
      </c>
    </row>
    <row r="407" spans="2:13" x14ac:dyDescent="0.25">
      <c r="B407" s="4">
        <v>10</v>
      </c>
      <c r="C407" s="2" t="s">
        <v>68</v>
      </c>
      <c r="D407" s="2">
        <v>30</v>
      </c>
      <c r="E407" s="2">
        <v>9</v>
      </c>
      <c r="F407" s="2">
        <v>4</v>
      </c>
      <c r="G407" s="2">
        <f t="shared" si="45"/>
        <v>17</v>
      </c>
      <c r="H407" s="2">
        <v>33</v>
      </c>
      <c r="I407" s="2">
        <v>72</v>
      </c>
      <c r="J407" s="3">
        <f t="shared" si="46"/>
        <v>31</v>
      </c>
      <c r="K407">
        <f t="shared" si="44"/>
        <v>34.444444444444443</v>
      </c>
    </row>
    <row r="408" spans="2:13" x14ac:dyDescent="0.25">
      <c r="B408" s="4">
        <v>11</v>
      </c>
      <c r="C408" s="2" t="s">
        <v>52</v>
      </c>
      <c r="D408" s="2">
        <v>30</v>
      </c>
      <c r="E408" s="2">
        <v>7</v>
      </c>
      <c r="F408" s="2">
        <v>5</v>
      </c>
      <c r="G408" s="2">
        <f t="shared" si="45"/>
        <v>18</v>
      </c>
      <c r="H408" s="2">
        <v>23</v>
      </c>
      <c r="I408" s="2">
        <v>67</v>
      </c>
      <c r="J408" s="3">
        <f t="shared" si="46"/>
        <v>26</v>
      </c>
      <c r="K408">
        <f t="shared" si="44"/>
        <v>28.888888888888886</v>
      </c>
    </row>
    <row r="409" spans="2:13" x14ac:dyDescent="0.25">
      <c r="B409" s="4">
        <v>12</v>
      </c>
      <c r="C409" s="2" t="s">
        <v>58</v>
      </c>
      <c r="D409" s="2">
        <v>30</v>
      </c>
      <c r="E409" s="2">
        <v>7</v>
      </c>
      <c r="F409" s="2">
        <v>4</v>
      </c>
      <c r="G409" s="2">
        <f t="shared" si="45"/>
        <v>19</v>
      </c>
      <c r="H409" s="2">
        <v>19</v>
      </c>
      <c r="I409" s="2">
        <v>80</v>
      </c>
      <c r="J409" s="3">
        <f t="shared" si="46"/>
        <v>25</v>
      </c>
      <c r="K409">
        <f t="shared" si="44"/>
        <v>27.777777777777779</v>
      </c>
    </row>
    <row r="410" spans="2:13" x14ac:dyDescent="0.25">
      <c r="B410" s="4">
        <v>13</v>
      </c>
      <c r="C410" s="2" t="s">
        <v>73</v>
      </c>
      <c r="D410" s="2">
        <v>30</v>
      </c>
      <c r="E410" s="2">
        <v>6</v>
      </c>
      <c r="F410" s="2">
        <v>5</v>
      </c>
      <c r="G410" s="2">
        <f t="shared" si="45"/>
        <v>19</v>
      </c>
      <c r="H410" s="2">
        <v>18</v>
      </c>
      <c r="I410" s="2">
        <v>78</v>
      </c>
      <c r="J410" s="3">
        <f t="shared" si="46"/>
        <v>23</v>
      </c>
      <c r="K410">
        <f t="shared" si="44"/>
        <v>25.555555555555554</v>
      </c>
    </row>
    <row r="411" spans="2:13" x14ac:dyDescent="0.25">
      <c r="B411" s="4">
        <v>14</v>
      </c>
      <c r="C411" s="2" t="s">
        <v>56</v>
      </c>
      <c r="D411" s="2">
        <v>30</v>
      </c>
      <c r="E411" s="2">
        <v>6</v>
      </c>
      <c r="F411" s="2">
        <v>2</v>
      </c>
      <c r="G411" s="2">
        <f t="shared" si="45"/>
        <v>22</v>
      </c>
      <c r="H411" s="2">
        <v>17</v>
      </c>
      <c r="I411" s="2">
        <v>62</v>
      </c>
      <c r="J411" s="3">
        <f t="shared" si="46"/>
        <v>20</v>
      </c>
      <c r="K411">
        <f t="shared" si="44"/>
        <v>22.222222222222221</v>
      </c>
    </row>
    <row r="412" spans="2:13" x14ac:dyDescent="0.25">
      <c r="B412" s="4">
        <v>15</v>
      </c>
      <c r="C412" s="2" t="s">
        <v>93</v>
      </c>
      <c r="D412" s="2">
        <v>30</v>
      </c>
      <c r="E412" s="2">
        <v>4</v>
      </c>
      <c r="F412" s="2">
        <v>5</v>
      </c>
      <c r="G412" s="2">
        <f t="shared" si="45"/>
        <v>21</v>
      </c>
      <c r="H412" s="2">
        <v>13</v>
      </c>
      <c r="I412" s="2">
        <v>71</v>
      </c>
      <c r="J412" s="3">
        <f t="shared" si="46"/>
        <v>17</v>
      </c>
      <c r="K412">
        <f t="shared" si="44"/>
        <v>18.888888888888889</v>
      </c>
    </row>
    <row r="413" spans="2:13" x14ac:dyDescent="0.25">
      <c r="B413" s="4">
        <v>16</v>
      </c>
      <c r="C413" s="4" t="s">
        <v>34</v>
      </c>
      <c r="D413" s="4">
        <v>5</v>
      </c>
      <c r="E413" s="4">
        <v>0</v>
      </c>
      <c r="F413" s="4">
        <v>0</v>
      </c>
      <c r="G413" s="4">
        <f t="shared" si="45"/>
        <v>5</v>
      </c>
      <c r="H413" s="4">
        <v>0</v>
      </c>
      <c r="I413" s="4">
        <v>28</v>
      </c>
      <c r="J413" s="5">
        <f t="shared" si="46"/>
        <v>0</v>
      </c>
      <c r="K413">
        <f t="shared" si="44"/>
        <v>0</v>
      </c>
    </row>
    <row r="415" spans="2:13" x14ac:dyDescent="0.25">
      <c r="B415" s="38" t="s">
        <v>106</v>
      </c>
      <c r="C415" s="38"/>
      <c r="D415" s="38"/>
      <c r="E415" s="38"/>
      <c r="F415" s="38"/>
      <c r="G415" s="38"/>
      <c r="H415" s="38"/>
      <c r="I415" s="38"/>
      <c r="J415" s="38"/>
    </row>
    <row r="416" spans="2:13" x14ac:dyDescent="0.25">
      <c r="B416" s="4">
        <v>1</v>
      </c>
      <c r="C416" s="2" t="s">
        <v>70</v>
      </c>
      <c r="D416" s="4">
        <v>30</v>
      </c>
      <c r="E416" s="4">
        <v>25</v>
      </c>
      <c r="F416" s="4">
        <v>0</v>
      </c>
      <c r="G416" s="4">
        <f>D416-E416-F416</f>
        <v>5</v>
      </c>
      <c r="H416" s="4">
        <v>118</v>
      </c>
      <c r="I416" s="4">
        <v>18</v>
      </c>
      <c r="J416" s="5">
        <f>E416*3+F416*1</f>
        <v>75</v>
      </c>
      <c r="K416">
        <f t="shared" ref="K416:K431" si="47">(E416*3+F416)/(D416*3)*100</f>
        <v>83.333333333333343</v>
      </c>
      <c r="L416">
        <f>H416/D416</f>
        <v>3.9333333333333331</v>
      </c>
      <c r="M416">
        <f>I416/D416</f>
        <v>0.6</v>
      </c>
    </row>
    <row r="417" spans="2:13" x14ac:dyDescent="0.25">
      <c r="B417" s="4">
        <v>2</v>
      </c>
      <c r="C417" s="2" t="s">
        <v>43</v>
      </c>
      <c r="D417" s="4">
        <v>30</v>
      </c>
      <c r="E417" s="4">
        <v>25</v>
      </c>
      <c r="F417" s="4">
        <v>0</v>
      </c>
      <c r="G417" s="4">
        <f t="shared" ref="G417:G431" si="48">D417-E417-F417</f>
        <v>5</v>
      </c>
      <c r="H417" s="4">
        <v>110</v>
      </c>
      <c r="I417" s="4">
        <v>20</v>
      </c>
      <c r="J417" s="5">
        <f t="shared" ref="J417:J431" si="49">E417*3+F417*1</f>
        <v>75</v>
      </c>
      <c r="K417" s="8">
        <f t="shared" si="47"/>
        <v>83.333333333333343</v>
      </c>
      <c r="L417">
        <f t="shared" ref="L417:L431" si="50">H417/D417</f>
        <v>3.6666666666666665</v>
      </c>
      <c r="M417" s="8">
        <f t="shared" ref="M417:M431" si="51">I417/D417</f>
        <v>0.66666666666666663</v>
      </c>
    </row>
    <row r="418" spans="2:13" x14ac:dyDescent="0.25">
      <c r="B418" s="4">
        <v>3</v>
      </c>
      <c r="C418" s="2" t="s">
        <v>64</v>
      </c>
      <c r="D418" s="4">
        <v>30</v>
      </c>
      <c r="E418" s="4">
        <v>24</v>
      </c>
      <c r="F418" s="4">
        <v>2</v>
      </c>
      <c r="G418" s="4">
        <f t="shared" si="48"/>
        <v>4</v>
      </c>
      <c r="H418" s="4">
        <v>138</v>
      </c>
      <c r="I418" s="4">
        <v>21</v>
      </c>
      <c r="J418" s="5">
        <f t="shared" si="49"/>
        <v>74</v>
      </c>
      <c r="K418">
        <f t="shared" si="47"/>
        <v>82.222222222222214</v>
      </c>
      <c r="L418">
        <f t="shared" si="50"/>
        <v>4.5999999999999996</v>
      </c>
      <c r="M418">
        <f t="shared" si="51"/>
        <v>0.7</v>
      </c>
    </row>
    <row r="419" spans="2:13" x14ac:dyDescent="0.25">
      <c r="B419" s="4">
        <v>4</v>
      </c>
      <c r="C419" s="2" t="s">
        <v>33</v>
      </c>
      <c r="D419" s="4">
        <v>30</v>
      </c>
      <c r="E419" s="4">
        <v>22</v>
      </c>
      <c r="F419" s="4">
        <v>5</v>
      </c>
      <c r="G419" s="4">
        <f t="shared" si="48"/>
        <v>3</v>
      </c>
      <c r="H419" s="4">
        <v>103</v>
      </c>
      <c r="I419" s="4">
        <v>21</v>
      </c>
      <c r="J419" s="5">
        <f t="shared" si="49"/>
        <v>71</v>
      </c>
      <c r="K419">
        <f t="shared" si="47"/>
        <v>78.888888888888886</v>
      </c>
      <c r="L419" s="8">
        <f t="shared" si="50"/>
        <v>3.4333333333333331</v>
      </c>
      <c r="M419">
        <f t="shared" si="51"/>
        <v>0.7</v>
      </c>
    </row>
    <row r="420" spans="2:13" x14ac:dyDescent="0.25">
      <c r="B420" s="4">
        <v>5</v>
      </c>
      <c r="C420" s="2" t="s">
        <v>32</v>
      </c>
      <c r="D420" s="4">
        <v>30</v>
      </c>
      <c r="E420" s="4">
        <v>19</v>
      </c>
      <c r="F420" s="4">
        <v>3</v>
      </c>
      <c r="G420" s="4">
        <f t="shared" si="48"/>
        <v>8</v>
      </c>
      <c r="H420" s="4">
        <v>76</v>
      </c>
      <c r="I420" s="4">
        <v>40</v>
      </c>
      <c r="J420" s="5">
        <f t="shared" si="49"/>
        <v>60</v>
      </c>
      <c r="K420">
        <f t="shared" si="47"/>
        <v>66.666666666666657</v>
      </c>
      <c r="L420">
        <f t="shared" si="50"/>
        <v>2.5333333333333332</v>
      </c>
      <c r="M420" s="8">
        <f t="shared" si="51"/>
        <v>1.3333333333333333</v>
      </c>
    </row>
    <row r="421" spans="2:13" x14ac:dyDescent="0.25">
      <c r="B421" s="4">
        <v>6</v>
      </c>
      <c r="C421" s="2" t="s">
        <v>18</v>
      </c>
      <c r="D421" s="4">
        <v>30</v>
      </c>
      <c r="E421" s="4">
        <v>18</v>
      </c>
      <c r="F421" s="4">
        <v>4</v>
      </c>
      <c r="G421" s="4">
        <f t="shared" si="48"/>
        <v>8</v>
      </c>
      <c r="H421" s="4">
        <v>77</v>
      </c>
      <c r="I421" s="4">
        <v>32</v>
      </c>
      <c r="J421" s="5">
        <f t="shared" si="49"/>
        <v>58</v>
      </c>
      <c r="K421">
        <f t="shared" si="47"/>
        <v>64.444444444444443</v>
      </c>
      <c r="L421">
        <f t="shared" si="50"/>
        <v>2.5666666666666669</v>
      </c>
      <c r="M421">
        <f t="shared" si="51"/>
        <v>1.0666666666666667</v>
      </c>
    </row>
    <row r="422" spans="2:13" x14ac:dyDescent="0.25">
      <c r="B422" s="4">
        <v>7</v>
      </c>
      <c r="C422" s="2" t="s">
        <v>71</v>
      </c>
      <c r="D422" s="4">
        <v>30</v>
      </c>
      <c r="E422" s="4">
        <v>13</v>
      </c>
      <c r="F422" s="4">
        <v>4</v>
      </c>
      <c r="G422" s="4">
        <f t="shared" si="48"/>
        <v>13</v>
      </c>
      <c r="H422" s="4">
        <v>65</v>
      </c>
      <c r="I422" s="4">
        <v>48</v>
      </c>
      <c r="J422" s="5">
        <f t="shared" si="49"/>
        <v>43</v>
      </c>
      <c r="K422">
        <f t="shared" si="47"/>
        <v>47.777777777777779</v>
      </c>
      <c r="L422">
        <f t="shared" si="50"/>
        <v>2.1666666666666665</v>
      </c>
      <c r="M422">
        <f t="shared" si="51"/>
        <v>1.6</v>
      </c>
    </row>
    <row r="423" spans="2:13" x14ac:dyDescent="0.25">
      <c r="B423" s="4">
        <v>8</v>
      </c>
      <c r="C423" s="2" t="s">
        <v>76</v>
      </c>
      <c r="D423" s="4">
        <v>30</v>
      </c>
      <c r="E423" s="4">
        <v>12</v>
      </c>
      <c r="F423" s="4">
        <v>3</v>
      </c>
      <c r="G423" s="4">
        <f t="shared" si="48"/>
        <v>15</v>
      </c>
      <c r="H423" s="4">
        <v>43</v>
      </c>
      <c r="I423" s="4">
        <v>63</v>
      </c>
      <c r="J423" s="5">
        <f t="shared" si="49"/>
        <v>39</v>
      </c>
      <c r="K423">
        <f t="shared" si="47"/>
        <v>43.333333333333336</v>
      </c>
      <c r="L423">
        <f t="shared" si="50"/>
        <v>1.4333333333333333</v>
      </c>
      <c r="M423">
        <f t="shared" si="51"/>
        <v>2.1</v>
      </c>
    </row>
    <row r="424" spans="2:13" x14ac:dyDescent="0.25">
      <c r="B424" s="4">
        <v>9</v>
      </c>
      <c r="C424" s="2" t="s">
        <v>58</v>
      </c>
      <c r="D424" s="4">
        <v>30</v>
      </c>
      <c r="E424" s="4">
        <v>11</v>
      </c>
      <c r="F424" s="4">
        <v>5</v>
      </c>
      <c r="G424" s="4">
        <f t="shared" si="48"/>
        <v>14</v>
      </c>
      <c r="H424" s="4">
        <v>31</v>
      </c>
      <c r="I424" s="4">
        <v>52</v>
      </c>
      <c r="J424" s="5">
        <f t="shared" si="49"/>
        <v>38</v>
      </c>
      <c r="K424">
        <f t="shared" si="47"/>
        <v>42.222222222222221</v>
      </c>
      <c r="L424">
        <f t="shared" si="50"/>
        <v>1.0333333333333334</v>
      </c>
      <c r="M424">
        <f t="shared" si="51"/>
        <v>1.7333333333333334</v>
      </c>
    </row>
    <row r="425" spans="2:13" x14ac:dyDescent="0.25">
      <c r="B425" s="4">
        <v>10</v>
      </c>
      <c r="C425" s="2" t="s">
        <v>92</v>
      </c>
      <c r="D425" s="4">
        <v>30</v>
      </c>
      <c r="E425" s="4">
        <v>10</v>
      </c>
      <c r="F425" s="4">
        <v>5</v>
      </c>
      <c r="G425" s="4">
        <f t="shared" si="48"/>
        <v>15</v>
      </c>
      <c r="H425" s="4">
        <v>42</v>
      </c>
      <c r="I425" s="4">
        <v>49</v>
      </c>
      <c r="J425" s="5">
        <f t="shared" si="49"/>
        <v>35</v>
      </c>
      <c r="K425">
        <f t="shared" si="47"/>
        <v>38.888888888888893</v>
      </c>
      <c r="L425">
        <f t="shared" si="50"/>
        <v>1.4</v>
      </c>
      <c r="M425">
        <f t="shared" si="51"/>
        <v>1.6333333333333333</v>
      </c>
    </row>
    <row r="426" spans="2:13" x14ac:dyDescent="0.25">
      <c r="B426" s="4">
        <v>11</v>
      </c>
      <c r="C426" s="2" t="s">
        <v>68</v>
      </c>
      <c r="D426" s="4">
        <v>30</v>
      </c>
      <c r="E426" s="4">
        <v>11</v>
      </c>
      <c r="F426" s="4">
        <v>1</v>
      </c>
      <c r="G426" s="4">
        <f t="shared" si="48"/>
        <v>18</v>
      </c>
      <c r="H426" s="4">
        <v>38</v>
      </c>
      <c r="I426" s="4">
        <v>81</v>
      </c>
      <c r="J426" s="5">
        <f t="shared" si="49"/>
        <v>34</v>
      </c>
      <c r="K426">
        <f t="shared" si="47"/>
        <v>37.777777777777779</v>
      </c>
      <c r="L426">
        <f t="shared" si="50"/>
        <v>1.2666666666666666</v>
      </c>
      <c r="M426">
        <f t="shared" si="51"/>
        <v>2.7</v>
      </c>
    </row>
    <row r="427" spans="2:13" x14ac:dyDescent="0.25">
      <c r="B427" s="4">
        <v>12</v>
      </c>
      <c r="C427" s="2" t="s">
        <v>107</v>
      </c>
      <c r="D427" s="4">
        <v>30</v>
      </c>
      <c r="E427" s="4">
        <v>10</v>
      </c>
      <c r="F427" s="4">
        <v>3</v>
      </c>
      <c r="G427" s="4">
        <f t="shared" si="48"/>
        <v>17</v>
      </c>
      <c r="H427" s="4">
        <v>41</v>
      </c>
      <c r="I427" s="4">
        <v>93</v>
      </c>
      <c r="J427" s="5">
        <f t="shared" si="49"/>
        <v>33</v>
      </c>
      <c r="K427">
        <f t="shared" si="47"/>
        <v>36.666666666666664</v>
      </c>
      <c r="L427">
        <f t="shared" si="50"/>
        <v>1.3666666666666667</v>
      </c>
      <c r="M427">
        <f t="shared" si="51"/>
        <v>3.1</v>
      </c>
    </row>
    <row r="428" spans="2:13" x14ac:dyDescent="0.25">
      <c r="B428" s="4">
        <v>13</v>
      </c>
      <c r="C428" s="2" t="s">
        <v>52</v>
      </c>
      <c r="D428" s="4">
        <v>30</v>
      </c>
      <c r="E428" s="4">
        <v>5</v>
      </c>
      <c r="F428" s="4">
        <v>6</v>
      </c>
      <c r="G428" s="4">
        <f t="shared" si="48"/>
        <v>19</v>
      </c>
      <c r="H428" s="4">
        <v>26</v>
      </c>
      <c r="I428" s="4">
        <v>102</v>
      </c>
      <c r="J428" s="5">
        <f t="shared" si="49"/>
        <v>21</v>
      </c>
      <c r="K428">
        <f t="shared" si="47"/>
        <v>23.333333333333332</v>
      </c>
      <c r="L428">
        <f t="shared" si="50"/>
        <v>0.8666666666666667</v>
      </c>
      <c r="M428">
        <f t="shared" si="51"/>
        <v>3.4</v>
      </c>
    </row>
    <row r="429" spans="2:13" x14ac:dyDescent="0.25">
      <c r="B429" s="4">
        <v>14</v>
      </c>
      <c r="C429" s="2" t="s">
        <v>56</v>
      </c>
      <c r="D429" s="4">
        <v>30</v>
      </c>
      <c r="E429" s="4">
        <v>5</v>
      </c>
      <c r="F429" s="4">
        <v>2</v>
      </c>
      <c r="G429" s="4">
        <f t="shared" si="48"/>
        <v>23</v>
      </c>
      <c r="H429" s="4">
        <v>13</v>
      </c>
      <c r="I429" s="4">
        <v>93</v>
      </c>
      <c r="J429" s="5">
        <f t="shared" si="49"/>
        <v>17</v>
      </c>
      <c r="K429">
        <f t="shared" si="47"/>
        <v>18.888888888888889</v>
      </c>
      <c r="L429" s="2">
        <f t="shared" si="50"/>
        <v>0.43333333333333335</v>
      </c>
      <c r="M429">
        <f t="shared" si="51"/>
        <v>3.1</v>
      </c>
    </row>
    <row r="430" spans="2:13" x14ac:dyDescent="0.25">
      <c r="B430" s="4">
        <v>15</v>
      </c>
      <c r="C430" s="2" t="s">
        <v>50</v>
      </c>
      <c r="D430" s="4">
        <v>30</v>
      </c>
      <c r="E430" s="4">
        <v>3</v>
      </c>
      <c r="F430" s="4">
        <v>6</v>
      </c>
      <c r="G430" s="4">
        <f t="shared" si="48"/>
        <v>21</v>
      </c>
      <c r="H430" s="4">
        <v>16</v>
      </c>
      <c r="I430" s="4">
        <v>69</v>
      </c>
      <c r="J430" s="5">
        <f t="shared" si="49"/>
        <v>15</v>
      </c>
      <c r="K430">
        <f t="shared" si="47"/>
        <v>16.666666666666664</v>
      </c>
      <c r="L430">
        <f t="shared" si="50"/>
        <v>0.53333333333333333</v>
      </c>
      <c r="M430">
        <f t="shared" si="51"/>
        <v>2.2999999999999998</v>
      </c>
    </row>
    <row r="431" spans="2:13" x14ac:dyDescent="0.25">
      <c r="B431" s="4">
        <v>16</v>
      </c>
      <c r="C431" s="2" t="s">
        <v>73</v>
      </c>
      <c r="D431" s="4">
        <v>30</v>
      </c>
      <c r="E431" s="4">
        <v>2</v>
      </c>
      <c r="F431" s="4">
        <v>1</v>
      </c>
      <c r="G431" s="4">
        <f t="shared" si="48"/>
        <v>27</v>
      </c>
      <c r="H431" s="4">
        <v>13</v>
      </c>
      <c r="I431" s="4">
        <v>148</v>
      </c>
      <c r="J431" s="5">
        <f t="shared" si="49"/>
        <v>7</v>
      </c>
      <c r="K431" s="2">
        <f t="shared" si="47"/>
        <v>7.7777777777777777</v>
      </c>
      <c r="L431">
        <f t="shared" si="50"/>
        <v>0.43333333333333335</v>
      </c>
      <c r="M431" s="2">
        <f t="shared" si="51"/>
        <v>4.9333333333333336</v>
      </c>
    </row>
    <row r="432" spans="2:13" x14ac:dyDescent="0.25">
      <c r="C432" s="4"/>
    </row>
  </sheetData>
  <mergeCells count="24">
    <mergeCell ref="B343:J343"/>
    <mergeCell ref="B325:J325"/>
    <mergeCell ref="B307:J307"/>
    <mergeCell ref="B217:J217"/>
    <mergeCell ref="B235:J235"/>
    <mergeCell ref="B253:J253"/>
    <mergeCell ref="B271:J271"/>
    <mergeCell ref="B289:J289"/>
    <mergeCell ref="B415:J415"/>
    <mergeCell ref="B397:J397"/>
    <mergeCell ref="B379:J379"/>
    <mergeCell ref="B199:J199"/>
    <mergeCell ref="B1:J1"/>
    <mergeCell ref="B19:J19"/>
    <mergeCell ref="B37:J37"/>
    <mergeCell ref="B55:J55"/>
    <mergeCell ref="B73:J73"/>
    <mergeCell ref="B91:J91"/>
    <mergeCell ref="B109:J109"/>
    <mergeCell ref="B127:J127"/>
    <mergeCell ref="B145:J145"/>
    <mergeCell ref="B163:J163"/>
    <mergeCell ref="B181:J181"/>
    <mergeCell ref="B361:J361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9"/>
  <sheetViews>
    <sheetView tabSelected="1" workbookViewId="0">
      <selection activeCell="P8" sqref="P8"/>
    </sheetView>
  </sheetViews>
  <sheetFormatPr defaultRowHeight="15" x14ac:dyDescent="0.25"/>
  <cols>
    <col min="4" max="4" width="30.7109375" bestFit="1" customWidth="1"/>
    <col min="12" max="14" width="7.140625" style="13" customWidth="1"/>
    <col min="15" max="15" width="7.140625" style="22" customWidth="1"/>
    <col min="18" max="18" width="25" bestFit="1" customWidth="1"/>
  </cols>
  <sheetData>
    <row r="1" spans="1:20" x14ac:dyDescent="0.25">
      <c r="L1" s="37"/>
      <c r="M1" s="37"/>
      <c r="N1" s="37"/>
      <c r="O1" s="37"/>
    </row>
    <row r="2" spans="1:20" x14ac:dyDescent="0.25">
      <c r="A2">
        <f>B2-C2</f>
        <v>0</v>
      </c>
      <c r="B2">
        <v>1</v>
      </c>
      <c r="C2">
        <v>1</v>
      </c>
      <c r="D2" s="8" t="s">
        <v>18</v>
      </c>
      <c r="E2" s="20">
        <v>690</v>
      </c>
      <c r="F2" s="17">
        <v>468</v>
      </c>
      <c r="G2" s="17">
        <v>94</v>
      </c>
      <c r="H2" s="8">
        <f>E2-F2-G2</f>
        <v>128</v>
      </c>
      <c r="I2" s="17">
        <v>2042</v>
      </c>
      <c r="J2" s="8">
        <v>606</v>
      </c>
      <c r="K2" s="10">
        <f>F2*3+G2</f>
        <v>1498</v>
      </c>
      <c r="L2" s="15">
        <f>(F2*3+G2)/(E2*3)*100</f>
        <v>72.367149758454104</v>
      </c>
      <c r="M2" s="19">
        <f>I2/E2</f>
        <v>2.9594202898550726</v>
      </c>
      <c r="N2" s="18">
        <f>J2/E2</f>
        <v>0.87826086956521743</v>
      </c>
      <c r="O2" s="24">
        <f>I2-J2</f>
        <v>1436</v>
      </c>
    </row>
    <row r="3" spans="1:20" x14ac:dyDescent="0.25">
      <c r="A3">
        <f>B3-C3</f>
        <v>0</v>
      </c>
      <c r="B3">
        <v>2</v>
      </c>
      <c r="C3">
        <v>2</v>
      </c>
      <c r="D3" s="8" t="s">
        <v>32</v>
      </c>
      <c r="E3" s="9">
        <v>630</v>
      </c>
      <c r="F3" s="8">
        <v>424</v>
      </c>
      <c r="G3" s="8">
        <v>84</v>
      </c>
      <c r="H3" s="8">
        <f>E3-F3-G3</f>
        <v>122</v>
      </c>
      <c r="I3" s="8">
        <v>1738</v>
      </c>
      <c r="J3" s="8">
        <v>569</v>
      </c>
      <c r="K3" s="10">
        <f>F3*3+G3</f>
        <v>1356</v>
      </c>
      <c r="L3" s="16">
        <f>(F3*3+G3)/(E3*3)*100</f>
        <v>71.746031746031747</v>
      </c>
      <c r="M3" s="18">
        <f>I3/E3</f>
        <v>2.7587301587301587</v>
      </c>
      <c r="N3" s="19">
        <f>J3/E3</f>
        <v>0.90317460317460319</v>
      </c>
      <c r="O3" s="22">
        <f>I3-J3</f>
        <v>1169</v>
      </c>
    </row>
    <row r="4" spans="1:20" x14ac:dyDescent="0.25">
      <c r="A4">
        <f>B4-C4</f>
        <v>0</v>
      </c>
      <c r="B4">
        <v>3</v>
      </c>
      <c r="C4">
        <v>3</v>
      </c>
      <c r="D4" s="8" t="s">
        <v>33</v>
      </c>
      <c r="E4" s="9">
        <v>630</v>
      </c>
      <c r="F4" s="8">
        <v>423</v>
      </c>
      <c r="G4" s="8">
        <v>77</v>
      </c>
      <c r="H4" s="8">
        <f>E4-F4-G4</f>
        <v>130</v>
      </c>
      <c r="I4" s="8">
        <v>1826</v>
      </c>
      <c r="J4" s="8">
        <v>542</v>
      </c>
      <c r="K4" s="10">
        <f>F4*3+G4</f>
        <v>1346</v>
      </c>
      <c r="L4" s="15">
        <f>(F4*3+G4)/(E4*3)*100</f>
        <v>71.216931216931215</v>
      </c>
      <c r="M4" s="18">
        <f>I4/E4</f>
        <v>2.8984126984126983</v>
      </c>
      <c r="N4" s="18">
        <f>J4/E4</f>
        <v>0.86031746031746037</v>
      </c>
      <c r="O4" s="22">
        <f>I4-J4</f>
        <v>1284</v>
      </c>
    </row>
    <row r="5" spans="1:20" x14ac:dyDescent="0.25">
      <c r="A5">
        <f t="shared" ref="A5:A59" si="0">B5-C5</f>
        <v>0</v>
      </c>
      <c r="B5">
        <v>4</v>
      </c>
      <c r="C5">
        <v>4</v>
      </c>
      <c r="D5" s="8" t="s">
        <v>43</v>
      </c>
      <c r="E5" s="9">
        <v>510</v>
      </c>
      <c r="F5" s="8">
        <v>332</v>
      </c>
      <c r="G5" s="8">
        <v>63</v>
      </c>
      <c r="H5" s="8">
        <f>E5-F5-G5</f>
        <v>115</v>
      </c>
      <c r="I5" s="8">
        <v>1366</v>
      </c>
      <c r="J5" s="8">
        <v>428</v>
      </c>
      <c r="K5" s="10">
        <f>F5*3+G5</f>
        <v>1059</v>
      </c>
      <c r="L5" s="15">
        <f>(F5*3+G5)/(E5*3)*100</f>
        <v>69.215686274509807</v>
      </c>
      <c r="M5" s="18">
        <f>I5/E5</f>
        <v>2.6784313725490194</v>
      </c>
      <c r="N5" s="23">
        <f>J5/E5</f>
        <v>0.83921568627450982</v>
      </c>
      <c r="O5" s="22">
        <f>I5-J5</f>
        <v>938</v>
      </c>
      <c r="R5" t="s">
        <v>78</v>
      </c>
    </row>
    <row r="6" spans="1:20" x14ac:dyDescent="0.25">
      <c r="A6">
        <f t="shared" si="0"/>
        <v>0</v>
      </c>
      <c r="B6">
        <v>5</v>
      </c>
      <c r="C6">
        <v>5</v>
      </c>
      <c r="D6" t="s">
        <v>24</v>
      </c>
      <c r="E6" s="6">
        <v>420</v>
      </c>
      <c r="F6">
        <v>239</v>
      </c>
      <c r="G6">
        <v>69</v>
      </c>
      <c r="H6">
        <f>E6-F6-G6</f>
        <v>112</v>
      </c>
      <c r="I6">
        <v>952</v>
      </c>
      <c r="J6" s="4">
        <v>569</v>
      </c>
      <c r="K6" s="10">
        <f>F6*3+G6</f>
        <v>786</v>
      </c>
      <c r="L6" s="15">
        <f>(F6*3+G6)/(E6*3)*100</f>
        <v>62.38095238095238</v>
      </c>
      <c r="M6" s="18">
        <f>I6/E6</f>
        <v>2.2666666666666666</v>
      </c>
      <c r="N6" s="18">
        <f>J6/E6</f>
        <v>1.3547619047619048</v>
      </c>
      <c r="O6" s="22">
        <f>I6-J6</f>
        <v>383</v>
      </c>
      <c r="R6" t="s">
        <v>79</v>
      </c>
      <c r="T6" t="s">
        <v>126</v>
      </c>
    </row>
    <row r="7" spans="1:20" x14ac:dyDescent="0.25">
      <c r="A7">
        <f t="shared" si="0"/>
        <v>0</v>
      </c>
      <c r="B7">
        <v>6</v>
      </c>
      <c r="C7">
        <v>6</v>
      </c>
      <c r="D7" t="s">
        <v>4</v>
      </c>
      <c r="E7" s="6">
        <v>360</v>
      </c>
      <c r="F7">
        <v>178</v>
      </c>
      <c r="G7">
        <v>69</v>
      </c>
      <c r="H7">
        <f>E7-F7-G7</f>
        <v>113</v>
      </c>
      <c r="I7">
        <v>647</v>
      </c>
      <c r="J7">
        <v>438</v>
      </c>
      <c r="K7" s="10">
        <f>F7*3+G7</f>
        <v>603</v>
      </c>
      <c r="L7" s="15">
        <f>(F7*3+G7)/(E7*3)*100</f>
        <v>55.833333333333336</v>
      </c>
      <c r="M7" s="18">
        <f>I7/E7</f>
        <v>1.7972222222222223</v>
      </c>
      <c r="N7" s="18">
        <f>J7/E7</f>
        <v>1.2166666666666666</v>
      </c>
      <c r="O7" s="22">
        <f>I7-J7</f>
        <v>209</v>
      </c>
      <c r="R7" t="s">
        <v>82</v>
      </c>
      <c r="T7" t="s">
        <v>127</v>
      </c>
    </row>
    <row r="8" spans="1:20" x14ac:dyDescent="0.25">
      <c r="A8">
        <f t="shared" si="0"/>
        <v>0</v>
      </c>
      <c r="B8">
        <v>7</v>
      </c>
      <c r="C8">
        <v>7</v>
      </c>
      <c r="D8" t="s">
        <v>27</v>
      </c>
      <c r="E8" s="6">
        <v>360</v>
      </c>
      <c r="F8">
        <v>174</v>
      </c>
      <c r="G8">
        <v>74</v>
      </c>
      <c r="H8">
        <f>E8-F8-G8</f>
        <v>112</v>
      </c>
      <c r="I8">
        <v>740</v>
      </c>
      <c r="J8">
        <v>436</v>
      </c>
      <c r="K8" s="10">
        <f>F8*3+G8</f>
        <v>596</v>
      </c>
      <c r="L8" s="15">
        <f>(F8*3+G8)/(E8*3)*100</f>
        <v>55.185185185185183</v>
      </c>
      <c r="M8" s="18">
        <f>I8/E8</f>
        <v>2.0555555555555554</v>
      </c>
      <c r="N8" s="18">
        <f>J8/E8</f>
        <v>1.211111111111111</v>
      </c>
      <c r="O8" s="22">
        <f>I8-J8</f>
        <v>304</v>
      </c>
      <c r="R8" t="s">
        <v>80</v>
      </c>
      <c r="T8" t="s">
        <v>128</v>
      </c>
    </row>
    <row r="9" spans="1:20" x14ac:dyDescent="0.25">
      <c r="A9">
        <f t="shared" si="0"/>
        <v>-5</v>
      </c>
      <c r="B9">
        <v>8</v>
      </c>
      <c r="C9">
        <v>13</v>
      </c>
      <c r="D9" s="8" t="s">
        <v>64</v>
      </c>
      <c r="E9" s="9">
        <v>300</v>
      </c>
      <c r="F9" s="8">
        <v>185</v>
      </c>
      <c r="G9" s="8">
        <v>36</v>
      </c>
      <c r="H9" s="8">
        <f>E9-F9-G9</f>
        <v>79</v>
      </c>
      <c r="I9" s="8">
        <v>765</v>
      </c>
      <c r="J9" s="8">
        <v>264</v>
      </c>
      <c r="K9" s="10">
        <f>F9*3+G9</f>
        <v>591</v>
      </c>
      <c r="L9" s="15">
        <f>(F9*3+G9)/(E9*3)*100</f>
        <v>65.666666666666657</v>
      </c>
      <c r="M9" s="18">
        <f>I9/E9</f>
        <v>2.5499999999999998</v>
      </c>
      <c r="N9" s="18">
        <f>J9/E9</f>
        <v>0.88</v>
      </c>
      <c r="O9" s="22">
        <f>I9-J9</f>
        <v>501</v>
      </c>
      <c r="R9" t="s">
        <v>81</v>
      </c>
      <c r="T9" t="s">
        <v>123</v>
      </c>
    </row>
    <row r="10" spans="1:20" x14ac:dyDescent="0.25">
      <c r="A10">
        <f t="shared" si="0"/>
        <v>1</v>
      </c>
      <c r="B10">
        <v>9</v>
      </c>
      <c r="C10">
        <v>8</v>
      </c>
      <c r="D10" t="s">
        <v>23</v>
      </c>
      <c r="E10" s="6">
        <v>300</v>
      </c>
      <c r="F10">
        <v>174</v>
      </c>
      <c r="G10">
        <v>61</v>
      </c>
      <c r="H10">
        <f>E10-F10-G10</f>
        <v>65</v>
      </c>
      <c r="I10">
        <v>650</v>
      </c>
      <c r="J10">
        <v>287</v>
      </c>
      <c r="K10" s="10">
        <f>F10*3+G10</f>
        <v>583</v>
      </c>
      <c r="L10" s="15">
        <f>(F10*3+G10)/(E10*3)*100</f>
        <v>64.777777777777771</v>
      </c>
      <c r="M10" s="18">
        <f>I10/E10</f>
        <v>2.1666666666666665</v>
      </c>
      <c r="N10" s="18">
        <f>J10/E10</f>
        <v>0.95666666666666667</v>
      </c>
      <c r="O10" s="22">
        <f>I10-J10</f>
        <v>363</v>
      </c>
      <c r="R10" t="s">
        <v>83</v>
      </c>
      <c r="T10" t="s">
        <v>129</v>
      </c>
    </row>
    <row r="11" spans="1:20" x14ac:dyDescent="0.25">
      <c r="A11">
        <f t="shared" si="0"/>
        <v>1</v>
      </c>
      <c r="B11">
        <v>10</v>
      </c>
      <c r="C11">
        <v>9</v>
      </c>
      <c r="D11" t="s">
        <v>0</v>
      </c>
      <c r="E11" s="6">
        <v>300</v>
      </c>
      <c r="F11">
        <v>166</v>
      </c>
      <c r="G11">
        <v>62</v>
      </c>
      <c r="H11">
        <f>E11-F11-G11</f>
        <v>72</v>
      </c>
      <c r="I11">
        <v>605</v>
      </c>
      <c r="J11">
        <v>320</v>
      </c>
      <c r="K11" s="10">
        <f>F11*3+G11</f>
        <v>560</v>
      </c>
      <c r="L11" s="15">
        <f>(F11*3+G11)/(E11*3)*100</f>
        <v>62.222222222222221</v>
      </c>
      <c r="M11" s="18">
        <f>I11/E11</f>
        <v>2.0166666666666666</v>
      </c>
      <c r="N11" s="18">
        <f>J11/E11</f>
        <v>1.0666666666666667</v>
      </c>
      <c r="O11" s="22">
        <f>I11-J11</f>
        <v>285</v>
      </c>
      <c r="R11" t="s">
        <v>84</v>
      </c>
      <c r="T11" t="s">
        <v>124</v>
      </c>
    </row>
    <row r="12" spans="1:20" x14ac:dyDescent="0.25">
      <c r="A12">
        <f t="shared" si="0"/>
        <v>-4</v>
      </c>
      <c r="B12">
        <v>11</v>
      </c>
      <c r="C12">
        <v>15</v>
      </c>
      <c r="D12" s="8" t="s">
        <v>70</v>
      </c>
      <c r="E12" s="9">
        <v>240</v>
      </c>
      <c r="F12" s="8">
        <v>168</v>
      </c>
      <c r="G12" s="8">
        <v>23</v>
      </c>
      <c r="H12" s="8">
        <f>E12-F12-G12</f>
        <v>49</v>
      </c>
      <c r="I12" s="8">
        <v>533</v>
      </c>
      <c r="J12" s="8">
        <v>198</v>
      </c>
      <c r="K12" s="10">
        <f>F12*3+G12</f>
        <v>527</v>
      </c>
      <c r="L12" s="15">
        <f>(F12*3+G12)/(E12*3)*100</f>
        <v>73.194444444444443</v>
      </c>
      <c r="M12" s="18">
        <f>I12/E12</f>
        <v>2.2208333333333332</v>
      </c>
      <c r="N12" s="18">
        <f>J12/E12</f>
        <v>0.82499999999999996</v>
      </c>
      <c r="O12" s="22">
        <f>I12-J12</f>
        <v>335</v>
      </c>
      <c r="R12" t="s">
        <v>85</v>
      </c>
      <c r="T12" t="s">
        <v>100</v>
      </c>
    </row>
    <row r="13" spans="1:20" x14ac:dyDescent="0.25">
      <c r="A13">
        <f t="shared" si="0"/>
        <v>2</v>
      </c>
      <c r="B13">
        <v>12</v>
      </c>
      <c r="C13">
        <v>10</v>
      </c>
      <c r="D13" s="11" t="s">
        <v>51</v>
      </c>
      <c r="E13" s="12">
        <v>270</v>
      </c>
      <c r="F13" s="11">
        <v>160</v>
      </c>
      <c r="G13" s="11">
        <v>32</v>
      </c>
      <c r="H13" s="11">
        <f>E13-F13-G13</f>
        <v>78</v>
      </c>
      <c r="I13" s="11">
        <v>558</v>
      </c>
      <c r="J13" s="11">
        <v>280</v>
      </c>
      <c r="K13" s="10">
        <f>F13*3+G13</f>
        <v>512</v>
      </c>
      <c r="L13" s="15">
        <f>(F13*3+G13)/(E13*3)*100</f>
        <v>63.209876543209873</v>
      </c>
      <c r="M13" s="18">
        <f>I13/E13</f>
        <v>2.0666666666666669</v>
      </c>
      <c r="N13" s="18">
        <f>J13/E13</f>
        <v>1.037037037037037</v>
      </c>
      <c r="O13" s="22">
        <f>I13-J13</f>
        <v>278</v>
      </c>
      <c r="R13" t="s">
        <v>86</v>
      </c>
      <c r="T13" t="s">
        <v>131</v>
      </c>
    </row>
    <row r="14" spans="1:20" x14ac:dyDescent="0.25">
      <c r="A14">
        <f t="shared" si="0"/>
        <v>2</v>
      </c>
      <c r="B14">
        <v>13</v>
      </c>
      <c r="C14">
        <v>11</v>
      </c>
      <c r="D14" t="s">
        <v>3</v>
      </c>
      <c r="E14" s="6">
        <v>330</v>
      </c>
      <c r="F14">
        <v>141</v>
      </c>
      <c r="G14">
        <v>76</v>
      </c>
      <c r="H14">
        <f>E14-F14-G14</f>
        <v>113</v>
      </c>
      <c r="I14">
        <v>523</v>
      </c>
      <c r="J14">
        <v>443</v>
      </c>
      <c r="K14" s="10">
        <f>F14*3+G14</f>
        <v>499</v>
      </c>
      <c r="L14" s="15">
        <f>(F14*3+G14)/(E14*3)*100</f>
        <v>50.404040404040408</v>
      </c>
      <c r="M14" s="18">
        <f>I14/E14</f>
        <v>1.584848484848485</v>
      </c>
      <c r="N14" s="18">
        <f>J14/E14</f>
        <v>1.3424242424242425</v>
      </c>
      <c r="O14" s="22">
        <f>I14-J14</f>
        <v>80</v>
      </c>
      <c r="R14" t="s">
        <v>87</v>
      </c>
      <c r="T14" t="s">
        <v>132</v>
      </c>
    </row>
    <row r="15" spans="1:20" x14ac:dyDescent="0.25">
      <c r="A15">
        <f t="shared" si="0"/>
        <v>-3</v>
      </c>
      <c r="B15">
        <v>14</v>
      </c>
      <c r="C15">
        <v>17</v>
      </c>
      <c r="D15" s="8" t="s">
        <v>58</v>
      </c>
      <c r="E15" s="9">
        <v>360</v>
      </c>
      <c r="F15" s="8">
        <v>143</v>
      </c>
      <c r="G15" s="8">
        <v>58</v>
      </c>
      <c r="H15" s="8">
        <f>E15-F15-G15</f>
        <v>159</v>
      </c>
      <c r="I15" s="8">
        <v>519</v>
      </c>
      <c r="J15" s="8">
        <v>597</v>
      </c>
      <c r="K15" s="10">
        <f>F15*3+G15</f>
        <v>487</v>
      </c>
      <c r="L15" s="15">
        <f>(F15*3+G15)/(E15*3)*100</f>
        <v>45.092592592592595</v>
      </c>
      <c r="M15" s="18">
        <f>I15/E15</f>
        <v>1.4416666666666667</v>
      </c>
      <c r="N15" s="18">
        <f>J15/E15</f>
        <v>1.6583333333333334</v>
      </c>
      <c r="O15" s="22">
        <f>I15-J15</f>
        <v>-78</v>
      </c>
      <c r="R15" t="s">
        <v>88</v>
      </c>
      <c r="T15" t="s">
        <v>130</v>
      </c>
    </row>
    <row r="16" spans="1:20" x14ac:dyDescent="0.25">
      <c r="A16">
        <f t="shared" si="0"/>
        <v>3</v>
      </c>
      <c r="B16">
        <v>15</v>
      </c>
      <c r="C16">
        <v>12</v>
      </c>
      <c r="D16" s="8" t="s">
        <v>50</v>
      </c>
      <c r="E16" s="9">
        <v>360</v>
      </c>
      <c r="F16" s="8">
        <v>143</v>
      </c>
      <c r="G16" s="8">
        <v>45</v>
      </c>
      <c r="H16" s="8">
        <f>E16-F16-G16</f>
        <v>172</v>
      </c>
      <c r="I16" s="8">
        <v>515</v>
      </c>
      <c r="J16" s="8">
        <v>545</v>
      </c>
      <c r="K16" s="10">
        <f>F16*3+G16</f>
        <v>474</v>
      </c>
      <c r="L16" s="15">
        <f>(F16*3+G16)/(E16*3)*100</f>
        <v>43.888888888888886</v>
      </c>
      <c r="M16" s="18">
        <f>I16/E16</f>
        <v>1.4305555555555556</v>
      </c>
      <c r="N16" s="18">
        <f>J16/E16</f>
        <v>1.5138888888888888</v>
      </c>
      <c r="O16" s="22">
        <f>I16-J16</f>
        <v>-30</v>
      </c>
      <c r="R16" t="s">
        <v>89</v>
      </c>
      <c r="T16" t="s">
        <v>104</v>
      </c>
    </row>
    <row r="17" spans="1:25" x14ac:dyDescent="0.25">
      <c r="A17">
        <f t="shared" si="0"/>
        <v>2</v>
      </c>
      <c r="B17">
        <v>16</v>
      </c>
      <c r="C17">
        <v>14</v>
      </c>
      <c r="D17" t="s">
        <v>6</v>
      </c>
      <c r="E17" s="6">
        <v>270</v>
      </c>
      <c r="F17">
        <v>111</v>
      </c>
      <c r="G17">
        <v>69</v>
      </c>
      <c r="H17">
        <f>E17-F17-G17</f>
        <v>90</v>
      </c>
      <c r="I17">
        <v>413</v>
      </c>
      <c r="J17">
        <v>354</v>
      </c>
      <c r="K17" s="10">
        <f>F17*3+G17</f>
        <v>402</v>
      </c>
      <c r="L17" s="15">
        <f>(F17*3+G17)/(E17*3)*100</f>
        <v>49.629629629629626</v>
      </c>
      <c r="M17" s="18">
        <f>I17/E17</f>
        <v>1.5296296296296297</v>
      </c>
      <c r="N17" s="18">
        <f>J17/E17</f>
        <v>1.3111111111111111</v>
      </c>
      <c r="O17" s="22">
        <f>I17-J17</f>
        <v>59</v>
      </c>
      <c r="R17" t="s">
        <v>90</v>
      </c>
      <c r="T17" t="s">
        <v>125</v>
      </c>
    </row>
    <row r="18" spans="1:25" x14ac:dyDescent="0.25">
      <c r="A18">
        <f t="shared" si="0"/>
        <v>1</v>
      </c>
      <c r="B18">
        <v>17</v>
      </c>
      <c r="C18">
        <v>16</v>
      </c>
      <c r="D18" t="s">
        <v>1</v>
      </c>
      <c r="E18" s="6">
        <v>240</v>
      </c>
      <c r="F18">
        <v>100</v>
      </c>
      <c r="G18">
        <v>63</v>
      </c>
      <c r="H18">
        <f>E18-F18-G18</f>
        <v>77</v>
      </c>
      <c r="I18">
        <v>373</v>
      </c>
      <c r="J18">
        <v>316</v>
      </c>
      <c r="K18" s="10">
        <f>F18*3+G18</f>
        <v>363</v>
      </c>
      <c r="L18" s="15">
        <f>(F18*3+G18)/(E18*3)*100</f>
        <v>50.416666666666664</v>
      </c>
      <c r="M18" s="18">
        <f>I18/E18</f>
        <v>1.5541666666666667</v>
      </c>
      <c r="N18" s="18">
        <f>J18/E18</f>
        <v>1.3166666666666667</v>
      </c>
      <c r="O18" s="22">
        <f>I18-J18</f>
        <v>57</v>
      </c>
    </row>
    <row r="19" spans="1:25" x14ac:dyDescent="0.25">
      <c r="A19">
        <f t="shared" si="0"/>
        <v>-1</v>
      </c>
      <c r="B19">
        <v>18</v>
      </c>
      <c r="C19">
        <v>19</v>
      </c>
      <c r="D19" s="8" t="s">
        <v>52</v>
      </c>
      <c r="E19" s="9">
        <v>420</v>
      </c>
      <c r="F19" s="8">
        <v>95</v>
      </c>
      <c r="G19" s="8">
        <v>52</v>
      </c>
      <c r="H19" s="17">
        <f>E19-F19-G19</f>
        <v>273</v>
      </c>
      <c r="I19" s="8">
        <v>412</v>
      </c>
      <c r="J19" s="17">
        <v>1149</v>
      </c>
      <c r="K19" s="10">
        <f>F19*3+G19</f>
        <v>337</v>
      </c>
      <c r="L19" s="15">
        <f>(F19*3+G19)/(E19*3)*100</f>
        <v>26.746031746031747</v>
      </c>
      <c r="M19" s="18">
        <f>I19/E19</f>
        <v>0.98095238095238091</v>
      </c>
      <c r="N19" s="18">
        <f>J19/E19</f>
        <v>2.7357142857142858</v>
      </c>
      <c r="O19" s="22">
        <f>I19-J19</f>
        <v>-737</v>
      </c>
    </row>
    <row r="20" spans="1:25" x14ac:dyDescent="0.25">
      <c r="A20">
        <f t="shared" si="0"/>
        <v>1</v>
      </c>
      <c r="B20">
        <v>19</v>
      </c>
      <c r="C20">
        <v>18</v>
      </c>
      <c r="D20" t="s">
        <v>9</v>
      </c>
      <c r="E20" s="6">
        <v>300</v>
      </c>
      <c r="F20">
        <v>89</v>
      </c>
      <c r="G20">
        <v>67</v>
      </c>
      <c r="H20">
        <f>E20-F20-G20</f>
        <v>144</v>
      </c>
      <c r="I20">
        <v>417</v>
      </c>
      <c r="J20">
        <v>458</v>
      </c>
      <c r="K20" s="10">
        <f>F20*3+G20</f>
        <v>334</v>
      </c>
      <c r="L20" s="15">
        <f>(F20*3+G20)/(E20*3)*100</f>
        <v>37.111111111111114</v>
      </c>
      <c r="M20" s="18">
        <f>I20/E20</f>
        <v>1.39</v>
      </c>
      <c r="N20" s="18">
        <f>J20/E20</f>
        <v>1.5266666666666666</v>
      </c>
      <c r="O20" s="22">
        <f>I20-J20</f>
        <v>-41</v>
      </c>
    </row>
    <row r="21" spans="1:25" x14ac:dyDescent="0.25">
      <c r="A21">
        <f t="shared" si="0"/>
        <v>-9</v>
      </c>
      <c r="B21">
        <v>20</v>
      </c>
      <c r="C21">
        <v>29</v>
      </c>
      <c r="D21" s="8" t="s">
        <v>92</v>
      </c>
      <c r="E21" s="9">
        <v>240</v>
      </c>
      <c r="F21" s="8">
        <v>86</v>
      </c>
      <c r="G21" s="8">
        <v>34</v>
      </c>
      <c r="H21" s="8">
        <f>E21-F21-G21</f>
        <v>120</v>
      </c>
      <c r="I21" s="8">
        <v>319</v>
      </c>
      <c r="J21" s="8">
        <v>359</v>
      </c>
      <c r="K21" s="10">
        <f>F21*3+G21</f>
        <v>292</v>
      </c>
      <c r="L21" s="15">
        <f>(F21*3+G21)/(E21*3)*100</f>
        <v>40.555555555555557</v>
      </c>
      <c r="M21" s="18">
        <f>I21/E21</f>
        <v>1.3291666666666666</v>
      </c>
      <c r="N21" s="18">
        <f>J21/E21</f>
        <v>1.4958333333333333</v>
      </c>
      <c r="O21" s="22">
        <f>I21-J21</f>
        <v>-40</v>
      </c>
    </row>
    <row r="22" spans="1:25" x14ac:dyDescent="0.25">
      <c r="A22">
        <f t="shared" si="0"/>
        <v>-1</v>
      </c>
      <c r="B22">
        <v>21</v>
      </c>
      <c r="C22">
        <v>22</v>
      </c>
      <c r="D22" s="8" t="s">
        <v>56</v>
      </c>
      <c r="E22" s="9">
        <v>360</v>
      </c>
      <c r="F22" s="8">
        <v>82</v>
      </c>
      <c r="G22" s="8">
        <v>45</v>
      </c>
      <c r="H22" s="8">
        <f>E22-F22-G22</f>
        <v>233</v>
      </c>
      <c r="I22" s="8">
        <v>338</v>
      </c>
      <c r="J22" s="8">
        <v>861</v>
      </c>
      <c r="K22" s="10">
        <f>F22*3+G22</f>
        <v>291</v>
      </c>
      <c r="L22" s="15">
        <f>(F22*3+G22)/(E22*3)*100</f>
        <v>26.944444444444443</v>
      </c>
      <c r="M22" s="18">
        <f>I22/E22</f>
        <v>0.93888888888888888</v>
      </c>
      <c r="N22" s="18">
        <f>J22/E22</f>
        <v>2.3916666666666666</v>
      </c>
      <c r="O22" s="22">
        <f>I22-J22</f>
        <v>-523</v>
      </c>
    </row>
    <row r="23" spans="1:25" x14ac:dyDescent="0.25">
      <c r="A23">
        <f t="shared" si="0"/>
        <v>2</v>
      </c>
      <c r="B23">
        <v>22</v>
      </c>
      <c r="C23">
        <v>20</v>
      </c>
      <c r="D23" t="s">
        <v>25</v>
      </c>
      <c r="E23" s="6">
        <v>240</v>
      </c>
      <c r="F23">
        <v>77</v>
      </c>
      <c r="G23">
        <v>58</v>
      </c>
      <c r="H23">
        <f>E23-F23-G23</f>
        <v>105</v>
      </c>
      <c r="I23">
        <v>371</v>
      </c>
      <c r="J23">
        <v>387</v>
      </c>
      <c r="K23" s="10">
        <f>F23*3+G23</f>
        <v>289</v>
      </c>
      <c r="L23" s="15">
        <f>(F23*3+G23)/(E23*3)*100</f>
        <v>40.138888888888893</v>
      </c>
      <c r="M23" s="18">
        <f>I23/E23</f>
        <v>1.5458333333333334</v>
      </c>
      <c r="N23" s="18">
        <f>J23/E23</f>
        <v>1.6125</v>
      </c>
      <c r="O23" s="22">
        <f>I23-J23</f>
        <v>-16</v>
      </c>
      <c r="Q23" s="41"/>
      <c r="R23" s="41"/>
      <c r="S23" s="41"/>
      <c r="T23" s="41"/>
      <c r="U23" s="41"/>
      <c r="V23" s="41"/>
      <c r="W23" s="41"/>
      <c r="X23" s="41"/>
      <c r="Y23" s="41"/>
    </row>
    <row r="24" spans="1:25" x14ac:dyDescent="0.25">
      <c r="A24">
        <f t="shared" si="0"/>
        <v>-5</v>
      </c>
      <c r="B24">
        <v>23</v>
      </c>
      <c r="C24">
        <v>28</v>
      </c>
      <c r="D24" s="8" t="s">
        <v>71</v>
      </c>
      <c r="E24" s="9">
        <v>240</v>
      </c>
      <c r="F24" s="8">
        <v>82</v>
      </c>
      <c r="G24" s="8">
        <v>32</v>
      </c>
      <c r="H24" s="8">
        <f>E24-F24-G24</f>
        <v>126</v>
      </c>
      <c r="I24" s="8">
        <v>368</v>
      </c>
      <c r="J24" s="8">
        <v>362</v>
      </c>
      <c r="K24" s="10">
        <f>F24*3+G24</f>
        <v>278</v>
      </c>
      <c r="L24" s="15">
        <f>(F24*3+G24)/(E24*3)*100</f>
        <v>38.611111111111114</v>
      </c>
      <c r="M24" s="18">
        <f>I24/E24</f>
        <v>1.5333333333333334</v>
      </c>
      <c r="N24" s="18">
        <f>J24/E24</f>
        <v>1.5083333333333333</v>
      </c>
      <c r="O24" s="22">
        <f>I24-J24</f>
        <v>6</v>
      </c>
      <c r="Q24" s="2"/>
      <c r="R24" s="4"/>
      <c r="S24" s="2"/>
      <c r="T24" s="2"/>
      <c r="U24" s="2"/>
      <c r="V24" s="2"/>
      <c r="W24" s="2"/>
      <c r="X24" s="2"/>
      <c r="Y24" s="3"/>
    </row>
    <row r="25" spans="1:25" x14ac:dyDescent="0.25">
      <c r="A25">
        <f t="shared" si="0"/>
        <v>3</v>
      </c>
      <c r="B25">
        <v>24</v>
      </c>
      <c r="C25">
        <v>21</v>
      </c>
      <c r="D25" s="11" t="s">
        <v>53</v>
      </c>
      <c r="E25" s="12">
        <v>270</v>
      </c>
      <c r="F25" s="11">
        <v>70</v>
      </c>
      <c r="G25" s="11">
        <v>45</v>
      </c>
      <c r="H25" s="11">
        <f>E25-F25-G25</f>
        <v>155</v>
      </c>
      <c r="I25" s="11">
        <v>295</v>
      </c>
      <c r="J25" s="11">
        <v>528</v>
      </c>
      <c r="K25" s="10">
        <f>F25*3+G25</f>
        <v>255</v>
      </c>
      <c r="L25" s="15">
        <f>(F25*3+G25)/(E25*3)*100</f>
        <v>31.481481481481481</v>
      </c>
      <c r="M25" s="18">
        <f>I25/E25</f>
        <v>1.0925925925925926</v>
      </c>
      <c r="N25" s="18">
        <f>J25/E25</f>
        <v>1.9555555555555555</v>
      </c>
      <c r="O25" s="22">
        <f>I25-J25</f>
        <v>-233</v>
      </c>
      <c r="Q25" s="2"/>
      <c r="R25" s="4"/>
      <c r="S25" s="2"/>
      <c r="T25" s="2"/>
      <c r="U25" s="2"/>
      <c r="V25" s="2"/>
      <c r="W25" s="2"/>
      <c r="X25" s="2"/>
      <c r="Y25" s="3"/>
    </row>
    <row r="26" spans="1:25" x14ac:dyDescent="0.25">
      <c r="A26">
        <f t="shared" si="0"/>
        <v>2</v>
      </c>
      <c r="B26">
        <v>25</v>
      </c>
      <c r="C26">
        <v>23</v>
      </c>
      <c r="D26" t="s">
        <v>28</v>
      </c>
      <c r="E26" s="6">
        <v>180</v>
      </c>
      <c r="F26">
        <v>64</v>
      </c>
      <c r="G26">
        <v>37</v>
      </c>
      <c r="H26">
        <f>E26-F26-G26</f>
        <v>79</v>
      </c>
      <c r="I26">
        <v>222</v>
      </c>
      <c r="J26">
        <v>254</v>
      </c>
      <c r="K26" s="10">
        <f>F26*3+G26</f>
        <v>229</v>
      </c>
      <c r="L26" s="15">
        <f>(F26*3+G26)/(E26*3)*100</f>
        <v>42.407407407407405</v>
      </c>
      <c r="M26" s="18">
        <f>I26/E26</f>
        <v>1.2333333333333334</v>
      </c>
      <c r="N26" s="18">
        <f>J26/E26</f>
        <v>1.4111111111111112</v>
      </c>
      <c r="O26" s="22">
        <f>I26-J26</f>
        <v>-32</v>
      </c>
      <c r="Q26" s="2"/>
      <c r="R26" s="4"/>
      <c r="S26" s="2"/>
      <c r="T26" s="2"/>
      <c r="U26" s="2"/>
      <c r="V26" s="2"/>
      <c r="W26" s="2"/>
      <c r="X26" s="2"/>
      <c r="Y26" s="3"/>
    </row>
    <row r="27" spans="1:25" x14ac:dyDescent="0.25">
      <c r="A27">
        <f t="shared" si="0"/>
        <v>2</v>
      </c>
      <c r="B27">
        <v>26</v>
      </c>
      <c r="C27">
        <v>24</v>
      </c>
      <c r="D27" t="s">
        <v>55</v>
      </c>
      <c r="E27" s="6">
        <v>150</v>
      </c>
      <c r="F27">
        <v>64</v>
      </c>
      <c r="G27">
        <v>25</v>
      </c>
      <c r="H27">
        <f>E27-F27-G27</f>
        <v>61</v>
      </c>
      <c r="I27">
        <v>277</v>
      </c>
      <c r="J27">
        <v>231</v>
      </c>
      <c r="K27" s="10">
        <f>F27*3+G27</f>
        <v>217</v>
      </c>
      <c r="L27" s="15">
        <f>(F27*3+G27)/(E27*3)*100</f>
        <v>48.222222222222221</v>
      </c>
      <c r="M27" s="18">
        <f>I27/E27</f>
        <v>1.8466666666666667</v>
      </c>
      <c r="N27" s="18">
        <f>J27/E27</f>
        <v>1.54</v>
      </c>
      <c r="O27" s="22">
        <f>I27-J27</f>
        <v>46</v>
      </c>
      <c r="Q27" s="2"/>
      <c r="R27" s="4"/>
      <c r="S27" s="2"/>
      <c r="T27" s="2"/>
      <c r="U27" s="2"/>
      <c r="V27" s="2"/>
      <c r="W27" s="2"/>
      <c r="X27" s="2"/>
      <c r="Y27" s="3"/>
    </row>
    <row r="28" spans="1:25" x14ac:dyDescent="0.25">
      <c r="A28">
        <f t="shared" si="0"/>
        <v>2</v>
      </c>
      <c r="B28">
        <v>27</v>
      </c>
      <c r="C28">
        <v>25</v>
      </c>
      <c r="D28" t="s">
        <v>7</v>
      </c>
      <c r="E28" s="6">
        <v>150</v>
      </c>
      <c r="F28">
        <v>59</v>
      </c>
      <c r="G28">
        <v>32</v>
      </c>
      <c r="H28">
        <f>E28-F28-G28</f>
        <v>59</v>
      </c>
      <c r="I28">
        <v>206</v>
      </c>
      <c r="J28">
        <v>185</v>
      </c>
      <c r="K28" s="10">
        <f>F28*3+G28</f>
        <v>209</v>
      </c>
      <c r="L28" s="15">
        <f>(F28*3+G28)/(E28*3)*100</f>
        <v>46.444444444444443</v>
      </c>
      <c r="M28" s="18">
        <f>I28/E28</f>
        <v>1.3733333333333333</v>
      </c>
      <c r="N28" s="18">
        <f>J28/E28</f>
        <v>1.2333333333333334</v>
      </c>
      <c r="O28" s="22">
        <f>I28-J28</f>
        <v>21</v>
      </c>
      <c r="Q28" s="2"/>
      <c r="R28" s="4"/>
      <c r="S28" s="2"/>
      <c r="T28" s="2"/>
      <c r="U28" s="2"/>
      <c r="V28" s="2"/>
      <c r="W28" s="2"/>
      <c r="X28" s="2"/>
      <c r="Y28" s="3"/>
    </row>
    <row r="29" spans="1:25" x14ac:dyDescent="0.25">
      <c r="A29">
        <f t="shared" si="0"/>
        <v>2</v>
      </c>
      <c r="B29">
        <v>28</v>
      </c>
      <c r="C29">
        <v>26</v>
      </c>
      <c r="D29" t="s">
        <v>2</v>
      </c>
      <c r="E29" s="6">
        <v>180</v>
      </c>
      <c r="F29">
        <v>49</v>
      </c>
      <c r="G29">
        <v>46</v>
      </c>
      <c r="H29">
        <f>E29-F29-G29</f>
        <v>85</v>
      </c>
      <c r="I29">
        <v>250</v>
      </c>
      <c r="J29">
        <v>286</v>
      </c>
      <c r="K29" s="10">
        <f>F29*3+G29</f>
        <v>193</v>
      </c>
      <c r="L29" s="15">
        <f>(F29*3+G29)/(E29*3)*100</f>
        <v>35.74074074074074</v>
      </c>
      <c r="M29" s="18">
        <f>I29/E29</f>
        <v>1.3888888888888888</v>
      </c>
      <c r="N29" s="18">
        <f>J29/E29</f>
        <v>1.5888888888888888</v>
      </c>
      <c r="O29" s="22">
        <f>I29-J29</f>
        <v>-36</v>
      </c>
      <c r="Q29" s="2"/>
      <c r="R29" s="4"/>
      <c r="S29" s="2"/>
      <c r="T29" s="2"/>
      <c r="U29" s="2"/>
      <c r="V29" s="2"/>
      <c r="W29" s="2"/>
      <c r="X29" s="2"/>
      <c r="Y29" s="3"/>
    </row>
    <row r="30" spans="1:25" x14ac:dyDescent="0.25">
      <c r="A30">
        <f t="shared" si="0"/>
        <v>2</v>
      </c>
      <c r="B30">
        <v>29</v>
      </c>
      <c r="C30">
        <v>27</v>
      </c>
      <c r="D30" t="s">
        <v>41</v>
      </c>
      <c r="E30" s="6">
        <v>180</v>
      </c>
      <c r="F30">
        <v>50</v>
      </c>
      <c r="G30">
        <v>28</v>
      </c>
      <c r="H30">
        <f>E30-F30-G30</f>
        <v>102</v>
      </c>
      <c r="I30">
        <v>295</v>
      </c>
      <c r="J30">
        <v>372</v>
      </c>
      <c r="K30" s="10">
        <f>F30*3+G30</f>
        <v>178</v>
      </c>
      <c r="L30" s="15">
        <f>(F30*3+G30)/(E30*3)*100</f>
        <v>32.962962962962962</v>
      </c>
      <c r="M30" s="18">
        <f>I30/E30</f>
        <v>1.6388888888888888</v>
      </c>
      <c r="N30" s="18">
        <f>J30/E30</f>
        <v>2.0666666666666669</v>
      </c>
      <c r="O30" s="22">
        <f>I30-J30</f>
        <v>-77</v>
      </c>
      <c r="Q30" s="2"/>
      <c r="R30" s="4"/>
      <c r="S30" s="2"/>
      <c r="T30" s="2"/>
      <c r="U30" s="2"/>
      <c r="V30" s="2"/>
      <c r="W30" s="2"/>
      <c r="X30" s="2"/>
      <c r="Y30" s="3"/>
    </row>
    <row r="31" spans="1:25" x14ac:dyDescent="0.25">
      <c r="A31">
        <f t="shared" si="0"/>
        <v>-4</v>
      </c>
      <c r="B31">
        <v>30</v>
      </c>
      <c r="C31">
        <v>34</v>
      </c>
      <c r="D31" s="8" t="s">
        <v>68</v>
      </c>
      <c r="E31" s="9">
        <v>180</v>
      </c>
      <c r="F31" s="8">
        <v>48</v>
      </c>
      <c r="G31" s="8">
        <v>20</v>
      </c>
      <c r="H31" s="8">
        <f>E31-F31-G31</f>
        <v>112</v>
      </c>
      <c r="I31" s="8">
        <v>219</v>
      </c>
      <c r="J31" s="8">
        <v>474</v>
      </c>
      <c r="K31" s="10">
        <f>F31*3+G31</f>
        <v>164</v>
      </c>
      <c r="L31" s="15">
        <f>(F31*3+G31)/(E31*3)*100</f>
        <v>30.37037037037037</v>
      </c>
      <c r="M31" s="18">
        <f>I31/E31</f>
        <v>1.2166666666666666</v>
      </c>
      <c r="N31" s="18">
        <f>J31/E31</f>
        <v>2.6333333333333333</v>
      </c>
      <c r="O31" s="22">
        <f>I31-J31</f>
        <v>-255</v>
      </c>
      <c r="Q31" s="2"/>
      <c r="R31" s="4"/>
      <c r="S31" s="2"/>
      <c r="T31" s="2"/>
      <c r="U31" s="2"/>
      <c r="V31" s="2"/>
      <c r="W31" s="2"/>
      <c r="X31" s="2"/>
      <c r="Y31" s="3"/>
    </row>
    <row r="32" spans="1:25" x14ac:dyDescent="0.25">
      <c r="A32">
        <f t="shared" si="0"/>
        <v>1</v>
      </c>
      <c r="B32">
        <v>31</v>
      </c>
      <c r="C32">
        <v>30</v>
      </c>
      <c r="D32" s="11" t="s">
        <v>61</v>
      </c>
      <c r="E32" s="12">
        <v>150</v>
      </c>
      <c r="F32" s="11">
        <v>43</v>
      </c>
      <c r="G32" s="11">
        <v>21</v>
      </c>
      <c r="H32" s="11">
        <f>E32-F32-G32</f>
        <v>86</v>
      </c>
      <c r="I32" s="11">
        <v>137</v>
      </c>
      <c r="J32" s="11">
        <v>301</v>
      </c>
      <c r="K32" s="10">
        <f>F32*3+G32</f>
        <v>150</v>
      </c>
      <c r="L32" s="15">
        <f>(F32*3+G32)/(E32*3)*100</f>
        <v>33.333333333333329</v>
      </c>
      <c r="M32" s="18">
        <f>I32/E32</f>
        <v>0.91333333333333333</v>
      </c>
      <c r="N32" s="18">
        <f>J32/E32</f>
        <v>2.0066666666666668</v>
      </c>
      <c r="O32" s="22">
        <f>I32-J32</f>
        <v>-164</v>
      </c>
      <c r="Q32" s="2"/>
      <c r="R32" s="4"/>
      <c r="S32" s="2"/>
      <c r="T32" s="2"/>
      <c r="U32" s="2"/>
      <c r="V32" s="2"/>
      <c r="W32" s="2"/>
      <c r="X32" s="2"/>
      <c r="Y32" s="3"/>
    </row>
    <row r="33" spans="1:25" x14ac:dyDescent="0.25">
      <c r="A33">
        <f t="shared" si="0"/>
        <v>1</v>
      </c>
      <c r="B33">
        <v>32</v>
      </c>
      <c r="C33">
        <v>31</v>
      </c>
      <c r="D33" t="s">
        <v>5</v>
      </c>
      <c r="E33" s="6">
        <v>120</v>
      </c>
      <c r="F33">
        <v>39</v>
      </c>
      <c r="G33">
        <v>27</v>
      </c>
      <c r="H33">
        <f>E33-F33-G33</f>
        <v>54</v>
      </c>
      <c r="I33">
        <v>136</v>
      </c>
      <c r="J33">
        <v>168</v>
      </c>
      <c r="K33" s="10">
        <f>F33*3+G33</f>
        <v>144</v>
      </c>
      <c r="L33" s="15">
        <f>(F33*3+G33)/(E33*3)*100</f>
        <v>40</v>
      </c>
      <c r="M33" s="18">
        <f>I33/E33</f>
        <v>1.1333333333333333</v>
      </c>
      <c r="N33" s="18">
        <f>J33/E33</f>
        <v>1.4</v>
      </c>
      <c r="O33" s="22">
        <f>I33-J33</f>
        <v>-32</v>
      </c>
      <c r="Q33" s="2"/>
      <c r="R33" s="4"/>
      <c r="S33" s="2"/>
      <c r="T33" s="2"/>
      <c r="U33" s="2"/>
      <c r="V33" s="2"/>
      <c r="W33" s="2"/>
      <c r="X33" s="2"/>
      <c r="Y33" s="3"/>
    </row>
    <row r="34" spans="1:25" x14ac:dyDescent="0.25">
      <c r="A34">
        <f t="shared" si="0"/>
        <v>1</v>
      </c>
      <c r="B34">
        <v>33</v>
      </c>
      <c r="C34">
        <v>32</v>
      </c>
      <c r="D34" t="s">
        <v>17</v>
      </c>
      <c r="E34" s="6">
        <v>120</v>
      </c>
      <c r="F34">
        <v>35</v>
      </c>
      <c r="G34">
        <v>34</v>
      </c>
      <c r="H34">
        <f>E34-F34-G34</f>
        <v>51</v>
      </c>
      <c r="I34">
        <v>123</v>
      </c>
      <c r="J34">
        <v>169</v>
      </c>
      <c r="K34" s="10">
        <f>F34*3+G34</f>
        <v>139</v>
      </c>
      <c r="L34" s="15">
        <f>(F34*3+G34)/(E34*3)*100</f>
        <v>38.611111111111114</v>
      </c>
      <c r="M34" s="18">
        <f>I34/E34</f>
        <v>1.0249999999999999</v>
      </c>
      <c r="N34" s="18">
        <f>J34/E34</f>
        <v>1.4083333333333334</v>
      </c>
      <c r="O34" s="22">
        <f>I34-J34</f>
        <v>-46</v>
      </c>
      <c r="Q34" s="2"/>
      <c r="R34" s="4"/>
      <c r="S34" s="2"/>
      <c r="T34" s="2"/>
      <c r="U34" s="2"/>
      <c r="V34" s="2"/>
      <c r="W34" s="2"/>
      <c r="X34" s="2"/>
      <c r="Y34" s="3"/>
    </row>
    <row r="35" spans="1:25" x14ac:dyDescent="0.25">
      <c r="A35">
        <f t="shared" si="0"/>
        <v>-6</v>
      </c>
      <c r="B35">
        <v>34</v>
      </c>
      <c r="C35">
        <v>40</v>
      </c>
      <c r="D35" s="14" t="s">
        <v>76</v>
      </c>
      <c r="E35" s="9">
        <v>150</v>
      </c>
      <c r="F35" s="8">
        <v>33</v>
      </c>
      <c r="G35" s="8">
        <v>23</v>
      </c>
      <c r="H35" s="8">
        <f>E35-F35-G35</f>
        <v>94</v>
      </c>
      <c r="I35" s="8">
        <v>187</v>
      </c>
      <c r="J35" s="8">
        <v>369</v>
      </c>
      <c r="K35" s="10">
        <f>F35*3+G35</f>
        <v>122</v>
      </c>
      <c r="L35" s="15">
        <f>(F35*3+G35)/(E35*3)*100</f>
        <v>27.111111111111114</v>
      </c>
      <c r="M35" s="18">
        <f>I35/E35</f>
        <v>1.2466666666666666</v>
      </c>
      <c r="N35" s="18">
        <f>J35/E35</f>
        <v>2.46</v>
      </c>
      <c r="O35" s="22">
        <f>I35-J35</f>
        <v>-182</v>
      </c>
      <c r="Q35" s="2"/>
      <c r="R35" s="4"/>
      <c r="S35" s="2"/>
      <c r="T35" s="2"/>
      <c r="U35" s="2"/>
      <c r="V35" s="2"/>
      <c r="W35" s="2"/>
      <c r="X35" s="2"/>
      <c r="Y35" s="3"/>
    </row>
    <row r="36" spans="1:25" x14ac:dyDescent="0.25">
      <c r="A36">
        <f t="shared" si="0"/>
        <v>2</v>
      </c>
      <c r="B36">
        <v>35</v>
      </c>
      <c r="C36">
        <v>33</v>
      </c>
      <c r="D36" t="s">
        <v>47</v>
      </c>
      <c r="E36" s="6">
        <v>90</v>
      </c>
      <c r="F36">
        <v>35</v>
      </c>
      <c r="G36">
        <v>12</v>
      </c>
      <c r="H36">
        <f>E36-F36-G36</f>
        <v>43</v>
      </c>
      <c r="I36">
        <v>212</v>
      </c>
      <c r="J36">
        <v>153</v>
      </c>
      <c r="K36" s="10">
        <f>F36*3+G36</f>
        <v>117</v>
      </c>
      <c r="L36" s="15">
        <f>(F36*3+G36)/(E36*3)*100</f>
        <v>43.333333333333336</v>
      </c>
      <c r="M36" s="18">
        <f>I36/E36</f>
        <v>2.3555555555555556</v>
      </c>
      <c r="N36" s="18">
        <f>J36/E36</f>
        <v>1.7</v>
      </c>
      <c r="O36" s="22">
        <f>I36-J36</f>
        <v>59</v>
      </c>
      <c r="Q36" s="2"/>
      <c r="R36" s="4"/>
      <c r="S36" s="2"/>
      <c r="T36" s="2"/>
      <c r="U36" s="2"/>
      <c r="V36" s="2"/>
      <c r="W36" s="2"/>
      <c r="X36" s="2"/>
      <c r="Y36" s="3"/>
    </row>
    <row r="37" spans="1:25" x14ac:dyDescent="0.25">
      <c r="A37">
        <f t="shared" si="0"/>
        <v>1</v>
      </c>
      <c r="B37">
        <v>36</v>
      </c>
      <c r="C37">
        <v>35</v>
      </c>
      <c r="D37" t="s">
        <v>13</v>
      </c>
      <c r="E37" s="6">
        <v>120</v>
      </c>
      <c r="F37">
        <v>24</v>
      </c>
      <c r="G37">
        <v>30</v>
      </c>
      <c r="H37">
        <f>E37-F37-G37</f>
        <v>66</v>
      </c>
      <c r="I37">
        <v>118</v>
      </c>
      <c r="J37">
        <v>190</v>
      </c>
      <c r="K37" s="10">
        <f>F37*3+G37</f>
        <v>102</v>
      </c>
      <c r="L37" s="15">
        <f>(F37*3+G37)/(E37*3)*100</f>
        <v>28.333333333333332</v>
      </c>
      <c r="M37" s="18">
        <f>I37/E37</f>
        <v>0.98333333333333328</v>
      </c>
      <c r="N37" s="18">
        <f>J37/E37</f>
        <v>1.5833333333333333</v>
      </c>
      <c r="O37" s="22">
        <f>I37-J37</f>
        <v>-72</v>
      </c>
      <c r="Q37" s="2"/>
      <c r="R37" s="4"/>
      <c r="S37" s="2"/>
      <c r="T37" s="2"/>
      <c r="U37" s="2"/>
      <c r="V37" s="2"/>
      <c r="W37" s="2"/>
      <c r="X37" s="2"/>
      <c r="Y37" s="3"/>
    </row>
    <row r="38" spans="1:25" x14ac:dyDescent="0.25">
      <c r="A38">
        <f t="shared" si="0"/>
        <v>1</v>
      </c>
      <c r="B38">
        <v>37</v>
      </c>
      <c r="C38">
        <v>36</v>
      </c>
      <c r="D38" t="s">
        <v>38</v>
      </c>
      <c r="E38" s="6">
        <v>120</v>
      </c>
      <c r="F38">
        <v>29</v>
      </c>
      <c r="G38">
        <v>11</v>
      </c>
      <c r="H38">
        <f>E38-F38-G38</f>
        <v>80</v>
      </c>
      <c r="I38">
        <v>138</v>
      </c>
      <c r="J38">
        <v>322</v>
      </c>
      <c r="K38" s="10">
        <f>F38*3+G38</f>
        <v>98</v>
      </c>
      <c r="L38" s="15">
        <f>(F38*3+G38)/(E38*3)*100</f>
        <v>27.222222222222221</v>
      </c>
      <c r="M38" s="18">
        <f>I38/E38</f>
        <v>1.1499999999999999</v>
      </c>
      <c r="N38" s="18">
        <f>J38/E38</f>
        <v>2.6833333333333331</v>
      </c>
      <c r="O38" s="22">
        <f>I38-J38</f>
        <v>-184</v>
      </c>
      <c r="Q38" s="2"/>
      <c r="R38" s="4"/>
      <c r="S38" s="2"/>
      <c r="T38" s="2"/>
      <c r="U38" s="2"/>
      <c r="V38" s="2"/>
      <c r="W38" s="2"/>
      <c r="X38" s="2"/>
      <c r="Y38" s="3"/>
    </row>
    <row r="39" spans="1:25" x14ac:dyDescent="0.25">
      <c r="A39">
        <f t="shared" si="0"/>
        <v>1</v>
      </c>
      <c r="B39">
        <v>38</v>
      </c>
      <c r="C39">
        <v>37</v>
      </c>
      <c r="D39" t="s">
        <v>10</v>
      </c>
      <c r="E39" s="6">
        <v>90</v>
      </c>
      <c r="F39">
        <v>23</v>
      </c>
      <c r="G39">
        <v>22</v>
      </c>
      <c r="H39">
        <f>E39-F39-G39</f>
        <v>45</v>
      </c>
      <c r="I39">
        <v>98</v>
      </c>
      <c r="J39">
        <v>143</v>
      </c>
      <c r="K39" s="10">
        <f>F39*3+G39</f>
        <v>91</v>
      </c>
      <c r="L39" s="15">
        <f>(F39*3+G39)/(E39*3)*100</f>
        <v>33.703703703703702</v>
      </c>
      <c r="M39" s="18">
        <f>I39/E39</f>
        <v>1.0888888888888888</v>
      </c>
      <c r="N39" s="18">
        <f>J39/E39</f>
        <v>1.5888888888888888</v>
      </c>
      <c r="O39" s="22">
        <f>I39-J39</f>
        <v>-45</v>
      </c>
      <c r="Q39" s="2"/>
      <c r="R39" s="4"/>
      <c r="S39" s="2"/>
      <c r="T39" s="2"/>
      <c r="U39" s="2"/>
      <c r="V39" s="2"/>
      <c r="W39" s="2"/>
      <c r="X39" s="2"/>
      <c r="Y39" s="3"/>
    </row>
    <row r="40" spans="1:25" x14ac:dyDescent="0.25">
      <c r="A40">
        <f t="shared" si="0"/>
        <v>-10</v>
      </c>
      <c r="B40">
        <v>39</v>
      </c>
      <c r="C40">
        <v>49</v>
      </c>
      <c r="D40" s="14" t="s">
        <v>107</v>
      </c>
      <c r="E40" s="14">
        <v>90</v>
      </c>
      <c r="F40" s="14">
        <v>26</v>
      </c>
      <c r="G40" s="14">
        <v>6</v>
      </c>
      <c r="H40" s="14">
        <f>E40-F40-G40</f>
        <v>58</v>
      </c>
      <c r="I40" s="14">
        <v>105</v>
      </c>
      <c r="J40" s="14">
        <v>263</v>
      </c>
      <c r="K40" s="32">
        <f>F40*3+G40*1</f>
        <v>84</v>
      </c>
      <c r="L40" s="15">
        <f>(F40*3+G40)/(E40*3)*100</f>
        <v>31.111111111111111</v>
      </c>
      <c r="M40" s="18">
        <f>I40/E40</f>
        <v>1.1666666666666667</v>
      </c>
      <c r="N40" s="18">
        <f>J40/E40</f>
        <v>2.9222222222222221</v>
      </c>
      <c r="O40" s="22">
        <f>I40-J40</f>
        <v>-158</v>
      </c>
    </row>
    <row r="41" spans="1:25" x14ac:dyDescent="0.25">
      <c r="A41">
        <f t="shared" si="0"/>
        <v>2</v>
      </c>
      <c r="B41">
        <v>40</v>
      </c>
      <c r="C41">
        <v>38</v>
      </c>
      <c r="D41" t="s">
        <v>30</v>
      </c>
      <c r="E41" s="6">
        <v>90</v>
      </c>
      <c r="F41">
        <v>21</v>
      </c>
      <c r="G41">
        <v>21</v>
      </c>
      <c r="H41">
        <f>E41-F41-G41</f>
        <v>48</v>
      </c>
      <c r="I41">
        <v>87</v>
      </c>
      <c r="J41">
        <v>133</v>
      </c>
      <c r="K41" s="10">
        <f>F41*3+G41</f>
        <v>84</v>
      </c>
      <c r="L41" s="15">
        <f>(F41*3+G41)/(E41*3)*100</f>
        <v>31.111111111111111</v>
      </c>
      <c r="M41" s="18">
        <f>I41/E41</f>
        <v>0.96666666666666667</v>
      </c>
      <c r="N41" s="18">
        <f>J41/E41</f>
        <v>1.4777777777777779</v>
      </c>
      <c r="O41" s="22">
        <f>I41-J41</f>
        <v>-46</v>
      </c>
    </row>
    <row r="42" spans="1:25" x14ac:dyDescent="0.25">
      <c r="A42">
        <f t="shared" si="0"/>
        <v>2</v>
      </c>
      <c r="B42">
        <v>41</v>
      </c>
      <c r="C42">
        <v>39</v>
      </c>
      <c r="D42" t="s">
        <v>48</v>
      </c>
      <c r="E42" s="6">
        <v>60</v>
      </c>
      <c r="F42">
        <v>18</v>
      </c>
      <c r="G42">
        <v>13</v>
      </c>
      <c r="H42">
        <f>E42-F42-G42</f>
        <v>29</v>
      </c>
      <c r="I42">
        <v>116</v>
      </c>
      <c r="J42">
        <v>114</v>
      </c>
      <c r="K42" s="10">
        <f>F42*3+G42</f>
        <v>67</v>
      </c>
      <c r="L42" s="15">
        <f>(F42*3+G42)/(E42*3)*100</f>
        <v>37.222222222222221</v>
      </c>
      <c r="M42" s="18">
        <f>I42/E42</f>
        <v>1.9333333333333333</v>
      </c>
      <c r="N42" s="18">
        <f>J42/E42</f>
        <v>1.9</v>
      </c>
      <c r="O42" s="22">
        <f>I42-J42</f>
        <v>2</v>
      </c>
    </row>
    <row r="43" spans="1:25" x14ac:dyDescent="0.25">
      <c r="A43">
        <f t="shared" si="0"/>
        <v>1</v>
      </c>
      <c r="B43">
        <v>42</v>
      </c>
      <c r="C43">
        <v>41</v>
      </c>
      <c r="D43" s="14" t="s">
        <v>73</v>
      </c>
      <c r="E43" s="21">
        <v>120</v>
      </c>
      <c r="F43" s="14">
        <v>17</v>
      </c>
      <c r="G43" s="14">
        <v>12</v>
      </c>
      <c r="H43" s="14">
        <f>E43-F43-G43</f>
        <v>91</v>
      </c>
      <c r="I43" s="14">
        <v>71</v>
      </c>
      <c r="J43" s="14">
        <v>393</v>
      </c>
      <c r="K43" s="10">
        <f>F43*3+G43</f>
        <v>63</v>
      </c>
      <c r="L43" s="15">
        <f>(F43*3+G43)/(E43*3)*100</f>
        <v>17.5</v>
      </c>
      <c r="M43" s="18">
        <f>I43/E43</f>
        <v>0.59166666666666667</v>
      </c>
      <c r="N43" s="18">
        <f>J43/E43</f>
        <v>3.2749999999999999</v>
      </c>
      <c r="O43" s="22">
        <f>I43-J43</f>
        <v>-322</v>
      </c>
    </row>
    <row r="44" spans="1:25" x14ac:dyDescent="0.25">
      <c r="A44">
        <f t="shared" si="0"/>
        <v>1</v>
      </c>
      <c r="B44">
        <v>43</v>
      </c>
      <c r="C44">
        <v>42</v>
      </c>
      <c r="D44" s="11" t="s">
        <v>67</v>
      </c>
      <c r="E44" s="12">
        <v>60</v>
      </c>
      <c r="F44" s="11">
        <v>14</v>
      </c>
      <c r="G44" s="11">
        <v>12</v>
      </c>
      <c r="H44" s="11">
        <f>E44-F44-G44</f>
        <v>34</v>
      </c>
      <c r="I44" s="11">
        <v>48</v>
      </c>
      <c r="J44" s="11">
        <v>126</v>
      </c>
      <c r="K44" s="10">
        <f>F44*3+G44</f>
        <v>54</v>
      </c>
      <c r="L44" s="15">
        <f>(F44*3+G44)/(E44*3)*100</f>
        <v>30</v>
      </c>
      <c r="M44" s="18">
        <f>I44/E44</f>
        <v>0.8</v>
      </c>
      <c r="N44" s="18">
        <f>J44/E44</f>
        <v>2.1</v>
      </c>
      <c r="O44" s="22">
        <f>I44-J44</f>
        <v>-78</v>
      </c>
    </row>
    <row r="45" spans="1:25" x14ac:dyDescent="0.25">
      <c r="A45">
        <f t="shared" si="0"/>
        <v>1</v>
      </c>
      <c r="B45">
        <v>44</v>
      </c>
      <c r="C45">
        <v>43</v>
      </c>
      <c r="D45" t="s">
        <v>36</v>
      </c>
      <c r="E45" s="6">
        <v>60</v>
      </c>
      <c r="F45">
        <v>13</v>
      </c>
      <c r="G45">
        <v>14</v>
      </c>
      <c r="H45">
        <f>E45-F45-G45</f>
        <v>33</v>
      </c>
      <c r="I45">
        <v>78</v>
      </c>
      <c r="J45">
        <v>109</v>
      </c>
      <c r="K45" s="10">
        <f>F45*3+G45</f>
        <v>53</v>
      </c>
      <c r="L45" s="15">
        <f>(F45*3+G45)/(E45*3)*100</f>
        <v>29.444444444444446</v>
      </c>
      <c r="M45" s="18">
        <f>I45/E45</f>
        <v>1.3</v>
      </c>
      <c r="N45" s="18">
        <f>J45/E45</f>
        <v>1.8166666666666667</v>
      </c>
      <c r="O45" s="22">
        <f>I45-J45</f>
        <v>-31</v>
      </c>
    </row>
    <row r="46" spans="1:25" x14ac:dyDescent="0.25">
      <c r="A46">
        <f t="shared" si="0"/>
        <v>1</v>
      </c>
      <c r="B46">
        <v>45</v>
      </c>
      <c r="C46">
        <v>44</v>
      </c>
      <c r="D46" t="s">
        <v>65</v>
      </c>
      <c r="E46" s="6">
        <v>60</v>
      </c>
      <c r="F46">
        <v>12</v>
      </c>
      <c r="G46">
        <v>7</v>
      </c>
      <c r="H46">
        <f>E46-F46-G46</f>
        <v>41</v>
      </c>
      <c r="I46">
        <v>69</v>
      </c>
      <c r="J46">
        <v>145</v>
      </c>
      <c r="K46" s="10">
        <f>F46*3+G46</f>
        <v>43</v>
      </c>
      <c r="L46" s="15">
        <f>(F46*3+G46)/(E46*3)*100</f>
        <v>23.888888888888889</v>
      </c>
      <c r="M46" s="18">
        <f>I46/E46</f>
        <v>1.1499999999999999</v>
      </c>
      <c r="N46" s="18">
        <f>J46/E46</f>
        <v>2.4166666666666665</v>
      </c>
      <c r="O46" s="22">
        <f>I46-J46</f>
        <v>-76</v>
      </c>
    </row>
    <row r="47" spans="1:25" x14ac:dyDescent="0.25">
      <c r="A47">
        <f t="shared" si="0"/>
        <v>1</v>
      </c>
      <c r="B47">
        <v>46</v>
      </c>
      <c r="C47">
        <v>45</v>
      </c>
      <c r="D47" t="s">
        <v>8</v>
      </c>
      <c r="E47" s="6">
        <v>30</v>
      </c>
      <c r="F47">
        <v>12</v>
      </c>
      <c r="G47">
        <v>3</v>
      </c>
      <c r="H47">
        <f>E47-F47-G47</f>
        <v>15</v>
      </c>
      <c r="I47">
        <v>45</v>
      </c>
      <c r="J47">
        <v>43</v>
      </c>
      <c r="K47" s="10">
        <f>F47*3+G47</f>
        <v>39</v>
      </c>
      <c r="L47" s="15">
        <f>(F47*3+G47)/(E47*3)*100</f>
        <v>43.333333333333336</v>
      </c>
      <c r="M47" s="18">
        <f>I47/E47</f>
        <v>1.5</v>
      </c>
      <c r="N47" s="18">
        <f>J47/E47</f>
        <v>1.4333333333333333</v>
      </c>
      <c r="O47" s="22">
        <f>I47-J47</f>
        <v>2</v>
      </c>
    </row>
    <row r="48" spans="1:25" x14ac:dyDescent="0.25">
      <c r="A48">
        <f t="shared" si="0"/>
        <v>1</v>
      </c>
      <c r="B48">
        <v>47</v>
      </c>
      <c r="C48">
        <v>46</v>
      </c>
      <c r="D48" t="s">
        <v>59</v>
      </c>
      <c r="E48" s="6">
        <v>60</v>
      </c>
      <c r="F48">
        <v>10</v>
      </c>
      <c r="G48">
        <v>8</v>
      </c>
      <c r="H48">
        <f>E48-F48-G48</f>
        <v>42</v>
      </c>
      <c r="I48">
        <v>43</v>
      </c>
      <c r="J48">
        <v>152</v>
      </c>
      <c r="K48" s="10">
        <f>F48*3+G48</f>
        <v>38</v>
      </c>
      <c r="L48" s="15">
        <f>(F48*3+G48)/(E48*3)*100</f>
        <v>21.111111111111111</v>
      </c>
      <c r="M48" s="18">
        <f>I48/E48</f>
        <v>0.71666666666666667</v>
      </c>
      <c r="N48" s="18">
        <f>J48/E48</f>
        <v>2.5333333333333332</v>
      </c>
      <c r="O48" s="22">
        <f>I48-J48</f>
        <v>-109</v>
      </c>
    </row>
    <row r="49" spans="1:15" x14ac:dyDescent="0.25">
      <c r="A49">
        <f t="shared" si="0"/>
        <v>1</v>
      </c>
      <c r="B49">
        <v>48</v>
      </c>
      <c r="C49">
        <v>47</v>
      </c>
      <c r="D49" t="s">
        <v>11</v>
      </c>
      <c r="E49" s="6">
        <v>30</v>
      </c>
      <c r="F49">
        <v>10</v>
      </c>
      <c r="G49">
        <v>5</v>
      </c>
      <c r="H49">
        <f>E49-F49-G49</f>
        <v>15</v>
      </c>
      <c r="I49">
        <v>53</v>
      </c>
      <c r="J49">
        <v>57</v>
      </c>
      <c r="K49" s="10">
        <f>F49*3+G49</f>
        <v>35</v>
      </c>
      <c r="L49" s="15">
        <f>(F49*3+G49)/(E49*3)*100</f>
        <v>38.888888888888893</v>
      </c>
      <c r="M49" s="18">
        <f>I49/E49</f>
        <v>1.7666666666666666</v>
      </c>
      <c r="N49" s="18">
        <f>J49/E49</f>
        <v>1.9</v>
      </c>
      <c r="O49" s="22">
        <f>I49-J49</f>
        <v>-4</v>
      </c>
    </row>
    <row r="50" spans="1:15" x14ac:dyDescent="0.25">
      <c r="A50">
        <f t="shared" si="0"/>
        <v>1</v>
      </c>
      <c r="B50">
        <v>49</v>
      </c>
      <c r="C50">
        <v>48</v>
      </c>
      <c r="D50" t="s">
        <v>12</v>
      </c>
      <c r="E50" s="6">
        <v>30</v>
      </c>
      <c r="F50">
        <v>10</v>
      </c>
      <c r="G50">
        <v>5</v>
      </c>
      <c r="H50">
        <f>E50-F50-G50</f>
        <v>15</v>
      </c>
      <c r="I50">
        <v>27</v>
      </c>
      <c r="J50">
        <v>50</v>
      </c>
      <c r="K50" s="10">
        <f>F50*3+G50</f>
        <v>35</v>
      </c>
      <c r="L50" s="15">
        <f>(F50*3+G50)/(E50*3)*100</f>
        <v>38.888888888888893</v>
      </c>
      <c r="M50" s="18">
        <f>I50/E50</f>
        <v>0.9</v>
      </c>
      <c r="N50" s="18">
        <f>J50/E50</f>
        <v>1.6666666666666667</v>
      </c>
      <c r="O50" s="22">
        <f>I50-J50</f>
        <v>-23</v>
      </c>
    </row>
    <row r="51" spans="1:15" x14ac:dyDescent="0.25">
      <c r="A51">
        <f t="shared" si="0"/>
        <v>-1</v>
      </c>
      <c r="B51">
        <v>50</v>
      </c>
      <c r="C51">
        <v>51</v>
      </c>
      <c r="D51" s="4" t="s">
        <v>45</v>
      </c>
      <c r="E51" s="7">
        <v>30</v>
      </c>
      <c r="F51" s="4">
        <v>9</v>
      </c>
      <c r="G51" s="4">
        <v>4</v>
      </c>
      <c r="H51">
        <f>E51-F51-G51</f>
        <v>17</v>
      </c>
      <c r="I51" s="4">
        <v>45</v>
      </c>
      <c r="J51" s="4">
        <v>57</v>
      </c>
      <c r="K51" s="10">
        <f>F51*3+G51</f>
        <v>31</v>
      </c>
      <c r="L51" s="15">
        <f>(F51*3+G51)/(E51*3)*100</f>
        <v>34.444444444444443</v>
      </c>
      <c r="M51" s="18">
        <f>I51/E51</f>
        <v>1.5</v>
      </c>
      <c r="N51" s="18">
        <f>J51/E51</f>
        <v>1.9</v>
      </c>
      <c r="O51" s="22">
        <f>I51-J51</f>
        <v>-12</v>
      </c>
    </row>
    <row r="52" spans="1:15" x14ac:dyDescent="0.25">
      <c r="A52">
        <f t="shared" si="0"/>
        <v>1</v>
      </c>
      <c r="B52">
        <v>51</v>
      </c>
      <c r="C52">
        <v>50</v>
      </c>
      <c r="D52" t="s">
        <v>39</v>
      </c>
      <c r="E52" s="6">
        <v>30</v>
      </c>
      <c r="F52">
        <v>8</v>
      </c>
      <c r="G52">
        <v>7</v>
      </c>
      <c r="H52">
        <f>E52-F52-G52</f>
        <v>15</v>
      </c>
      <c r="I52">
        <v>44</v>
      </c>
      <c r="J52">
        <v>55</v>
      </c>
      <c r="K52" s="10">
        <f>F52*3+G52</f>
        <v>31</v>
      </c>
      <c r="L52" s="15">
        <f>(F52*3+G52)/(E52*3)*100</f>
        <v>34.444444444444443</v>
      </c>
      <c r="M52" s="18">
        <f>I52/E52</f>
        <v>1.4666666666666666</v>
      </c>
      <c r="N52" s="18">
        <f>J52/E52</f>
        <v>1.8333333333333333</v>
      </c>
      <c r="O52" s="22">
        <f>I52-J52</f>
        <v>-11</v>
      </c>
    </row>
    <row r="53" spans="1:15" x14ac:dyDescent="0.25">
      <c r="A53">
        <f t="shared" si="0"/>
        <v>52</v>
      </c>
      <c r="B53">
        <v>52</v>
      </c>
      <c r="D53" t="s">
        <v>133</v>
      </c>
      <c r="E53">
        <v>30</v>
      </c>
      <c r="F53">
        <v>7</v>
      </c>
      <c r="G53">
        <v>9</v>
      </c>
      <c r="H53">
        <v>14</v>
      </c>
      <c r="I53">
        <v>21</v>
      </c>
      <c r="J53">
        <v>51</v>
      </c>
      <c r="K53">
        <v>30</v>
      </c>
      <c r="L53" s="37"/>
      <c r="M53" s="37"/>
      <c r="N53" s="37"/>
    </row>
    <row r="54" spans="1:15" x14ac:dyDescent="0.25">
      <c r="A54">
        <f t="shared" si="0"/>
        <v>53</v>
      </c>
      <c r="B54">
        <v>53</v>
      </c>
      <c r="D54" t="s">
        <v>134</v>
      </c>
      <c r="E54">
        <v>60</v>
      </c>
      <c r="F54">
        <v>20</v>
      </c>
      <c r="G54">
        <v>6</v>
      </c>
      <c r="H54">
        <v>19</v>
      </c>
      <c r="I54">
        <v>94</v>
      </c>
      <c r="J54">
        <v>114</v>
      </c>
      <c r="K54">
        <v>25</v>
      </c>
      <c r="L54" s="37"/>
      <c r="M54" s="37"/>
      <c r="N54" s="37"/>
    </row>
    <row r="55" spans="1:15" x14ac:dyDescent="0.25">
      <c r="A55">
        <f t="shared" si="0"/>
        <v>54</v>
      </c>
      <c r="B55">
        <v>54</v>
      </c>
      <c r="D55" t="s">
        <v>135</v>
      </c>
      <c r="E55">
        <v>30</v>
      </c>
      <c r="F55">
        <v>7</v>
      </c>
      <c r="G55">
        <v>3</v>
      </c>
      <c r="H55">
        <v>20</v>
      </c>
      <c r="I55">
        <v>27</v>
      </c>
      <c r="J55">
        <v>87</v>
      </c>
      <c r="K55">
        <v>24</v>
      </c>
      <c r="L55" s="37"/>
      <c r="M55" s="37"/>
      <c r="N55" s="37"/>
      <c r="O55" s="25"/>
    </row>
    <row r="56" spans="1:15" x14ac:dyDescent="0.25">
      <c r="A56">
        <f t="shared" si="0"/>
        <v>3</v>
      </c>
      <c r="B56">
        <v>55</v>
      </c>
      <c r="C56">
        <v>52</v>
      </c>
      <c r="D56" s="14" t="s">
        <v>93</v>
      </c>
      <c r="E56" s="9">
        <v>30</v>
      </c>
      <c r="F56" s="8">
        <v>4</v>
      </c>
      <c r="G56" s="8">
        <v>5</v>
      </c>
      <c r="H56" s="8">
        <f>E56-F56-G56</f>
        <v>21</v>
      </c>
      <c r="I56" s="8">
        <v>13</v>
      </c>
      <c r="J56" s="8">
        <v>71</v>
      </c>
      <c r="K56" s="10">
        <f>F56*3+G56</f>
        <v>17</v>
      </c>
      <c r="L56" s="15">
        <f>(F56*3+G56)/(E56*3)*100</f>
        <v>18.888888888888889</v>
      </c>
      <c r="M56" s="18">
        <f>I56/E56</f>
        <v>0.43333333333333335</v>
      </c>
      <c r="N56" s="18">
        <f>J56/E56</f>
        <v>2.3666666666666667</v>
      </c>
      <c r="O56" s="31">
        <f>I56-J56</f>
        <v>-58</v>
      </c>
    </row>
    <row r="57" spans="1:15" x14ac:dyDescent="0.25">
      <c r="A57">
        <f t="shared" si="0"/>
        <v>-53</v>
      </c>
      <c r="C57">
        <v>53</v>
      </c>
      <c r="D57" t="s">
        <v>19</v>
      </c>
      <c r="E57" s="6">
        <v>24</v>
      </c>
      <c r="F57">
        <v>4</v>
      </c>
      <c r="G57">
        <v>1</v>
      </c>
      <c r="H57">
        <f>E57-F57-G57</f>
        <v>19</v>
      </c>
      <c r="I57">
        <v>23</v>
      </c>
      <c r="J57">
        <v>73</v>
      </c>
      <c r="K57" s="10">
        <f>F57*3+G57</f>
        <v>13</v>
      </c>
      <c r="L57" s="15">
        <f>(F57*3+G57)/(E57*3)*100</f>
        <v>18.055555555555554</v>
      </c>
      <c r="M57" s="18">
        <f>I57/E57</f>
        <v>0.95833333333333337</v>
      </c>
      <c r="N57" s="18">
        <f>J57/E57</f>
        <v>3.0416666666666665</v>
      </c>
      <c r="O57" s="22">
        <f>I57-J57</f>
        <v>-50</v>
      </c>
    </row>
    <row r="58" spans="1:15" x14ac:dyDescent="0.25">
      <c r="A58">
        <f t="shared" si="0"/>
        <v>-55</v>
      </c>
      <c r="C58">
        <v>55</v>
      </c>
      <c r="D58" t="s">
        <v>21</v>
      </c>
      <c r="E58" s="6">
        <v>27</v>
      </c>
      <c r="F58">
        <v>2</v>
      </c>
      <c r="G58">
        <v>1</v>
      </c>
      <c r="H58">
        <f>E58-F58-G58</f>
        <v>24</v>
      </c>
      <c r="I58">
        <v>14</v>
      </c>
      <c r="J58">
        <v>82</v>
      </c>
      <c r="K58" s="10">
        <f>F58*3+G58</f>
        <v>7</v>
      </c>
      <c r="L58" s="15">
        <f>(F58*3+G58)/(E58*3)*100</f>
        <v>8.6419753086419746</v>
      </c>
      <c r="M58" s="18">
        <f>I58/E58</f>
        <v>0.51851851851851849</v>
      </c>
      <c r="N58" s="18">
        <f>J58/E58</f>
        <v>3.0370370370370372</v>
      </c>
      <c r="O58" s="22">
        <f>I58-J58</f>
        <v>-68</v>
      </c>
    </row>
    <row r="59" spans="1:15" x14ac:dyDescent="0.25">
      <c r="A59">
        <f t="shared" si="0"/>
        <v>-54</v>
      </c>
      <c r="C59">
        <v>54</v>
      </c>
      <c r="D59" t="s">
        <v>20</v>
      </c>
      <c r="E59" s="6">
        <v>14</v>
      </c>
      <c r="F59">
        <v>2</v>
      </c>
      <c r="G59">
        <v>1</v>
      </c>
      <c r="H59">
        <f>E59-F59-G59</f>
        <v>11</v>
      </c>
      <c r="I59">
        <v>13</v>
      </c>
      <c r="J59">
        <v>48</v>
      </c>
      <c r="K59" s="10">
        <f>F59*3+G59</f>
        <v>7</v>
      </c>
      <c r="L59" s="15">
        <f>(F59*3+G59)/(E59*3)*100</f>
        <v>16.666666666666664</v>
      </c>
      <c r="M59" s="18">
        <f>I59/E59</f>
        <v>0.9285714285714286</v>
      </c>
      <c r="N59" s="18">
        <f>J59/E59</f>
        <v>3.4285714285714284</v>
      </c>
      <c r="O59" s="22">
        <f>I59-J59</f>
        <v>-35</v>
      </c>
    </row>
  </sheetData>
  <sortState ref="C2:O59">
    <sortCondition descending="1" ref="K2:K59"/>
    <sortCondition descending="1" ref="F2:F59"/>
    <sortCondition descending="1" ref="J2:J59"/>
    <sortCondition ref="L2:L59"/>
  </sortState>
  <mergeCells count="1">
    <mergeCell ref="Q23:Y2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2"/>
  <sheetViews>
    <sheetView topLeftCell="A7" workbookViewId="0">
      <selection activeCell="P57" sqref="P57:V72"/>
    </sheetView>
  </sheetViews>
  <sheetFormatPr defaultRowHeight="15" x14ac:dyDescent="0.25"/>
  <cols>
    <col min="1" max="1" width="30.7109375" bestFit="1" customWidth="1"/>
    <col min="2" max="4" width="9.140625" style="1"/>
    <col min="5" max="5" width="9.140625" style="11"/>
    <col min="6" max="7" width="9.140625" style="33"/>
    <col min="8" max="8" width="9.140625" style="11"/>
    <col min="9" max="12" width="7.140625" style="29" customWidth="1"/>
    <col min="15" max="15" width="25" bestFit="1" customWidth="1"/>
  </cols>
  <sheetData>
    <row r="1" spans="1:17" x14ac:dyDescent="0.25">
      <c r="A1" s="4" t="s">
        <v>0</v>
      </c>
      <c r="B1" s="27">
        <f>P471+P453+P436+P425+P400+P385+P364+P346+P332+P313</f>
        <v>300</v>
      </c>
      <c r="C1" s="27">
        <f>Q471+Q453+Q436+Q425+Q400+Q385+Q364+Q346+Q332+Q313</f>
        <v>166</v>
      </c>
      <c r="D1" s="27">
        <f>R471+R453+R436+R425+R400+R385+R364+R346+R332+R313</f>
        <v>62</v>
      </c>
      <c r="E1" s="14">
        <f t="shared" ref="E1:E32" si="0">B1-C1-D1</f>
        <v>72</v>
      </c>
      <c r="F1" s="27">
        <f>T471+T453+T436+T425+T400+T385+T364+T346+T332+T313</f>
        <v>605</v>
      </c>
      <c r="G1" s="27">
        <f>U471+U453+U436+U425+U400+U385+U364+U346+U332+U313</f>
        <v>320</v>
      </c>
      <c r="H1" s="32">
        <f t="shared" ref="H1:H32" si="1">C1*3+D1</f>
        <v>560</v>
      </c>
      <c r="I1" s="26">
        <f t="shared" ref="I1:I32" si="2">(C1*3+D1)/(B1*3)*100</f>
        <v>62.222222222222221</v>
      </c>
      <c r="J1" s="26">
        <f t="shared" ref="J1:J32" si="3">F1/B1</f>
        <v>2.0166666666666666</v>
      </c>
      <c r="K1" s="26">
        <f t="shared" ref="K1:K32" si="4">G1/B1</f>
        <v>1.0666666666666667</v>
      </c>
      <c r="L1" s="28">
        <f t="shared" ref="L1:L32" si="5">F1-G1</f>
        <v>285</v>
      </c>
    </row>
    <row r="2" spans="1:17" x14ac:dyDescent="0.25">
      <c r="A2" s="4" t="s">
        <v>1</v>
      </c>
      <c r="B2" s="27">
        <f>P472+P454+P435+P426+P410+P392+P370+P357</f>
        <v>240</v>
      </c>
      <c r="C2" s="27">
        <f>Q472+Q454+Q435+Q426+Q410+Q392+Q370+Q357</f>
        <v>100</v>
      </c>
      <c r="D2" s="27">
        <f>R472+R454+R435+R426+R410+R392+R370+R357</f>
        <v>63</v>
      </c>
      <c r="E2" s="14">
        <f t="shared" si="0"/>
        <v>77</v>
      </c>
      <c r="F2" s="27">
        <f>T472+T454+T435+T426+T410+T392+T370+T357</f>
        <v>373</v>
      </c>
      <c r="G2" s="27">
        <f>U472+U454+U435+U426+U410+U392+U370+U357</f>
        <v>316</v>
      </c>
      <c r="H2" s="32">
        <f t="shared" si="1"/>
        <v>363</v>
      </c>
      <c r="I2" s="26">
        <f t="shared" si="2"/>
        <v>50.416666666666664</v>
      </c>
      <c r="J2" s="26">
        <f t="shared" si="3"/>
        <v>1.5541666666666667</v>
      </c>
      <c r="K2" s="26">
        <f t="shared" si="4"/>
        <v>1.3166666666666667</v>
      </c>
      <c r="L2" s="28">
        <f t="shared" si="5"/>
        <v>57</v>
      </c>
    </row>
    <row r="3" spans="1:17" x14ac:dyDescent="0.25">
      <c r="A3" s="4" t="s">
        <v>2</v>
      </c>
      <c r="B3" s="27">
        <f>P473+P461+P449+P411+P394+P378</f>
        <v>180</v>
      </c>
      <c r="C3" s="27">
        <f>Q473+Q461+Q449+Q411+Q394+Q378</f>
        <v>49</v>
      </c>
      <c r="D3" s="27">
        <f>R473+R461+R449+R411+R394+R378</f>
        <v>46</v>
      </c>
      <c r="E3" s="14">
        <f t="shared" si="0"/>
        <v>85</v>
      </c>
      <c r="F3" s="27">
        <f>T473+T461+T449+T411+T394+T378</f>
        <v>250</v>
      </c>
      <c r="G3" s="27">
        <f>U473+U461+U449+U411+U394+U378</f>
        <v>286</v>
      </c>
      <c r="H3" s="32">
        <f t="shared" si="1"/>
        <v>193</v>
      </c>
      <c r="I3" s="26">
        <f t="shared" si="2"/>
        <v>35.74074074074074</v>
      </c>
      <c r="J3" s="26">
        <f t="shared" si="3"/>
        <v>1.3888888888888888</v>
      </c>
      <c r="K3" s="26">
        <f t="shared" si="4"/>
        <v>1.5888888888888888</v>
      </c>
      <c r="L3" s="28">
        <f t="shared" si="5"/>
        <v>-36</v>
      </c>
    </row>
    <row r="4" spans="1:17" x14ac:dyDescent="0.25">
      <c r="A4" s="4" t="s">
        <v>3</v>
      </c>
      <c r="B4" s="27">
        <f>P474+P455+P438+P417+P407+P386+P369+P358+P334+P319+P301</f>
        <v>330</v>
      </c>
      <c r="C4" s="27">
        <f>Q474+Q455+Q438+Q417+Q407+Q386+Q369+Q358+Q334+Q319+Q301</f>
        <v>141</v>
      </c>
      <c r="D4" s="27">
        <f>R474+R455+R438+R417+R407+R386+R369+R358+R334+R319+R301</f>
        <v>76</v>
      </c>
      <c r="E4" s="14">
        <f t="shared" si="0"/>
        <v>113</v>
      </c>
      <c r="F4" s="27">
        <f>T474+T455+T438+T417+T407+T386+T369+T358+T334+T319+T301</f>
        <v>523</v>
      </c>
      <c r="G4" s="27">
        <f>U474+U455+U438+U417+U407+U386+U369+U358+U334+U319+U301</f>
        <v>443</v>
      </c>
      <c r="H4" s="32">
        <f t="shared" si="1"/>
        <v>499</v>
      </c>
      <c r="I4" s="26">
        <f t="shared" si="2"/>
        <v>50.404040404040408</v>
      </c>
      <c r="J4" s="26">
        <f t="shared" si="3"/>
        <v>1.584848484848485</v>
      </c>
      <c r="K4" s="26">
        <f t="shared" si="4"/>
        <v>1.3424242424242425</v>
      </c>
      <c r="L4" s="28">
        <f t="shared" si="5"/>
        <v>80</v>
      </c>
      <c r="O4" t="s">
        <v>78</v>
      </c>
    </row>
    <row r="5" spans="1:17" x14ac:dyDescent="0.25">
      <c r="A5" s="4" t="s">
        <v>4</v>
      </c>
      <c r="B5" s="27">
        <f>P475+P463+P437+P421+P399+P381+P363+P349+P339+P316+P300+P280</f>
        <v>360</v>
      </c>
      <c r="C5" s="27">
        <f>Q475+Q463+Q437+Q421+Q399+Q381+Q363+Q349+Q339+Q316+Q300+Q280</f>
        <v>178</v>
      </c>
      <c r="D5" s="27">
        <f>R475+R463+R437+R421+R399+R381+R363+R349+R339+R316+R300+R280</f>
        <v>69</v>
      </c>
      <c r="E5" s="14">
        <f t="shared" si="0"/>
        <v>113</v>
      </c>
      <c r="F5" s="27">
        <f>T475+T463+T437+T421+T399+T381+T363+T349+T339+T316+T300+T280</f>
        <v>647</v>
      </c>
      <c r="G5" s="27">
        <f>U475+U463+U437+U421+U399+U381+U363+U349+U339+U316+U300+U280</f>
        <v>438</v>
      </c>
      <c r="H5" s="32">
        <f t="shared" si="1"/>
        <v>603</v>
      </c>
      <c r="I5" s="26">
        <f t="shared" si="2"/>
        <v>55.833333333333336</v>
      </c>
      <c r="J5" s="26">
        <f t="shared" si="3"/>
        <v>1.7972222222222223</v>
      </c>
      <c r="K5" s="26">
        <f t="shared" si="4"/>
        <v>1.2166666666666666</v>
      </c>
      <c r="L5" s="28">
        <f t="shared" si="5"/>
        <v>209</v>
      </c>
      <c r="O5" t="s">
        <v>79</v>
      </c>
      <c r="Q5" t="s">
        <v>94</v>
      </c>
    </row>
    <row r="6" spans="1:17" x14ac:dyDescent="0.25">
      <c r="A6" s="4" t="s">
        <v>5</v>
      </c>
      <c r="B6" s="27">
        <f>P476+P462+P447+P431</f>
        <v>120</v>
      </c>
      <c r="C6" s="27">
        <f>Q476+Q462+Q447+Q431</f>
        <v>39</v>
      </c>
      <c r="D6" s="27">
        <f>R476+R462+R447+R431</f>
        <v>27</v>
      </c>
      <c r="E6" s="14">
        <f t="shared" si="0"/>
        <v>54</v>
      </c>
      <c r="F6" s="27">
        <f>T476+T462+T447+T431</f>
        <v>136</v>
      </c>
      <c r="G6" s="27">
        <f>U476+U462+U447+U431</f>
        <v>168</v>
      </c>
      <c r="H6" s="32">
        <f t="shared" si="1"/>
        <v>144</v>
      </c>
      <c r="I6" s="26">
        <f t="shared" si="2"/>
        <v>40</v>
      </c>
      <c r="J6" s="26">
        <f t="shared" si="3"/>
        <v>1.1333333333333333</v>
      </c>
      <c r="K6" s="26">
        <f t="shared" si="4"/>
        <v>1.4</v>
      </c>
      <c r="L6" s="28">
        <f t="shared" si="5"/>
        <v>-32</v>
      </c>
      <c r="O6" t="s">
        <v>82</v>
      </c>
      <c r="Q6" t="s">
        <v>95</v>
      </c>
    </row>
    <row r="7" spans="1:17" x14ac:dyDescent="0.25">
      <c r="A7" s="4" t="s">
        <v>6</v>
      </c>
      <c r="B7" s="27">
        <f>P477+P456+P440+P422+P409+P390+P375+P345+P338</f>
        <v>270</v>
      </c>
      <c r="C7" s="27">
        <f>Q477+Q456+Q440+Q422+Q409+Q390+Q375+Q345+Q338</f>
        <v>111</v>
      </c>
      <c r="D7" s="27">
        <f>R477+R456+R440+R422+R409+R390+R375+R345+R338</f>
        <v>69</v>
      </c>
      <c r="E7" s="14">
        <f t="shared" si="0"/>
        <v>90</v>
      </c>
      <c r="F7" s="27">
        <f>T477+T456+T440+T422+T409+T390+T375+T345+T338</f>
        <v>413</v>
      </c>
      <c r="G7" s="27">
        <f>U477+U456+U440+U422+U409+U390+U375+U345+U338</f>
        <v>354</v>
      </c>
      <c r="H7" s="32">
        <f t="shared" si="1"/>
        <v>402</v>
      </c>
      <c r="I7" s="26">
        <f t="shared" si="2"/>
        <v>49.629629629629626</v>
      </c>
      <c r="J7" s="26">
        <f t="shared" si="3"/>
        <v>1.5296296296296297</v>
      </c>
      <c r="K7" s="26">
        <f t="shared" si="4"/>
        <v>1.3111111111111111</v>
      </c>
      <c r="L7" s="28">
        <f t="shared" si="5"/>
        <v>59</v>
      </c>
      <c r="O7" t="s">
        <v>80</v>
      </c>
      <c r="Q7" t="s">
        <v>96</v>
      </c>
    </row>
    <row r="8" spans="1:17" x14ac:dyDescent="0.25">
      <c r="A8" s="4" t="s">
        <v>7</v>
      </c>
      <c r="B8" s="27">
        <f>P478+P460+P444+P428+P402</f>
        <v>150</v>
      </c>
      <c r="C8" s="27">
        <f>Q478+Q460+Q444+Q428+Q402</f>
        <v>59</v>
      </c>
      <c r="D8" s="27">
        <f>R478+R460+R444+R428+R402</f>
        <v>32</v>
      </c>
      <c r="E8" s="14">
        <f t="shared" si="0"/>
        <v>59</v>
      </c>
      <c r="F8" s="27">
        <f>T478+T460+T444+T428+T402</f>
        <v>206</v>
      </c>
      <c r="G8" s="27">
        <f>U478+U460+U444+U428+U402</f>
        <v>185</v>
      </c>
      <c r="H8" s="32">
        <f t="shared" si="1"/>
        <v>209</v>
      </c>
      <c r="I8" s="26">
        <f t="shared" si="2"/>
        <v>46.444444444444443</v>
      </c>
      <c r="J8" s="26">
        <f t="shared" si="3"/>
        <v>1.3733333333333333</v>
      </c>
      <c r="K8" s="26">
        <f t="shared" si="4"/>
        <v>1.2333333333333334</v>
      </c>
      <c r="L8" s="28">
        <f t="shared" si="5"/>
        <v>21</v>
      </c>
      <c r="O8" t="s">
        <v>81</v>
      </c>
      <c r="Q8" t="s">
        <v>97</v>
      </c>
    </row>
    <row r="9" spans="1:17" x14ac:dyDescent="0.25">
      <c r="A9" s="4" t="s">
        <v>8</v>
      </c>
      <c r="B9" s="27">
        <f>P479</f>
        <v>30</v>
      </c>
      <c r="C9" s="27">
        <f>Q479</f>
        <v>12</v>
      </c>
      <c r="D9" s="27">
        <f>R479</f>
        <v>3</v>
      </c>
      <c r="E9" s="14">
        <f t="shared" si="0"/>
        <v>15</v>
      </c>
      <c r="F9" s="27">
        <f>T479</f>
        <v>45</v>
      </c>
      <c r="G9" s="27">
        <f>U479</f>
        <v>43</v>
      </c>
      <c r="H9" s="32">
        <f t="shared" si="1"/>
        <v>39</v>
      </c>
      <c r="I9" s="26">
        <f t="shared" si="2"/>
        <v>43.333333333333336</v>
      </c>
      <c r="J9" s="26">
        <f t="shared" si="3"/>
        <v>1.5</v>
      </c>
      <c r="K9" s="26">
        <f t="shared" si="4"/>
        <v>1.4333333333333333</v>
      </c>
      <c r="L9" s="28">
        <f t="shared" si="5"/>
        <v>2</v>
      </c>
      <c r="O9" t="s">
        <v>83</v>
      </c>
      <c r="Q9" t="s">
        <v>98</v>
      </c>
    </row>
    <row r="10" spans="1:17" x14ac:dyDescent="0.25">
      <c r="A10" s="4" t="s">
        <v>9</v>
      </c>
      <c r="B10" s="27">
        <f>P480+P458+P445+P429+P412+P395+P318+P299+P281+P267</f>
        <v>300</v>
      </c>
      <c r="C10" s="27">
        <f>Q480+Q458+Q445+Q429+Q412+Q395+Q318+Q299+Q281+Q267</f>
        <v>89</v>
      </c>
      <c r="D10" s="27">
        <f>R480+R458+R445+R429+R412+R395+R318+R299+R281+R267</f>
        <v>67</v>
      </c>
      <c r="E10" s="14">
        <f t="shared" si="0"/>
        <v>144</v>
      </c>
      <c r="F10" s="27">
        <f>T480+T458+T445+T429+T412+T395+T318+T299+T281+T267</f>
        <v>417</v>
      </c>
      <c r="G10" s="27">
        <f>U480+U458+U445+U429+U412+U395+U318+U299+U281+U267</f>
        <v>458</v>
      </c>
      <c r="H10" s="32">
        <f t="shared" si="1"/>
        <v>334</v>
      </c>
      <c r="I10" s="26">
        <f t="shared" si="2"/>
        <v>37.111111111111114</v>
      </c>
      <c r="J10" s="26">
        <f t="shared" si="3"/>
        <v>1.39</v>
      </c>
      <c r="K10" s="26">
        <f t="shared" si="4"/>
        <v>1.5266666666666666</v>
      </c>
      <c r="L10" s="28">
        <f t="shared" si="5"/>
        <v>-41</v>
      </c>
      <c r="O10" t="s">
        <v>84</v>
      </c>
      <c r="Q10" t="s">
        <v>99</v>
      </c>
    </row>
    <row r="11" spans="1:17" x14ac:dyDescent="0.25">
      <c r="A11" s="4" t="s">
        <v>10</v>
      </c>
      <c r="B11" s="27">
        <f>P481+P450+P464</f>
        <v>90</v>
      </c>
      <c r="C11" s="27">
        <f>Q481+Q450+Q464</f>
        <v>23</v>
      </c>
      <c r="D11" s="27">
        <f>R481+R450+R464</f>
        <v>22</v>
      </c>
      <c r="E11" s="14">
        <f t="shared" si="0"/>
        <v>45</v>
      </c>
      <c r="F11" s="27">
        <f>T481+T450+T464</f>
        <v>98</v>
      </c>
      <c r="G11" s="27">
        <f>U481+U450+U464</f>
        <v>143</v>
      </c>
      <c r="H11" s="32">
        <f t="shared" si="1"/>
        <v>91</v>
      </c>
      <c r="I11" s="26">
        <f t="shared" si="2"/>
        <v>33.703703703703702</v>
      </c>
      <c r="J11" s="26">
        <f t="shared" si="3"/>
        <v>1.0888888888888888</v>
      </c>
      <c r="K11" s="26">
        <f t="shared" si="4"/>
        <v>1.5888888888888888</v>
      </c>
      <c r="L11" s="28">
        <f t="shared" si="5"/>
        <v>-45</v>
      </c>
      <c r="O11" t="s">
        <v>85</v>
      </c>
      <c r="Q11" t="s">
        <v>100</v>
      </c>
    </row>
    <row r="12" spans="1:17" x14ac:dyDescent="0.25">
      <c r="A12" s="4" t="s">
        <v>11</v>
      </c>
      <c r="B12" s="27">
        <f t="shared" ref="B12:D13" si="6">P482</f>
        <v>30</v>
      </c>
      <c r="C12" s="27">
        <f t="shared" si="6"/>
        <v>10</v>
      </c>
      <c r="D12" s="27">
        <f t="shared" si="6"/>
        <v>5</v>
      </c>
      <c r="E12" s="14">
        <f t="shared" si="0"/>
        <v>15</v>
      </c>
      <c r="F12" s="27">
        <f>T482</f>
        <v>53</v>
      </c>
      <c r="G12" s="27">
        <f>U482</f>
        <v>57</v>
      </c>
      <c r="H12" s="32">
        <f t="shared" si="1"/>
        <v>35</v>
      </c>
      <c r="I12" s="26">
        <f t="shared" si="2"/>
        <v>38.888888888888893</v>
      </c>
      <c r="J12" s="26">
        <f t="shared" si="3"/>
        <v>1.7666666666666666</v>
      </c>
      <c r="K12" s="26">
        <f t="shared" si="4"/>
        <v>1.9</v>
      </c>
      <c r="L12" s="28">
        <f t="shared" si="5"/>
        <v>-4</v>
      </c>
      <c r="O12" t="s">
        <v>86</v>
      </c>
      <c r="Q12" t="s">
        <v>101</v>
      </c>
    </row>
    <row r="13" spans="1:17" x14ac:dyDescent="0.25">
      <c r="A13" s="4" t="s">
        <v>12</v>
      </c>
      <c r="B13" s="27">
        <f t="shared" si="6"/>
        <v>30</v>
      </c>
      <c r="C13" s="27">
        <f t="shared" si="6"/>
        <v>10</v>
      </c>
      <c r="D13" s="27">
        <f t="shared" si="6"/>
        <v>5</v>
      </c>
      <c r="E13" s="14">
        <f t="shared" si="0"/>
        <v>15</v>
      </c>
      <c r="F13" s="27">
        <f>T483</f>
        <v>27</v>
      </c>
      <c r="G13" s="27">
        <f>U483</f>
        <v>50</v>
      </c>
      <c r="H13" s="32">
        <f t="shared" si="1"/>
        <v>35</v>
      </c>
      <c r="I13" s="26">
        <f t="shared" si="2"/>
        <v>38.888888888888893</v>
      </c>
      <c r="J13" s="26">
        <f t="shared" si="3"/>
        <v>0.9</v>
      </c>
      <c r="K13" s="26">
        <f t="shared" si="4"/>
        <v>1.6666666666666667</v>
      </c>
      <c r="L13" s="28">
        <f t="shared" si="5"/>
        <v>-23</v>
      </c>
      <c r="O13" t="s">
        <v>87</v>
      </c>
      <c r="Q13" t="s">
        <v>102</v>
      </c>
    </row>
    <row r="14" spans="1:17" x14ac:dyDescent="0.25">
      <c r="A14" s="4" t="s">
        <v>13</v>
      </c>
      <c r="B14" s="27">
        <f>P484+P465+P448+P432</f>
        <v>120</v>
      </c>
      <c r="C14" s="27">
        <f>Q484+Q465+Q448+Q432</f>
        <v>24</v>
      </c>
      <c r="D14" s="27">
        <f>R484+R465+R448+R432</f>
        <v>30</v>
      </c>
      <c r="E14" s="14">
        <f t="shared" si="0"/>
        <v>66</v>
      </c>
      <c r="F14" s="27">
        <f>T484+T465+T448+T432</f>
        <v>118</v>
      </c>
      <c r="G14" s="27">
        <f>U484+U465+U448+U432</f>
        <v>190</v>
      </c>
      <c r="H14" s="32">
        <f t="shared" si="1"/>
        <v>102</v>
      </c>
      <c r="I14" s="26">
        <f t="shared" si="2"/>
        <v>28.333333333333332</v>
      </c>
      <c r="J14" s="26">
        <f t="shared" si="3"/>
        <v>0.98333333333333328</v>
      </c>
      <c r="K14" s="26">
        <f t="shared" si="4"/>
        <v>1.5833333333333333</v>
      </c>
      <c r="L14" s="28">
        <f t="shared" si="5"/>
        <v>-72</v>
      </c>
      <c r="O14" t="s">
        <v>88</v>
      </c>
      <c r="Q14" t="s">
        <v>103</v>
      </c>
    </row>
    <row r="15" spans="1:17" x14ac:dyDescent="0.25">
      <c r="A15" s="4" t="s">
        <v>17</v>
      </c>
      <c r="B15" s="27">
        <f>P457+P442+P430+P414</f>
        <v>120</v>
      </c>
      <c r="C15" s="27">
        <f>Q457+Q442+Q430+Q414</f>
        <v>35</v>
      </c>
      <c r="D15" s="27">
        <f>R457+R442+R430+R414</f>
        <v>34</v>
      </c>
      <c r="E15" s="14">
        <f t="shared" si="0"/>
        <v>51</v>
      </c>
      <c r="F15" s="27">
        <f>T457+T442+T430+T414</f>
        <v>123</v>
      </c>
      <c r="G15" s="27">
        <f>U457+U442+U430+U414</f>
        <v>169</v>
      </c>
      <c r="H15" s="32">
        <f t="shared" si="1"/>
        <v>139</v>
      </c>
      <c r="I15" s="26">
        <f t="shared" si="2"/>
        <v>38.611111111111114</v>
      </c>
      <c r="J15" s="26">
        <f t="shared" si="3"/>
        <v>1.0249999999999999</v>
      </c>
      <c r="K15" s="26">
        <f t="shared" si="4"/>
        <v>1.4083333333333334</v>
      </c>
      <c r="L15" s="28">
        <f t="shared" si="5"/>
        <v>-46</v>
      </c>
      <c r="O15" t="s">
        <v>89</v>
      </c>
      <c r="Q15" t="s">
        <v>104</v>
      </c>
    </row>
    <row r="16" spans="1:17" x14ac:dyDescent="0.25">
      <c r="A16" s="4" t="s">
        <v>18</v>
      </c>
      <c r="B16" s="27">
        <f>P459+P446+P427+P403+P388+P365+P350+P329+P311+P293+P274+P257+P237+P219+P202+P183+P165+P148+P130+P111+P94+P75+P62</f>
        <v>660</v>
      </c>
      <c r="C16" s="27">
        <f>Q459+Q446+Q427+Q403+Q388+Q365+Q350+Q329+Q311+Q293+Q274+Q257+Q237+Q219+Q202+Q183+Q165+Q148+Q130+Q111+Q94+Q75+Q62</f>
        <v>450</v>
      </c>
      <c r="D16" s="27">
        <f>R459+R446+R427+R403+R388+R365+R350+R329+R311+R293+R274+R257+R237+R219+R202+R183+R165+R148+R130+R111+R94+R75+R62</f>
        <v>90</v>
      </c>
      <c r="E16" s="14">
        <f t="shared" si="0"/>
        <v>120</v>
      </c>
      <c r="F16" s="27">
        <f>T459+T446+T427+T403+T388+T365+T350+T329+T311+T293+T274+T257+T237+T219+T202+T183+T165+T148+T130+T111+T94+T75+T62</f>
        <v>2080</v>
      </c>
      <c r="G16" s="27">
        <f>U459+U446+U427+U403+U388+U365+U350+U329+U311+U293+U274+U257+U237+U219+U202+U183+U165+U148+U130+U111+U94+U75+U62</f>
        <v>590</v>
      </c>
      <c r="H16" s="32">
        <f t="shared" si="1"/>
        <v>1440</v>
      </c>
      <c r="I16" s="26">
        <f t="shared" si="2"/>
        <v>72.727272727272734</v>
      </c>
      <c r="J16" s="26">
        <f t="shared" si="3"/>
        <v>3.1515151515151514</v>
      </c>
      <c r="K16" s="26">
        <f t="shared" si="4"/>
        <v>0.89393939393939392</v>
      </c>
      <c r="L16" s="28">
        <f t="shared" si="5"/>
        <v>1490</v>
      </c>
      <c r="O16" t="s">
        <v>90</v>
      </c>
      <c r="Q16" t="s">
        <v>105</v>
      </c>
    </row>
    <row r="17" spans="1:15" x14ac:dyDescent="0.25">
      <c r="A17" s="4" t="s">
        <v>19</v>
      </c>
      <c r="B17" s="27">
        <f t="shared" ref="B17:D19" si="7">P466</f>
        <v>24</v>
      </c>
      <c r="C17" s="27">
        <f t="shared" si="7"/>
        <v>4</v>
      </c>
      <c r="D17" s="27">
        <f t="shared" si="7"/>
        <v>1</v>
      </c>
      <c r="E17" s="14">
        <f t="shared" si="0"/>
        <v>19</v>
      </c>
      <c r="F17" s="27">
        <f t="shared" ref="F17:G19" si="8">T466</f>
        <v>23</v>
      </c>
      <c r="G17" s="27">
        <f t="shared" si="8"/>
        <v>73</v>
      </c>
      <c r="H17" s="32">
        <f t="shared" si="1"/>
        <v>13</v>
      </c>
      <c r="I17" s="26">
        <f t="shared" si="2"/>
        <v>18.055555555555554</v>
      </c>
      <c r="J17" s="26">
        <f t="shared" si="3"/>
        <v>0.95833333333333337</v>
      </c>
      <c r="K17" s="26">
        <f t="shared" si="4"/>
        <v>3.0416666666666665</v>
      </c>
      <c r="L17" s="28">
        <f t="shared" si="5"/>
        <v>-50</v>
      </c>
      <c r="O17" t="s">
        <v>108</v>
      </c>
    </row>
    <row r="18" spans="1:15" x14ac:dyDescent="0.25">
      <c r="A18" s="4" t="s">
        <v>20</v>
      </c>
      <c r="B18" s="27">
        <f t="shared" si="7"/>
        <v>14</v>
      </c>
      <c r="C18" s="27">
        <f t="shared" si="7"/>
        <v>2</v>
      </c>
      <c r="D18" s="27">
        <f t="shared" si="7"/>
        <v>1</v>
      </c>
      <c r="E18" s="14">
        <f t="shared" si="0"/>
        <v>11</v>
      </c>
      <c r="F18" s="27">
        <f t="shared" si="8"/>
        <v>13</v>
      </c>
      <c r="G18" s="27">
        <f t="shared" si="8"/>
        <v>48</v>
      </c>
      <c r="H18" s="32">
        <f t="shared" si="1"/>
        <v>7</v>
      </c>
      <c r="I18" s="26">
        <f t="shared" si="2"/>
        <v>16.666666666666664</v>
      </c>
      <c r="J18" s="26">
        <f t="shared" si="3"/>
        <v>0.9285714285714286</v>
      </c>
      <c r="K18" s="26">
        <f t="shared" si="4"/>
        <v>3.4285714285714284</v>
      </c>
      <c r="L18" s="28">
        <f t="shared" si="5"/>
        <v>-35</v>
      </c>
      <c r="O18" t="s">
        <v>109</v>
      </c>
    </row>
    <row r="19" spans="1:15" x14ac:dyDescent="0.25">
      <c r="A19" s="4" t="s">
        <v>21</v>
      </c>
      <c r="B19" s="27">
        <f t="shared" si="7"/>
        <v>27</v>
      </c>
      <c r="C19" s="27">
        <f t="shared" si="7"/>
        <v>2</v>
      </c>
      <c r="D19" s="27">
        <f t="shared" si="7"/>
        <v>1</v>
      </c>
      <c r="E19" s="32">
        <f t="shared" si="0"/>
        <v>24</v>
      </c>
      <c r="F19" s="27">
        <f t="shared" si="8"/>
        <v>14</v>
      </c>
      <c r="G19" s="27">
        <f t="shared" si="8"/>
        <v>82</v>
      </c>
      <c r="H19" s="32">
        <f t="shared" si="1"/>
        <v>7</v>
      </c>
      <c r="I19" s="26">
        <f t="shared" si="2"/>
        <v>8.6419753086419746</v>
      </c>
      <c r="J19" s="26">
        <f t="shared" si="3"/>
        <v>0.51851851851851849</v>
      </c>
      <c r="K19" s="26">
        <f t="shared" si="4"/>
        <v>3.0370370370370372</v>
      </c>
      <c r="L19" s="28">
        <f t="shared" si="5"/>
        <v>-68</v>
      </c>
      <c r="O19" t="s">
        <v>110</v>
      </c>
    </row>
    <row r="20" spans="1:15" x14ac:dyDescent="0.25">
      <c r="A20" s="4" t="s">
        <v>23</v>
      </c>
      <c r="B20" s="27">
        <f>P439+P419+P401+P384+P366+P347+P327+P312+P292+P276</f>
        <v>300</v>
      </c>
      <c r="C20" s="27">
        <f>Q439+Q419+Q401+Q384+Q366+Q347+Q327+Q312+Q292+Q276</f>
        <v>174</v>
      </c>
      <c r="D20" s="27">
        <f>R439+R419+R401+R384+R366+R347+R327+R312+R292+R276</f>
        <v>61</v>
      </c>
      <c r="E20" s="14">
        <f t="shared" si="0"/>
        <v>65</v>
      </c>
      <c r="F20" s="27">
        <f>T439+T419+T401+T384+T366+T347+T327+T312+T292+T276</f>
        <v>650</v>
      </c>
      <c r="G20" s="27">
        <f>U439+U419+U401+U384+U366+U347+U327+U312+U292+U276</f>
        <v>287</v>
      </c>
      <c r="H20" s="32">
        <f t="shared" si="1"/>
        <v>583</v>
      </c>
      <c r="I20" s="26">
        <f t="shared" si="2"/>
        <v>64.777777777777771</v>
      </c>
      <c r="J20" s="26">
        <f t="shared" si="3"/>
        <v>2.1666666666666665</v>
      </c>
      <c r="K20" s="26">
        <f t="shared" si="4"/>
        <v>0.95666666666666667</v>
      </c>
      <c r="L20" s="28">
        <f t="shared" si="5"/>
        <v>363</v>
      </c>
      <c r="O20" t="s">
        <v>111</v>
      </c>
    </row>
    <row r="21" spans="1:15" x14ac:dyDescent="0.25">
      <c r="A21" s="4" t="s">
        <v>24</v>
      </c>
      <c r="B21" s="27">
        <f>P441+P418+P404+P382+P371+P348+P328+P310+P291+P273+P256+P250+P226+P204</f>
        <v>420</v>
      </c>
      <c r="C21" s="27">
        <f>Q441+Q418+Q404+Q382+Q371+Q348+Q328+Q310+Q291+Q273+Q256+Q250+Q226+Q204</f>
        <v>239</v>
      </c>
      <c r="D21" s="27">
        <f>R441+R418+R404+R382+R371+R348+R328+R310+R291+R273+R256+R250+R226+R204</f>
        <v>69</v>
      </c>
      <c r="E21" s="14">
        <f t="shared" si="0"/>
        <v>112</v>
      </c>
      <c r="F21" s="27">
        <f>T441+T418+T404+T382+T371+T348+T328+T310+T291+T273+T256+T250+T226+T204</f>
        <v>952</v>
      </c>
      <c r="G21" s="27">
        <f>U441+U418+U404+U382+U371+U348+U328+U310+U291+U273+U256+U250+U226+U204</f>
        <v>569</v>
      </c>
      <c r="H21" s="32">
        <f t="shared" si="1"/>
        <v>786</v>
      </c>
      <c r="I21" s="26">
        <f t="shared" si="2"/>
        <v>62.38095238095238</v>
      </c>
      <c r="J21" s="26">
        <f t="shared" si="3"/>
        <v>2.2666666666666666</v>
      </c>
      <c r="K21" s="26">
        <f t="shared" si="4"/>
        <v>1.3547619047619048</v>
      </c>
      <c r="L21" s="28">
        <f t="shared" si="5"/>
        <v>383</v>
      </c>
      <c r="O21" t="s">
        <v>112</v>
      </c>
    </row>
    <row r="22" spans="1:15" x14ac:dyDescent="0.25">
      <c r="A22" s="4" t="s">
        <v>25</v>
      </c>
      <c r="B22" s="27">
        <f>P443+P423+P405+P393+P377+P336+P320+P298</f>
        <v>240</v>
      </c>
      <c r="C22" s="27">
        <f>Q443+Q423+Q405+Q393+Q377+Q336+Q320+Q298</f>
        <v>77</v>
      </c>
      <c r="D22" s="27">
        <f>R443+R423+R405+R393+R377+R336+R320+R298</f>
        <v>58</v>
      </c>
      <c r="E22" s="14">
        <f t="shared" si="0"/>
        <v>105</v>
      </c>
      <c r="F22" s="27">
        <f>T443+T423+T405+T393+T377+T336+T320+T298</f>
        <v>371</v>
      </c>
      <c r="G22" s="27">
        <f>U443+U423+U405+U393+U377+U336+U320+U298</f>
        <v>387</v>
      </c>
      <c r="H22" s="32">
        <f t="shared" si="1"/>
        <v>289</v>
      </c>
      <c r="I22" s="26">
        <f t="shared" si="2"/>
        <v>40.138888888888893</v>
      </c>
      <c r="J22" s="26">
        <f t="shared" si="3"/>
        <v>1.5458333333333334</v>
      </c>
      <c r="K22" s="26">
        <f t="shared" si="4"/>
        <v>1.6125</v>
      </c>
      <c r="L22" s="28">
        <f t="shared" si="5"/>
        <v>-16</v>
      </c>
      <c r="O22" t="s">
        <v>113</v>
      </c>
    </row>
    <row r="23" spans="1:15" x14ac:dyDescent="0.25">
      <c r="A23" s="4" t="s">
        <v>27</v>
      </c>
      <c r="B23" s="27">
        <f>P420+P406+P389+P372+P352+P331+P315+P295+P279+P260+P241+P222</f>
        <v>360</v>
      </c>
      <c r="C23" s="27">
        <f>Q420+Q406+Q389+Q372+Q352+Q331+Q315+Q295+Q279+Q260+Q241+Q222</f>
        <v>174</v>
      </c>
      <c r="D23" s="27">
        <f>R420+R406+R389+R372+R352+R331+R315+R295+R279+R260+R241+R222</f>
        <v>74</v>
      </c>
      <c r="E23" s="14">
        <f t="shared" si="0"/>
        <v>112</v>
      </c>
      <c r="F23" s="27">
        <f>T420+T406+T389+T372+T352+T331+T315+T295+T279+T260+T241+T222</f>
        <v>740</v>
      </c>
      <c r="G23" s="27">
        <f>U420+U406+U389+U372+U352+U331+U315+U295+U279+U260+U241+U222</f>
        <v>436</v>
      </c>
      <c r="H23" s="32">
        <f t="shared" si="1"/>
        <v>596</v>
      </c>
      <c r="I23" s="26">
        <f t="shared" si="2"/>
        <v>55.185185185185183</v>
      </c>
      <c r="J23" s="26">
        <f t="shared" si="3"/>
        <v>2.0555555555555554</v>
      </c>
      <c r="K23" s="26">
        <f t="shared" si="4"/>
        <v>1.211111111111111</v>
      </c>
      <c r="L23" s="28">
        <f t="shared" si="5"/>
        <v>304</v>
      </c>
    </row>
    <row r="24" spans="1:15" x14ac:dyDescent="0.25">
      <c r="A24" s="4" t="s">
        <v>28</v>
      </c>
      <c r="B24" s="27">
        <f>P424+P408+P391+P376+P355+P335</f>
        <v>180</v>
      </c>
      <c r="C24" s="27">
        <f>Q424+Q408+Q391+Q376+Q355+Q335</f>
        <v>64</v>
      </c>
      <c r="D24" s="27">
        <f>R424+R408+R391+R376+R355+R335</f>
        <v>37</v>
      </c>
      <c r="E24" s="14">
        <f t="shared" si="0"/>
        <v>79</v>
      </c>
      <c r="F24" s="27">
        <f>T424+T408+T391+T376+T355+T335</f>
        <v>222</v>
      </c>
      <c r="G24" s="27">
        <f>U424+U408+U391+U376+U355+U335</f>
        <v>254</v>
      </c>
      <c r="H24" s="32">
        <f t="shared" si="1"/>
        <v>229</v>
      </c>
      <c r="I24" s="26">
        <f t="shared" si="2"/>
        <v>42.407407407407405</v>
      </c>
      <c r="J24" s="26">
        <f t="shared" si="3"/>
        <v>1.2333333333333334</v>
      </c>
      <c r="K24" s="26">
        <f t="shared" si="4"/>
        <v>1.4111111111111112</v>
      </c>
      <c r="L24" s="28">
        <f t="shared" si="5"/>
        <v>-32</v>
      </c>
    </row>
    <row r="25" spans="1:15" x14ac:dyDescent="0.25">
      <c r="A25" s="4" t="s">
        <v>30</v>
      </c>
      <c r="B25" s="27">
        <f>P413+P373+P359</f>
        <v>90</v>
      </c>
      <c r="C25" s="27">
        <f>Q413+Q373+Q359</f>
        <v>21</v>
      </c>
      <c r="D25" s="27">
        <f>R413+R373+R359</f>
        <v>21</v>
      </c>
      <c r="E25" s="14">
        <f t="shared" si="0"/>
        <v>48</v>
      </c>
      <c r="F25" s="27">
        <f>T413+T373+T359</f>
        <v>87</v>
      </c>
      <c r="G25" s="27">
        <f>U413+U373+U359</f>
        <v>133</v>
      </c>
      <c r="H25" s="32">
        <f t="shared" si="1"/>
        <v>84</v>
      </c>
      <c r="I25" s="26">
        <f t="shared" si="2"/>
        <v>31.111111111111111</v>
      </c>
      <c r="J25" s="26">
        <f t="shared" si="3"/>
        <v>0.96666666666666667</v>
      </c>
      <c r="K25" s="26">
        <f t="shared" si="4"/>
        <v>1.4777777777777779</v>
      </c>
      <c r="L25" s="28">
        <f t="shared" si="5"/>
        <v>-46</v>
      </c>
    </row>
    <row r="26" spans="1:15" x14ac:dyDescent="0.25">
      <c r="A26" s="4" t="s">
        <v>32</v>
      </c>
      <c r="B26" s="27">
        <f>P383+P368+P353+P330+P317+P294+P277+P259+P239+P221+P203+P184+P166+P147+P129+P112+P95+P76+P59</f>
        <v>540</v>
      </c>
      <c r="C26" s="27">
        <f>Q383+Q368+Q353+Q330+Q317+Q294+Q277+Q259+Q239+Q221+Q203+Q184+Q166+Q147+Q129+Q112+Q95+Q76+Q59</f>
        <v>373</v>
      </c>
      <c r="D26" s="27">
        <f>R383+R368+R353+R330+R317+R294+R277+R259+R239+R221+R203+R184+R166+R147+R129+R112+R95+R76+R59</f>
        <v>74</v>
      </c>
      <c r="E26" s="14">
        <f t="shared" si="0"/>
        <v>93</v>
      </c>
      <c r="F26" s="27">
        <f>T383+T368+T353+T330+T317+T294+T277+T259+T239+T221+T203+T184+T166+T147+T129+T112+T95+T76+T59</f>
        <v>1650</v>
      </c>
      <c r="G26" s="27">
        <f>U383+U368+U353+U330+U317+U294+U277+U259+U239+U221+U203+U184+U166+U147+U129+U112+U95+U76+U59</f>
        <v>435</v>
      </c>
      <c r="H26" s="32">
        <f t="shared" si="1"/>
        <v>1193</v>
      </c>
      <c r="I26" s="26">
        <f t="shared" si="2"/>
        <v>73.641975308641975</v>
      </c>
      <c r="J26" s="26">
        <f t="shared" si="3"/>
        <v>3.0555555555555554</v>
      </c>
      <c r="K26" s="26">
        <f t="shared" si="4"/>
        <v>0.80555555555555558</v>
      </c>
      <c r="L26" s="28">
        <f t="shared" si="5"/>
        <v>1215</v>
      </c>
    </row>
    <row r="27" spans="1:15" x14ac:dyDescent="0.25">
      <c r="A27" s="4" t="s">
        <v>33</v>
      </c>
      <c r="B27" s="27">
        <f>P387+P367+P351+P333+P314+P297+P275+P258+P240+P220+P201+P185+P167+P149+P134+P113+P96+P78+P61</f>
        <v>540</v>
      </c>
      <c r="C27" s="27">
        <f>Q387+Q367+Q351+Q333+Q314+Q297+Q275+Q258+Q240+Q220+Q201+Q185+Q167+Q149+Q134+Q113+Q96+Q78+Q61</f>
        <v>352</v>
      </c>
      <c r="D27" s="27">
        <f>R387+R367+R351+R333+R314+R297+R275+R258+R240+R220+R201+R185+R167+R149+R134+R113+R96+R78+R61</f>
        <v>68</v>
      </c>
      <c r="E27" s="14">
        <f t="shared" si="0"/>
        <v>120</v>
      </c>
      <c r="F27" s="27">
        <f>T387+T367+T351+T333+T314+T297+T275+T258+T240+T220+T201+T185+T167+T149+T134+T113+T96+T78+T61</f>
        <v>1564</v>
      </c>
      <c r="G27" s="27">
        <f>U387+U367+U351+U333+U314+U297+U275+U258+U240+U220+U201+U185+U167+U149+U134+U113+U96+U78+U61</f>
        <v>521</v>
      </c>
      <c r="H27" s="32">
        <f t="shared" si="1"/>
        <v>1124</v>
      </c>
      <c r="I27" s="26">
        <f t="shared" si="2"/>
        <v>69.382716049382722</v>
      </c>
      <c r="J27" s="26">
        <f t="shared" si="3"/>
        <v>2.8962962962962964</v>
      </c>
      <c r="K27" s="26">
        <f t="shared" si="4"/>
        <v>0.96481481481481479</v>
      </c>
      <c r="L27" s="28">
        <f t="shared" si="5"/>
        <v>1043</v>
      </c>
    </row>
    <row r="28" spans="1:15" x14ac:dyDescent="0.25">
      <c r="A28" s="4" t="s">
        <v>36</v>
      </c>
      <c r="B28" s="27">
        <f>P374+P360</f>
        <v>60</v>
      </c>
      <c r="C28" s="27">
        <f>Q374+Q360</f>
        <v>13</v>
      </c>
      <c r="D28" s="27">
        <f>R374+R360</f>
        <v>14</v>
      </c>
      <c r="E28" s="14">
        <f t="shared" si="0"/>
        <v>33</v>
      </c>
      <c r="F28" s="27">
        <f>T374+T360</f>
        <v>78</v>
      </c>
      <c r="G28" s="27">
        <f>U374+U360</f>
        <v>109</v>
      </c>
      <c r="H28" s="32">
        <f t="shared" si="1"/>
        <v>53</v>
      </c>
      <c r="I28" s="26">
        <f t="shared" si="2"/>
        <v>29.444444444444446</v>
      </c>
      <c r="J28" s="26">
        <f t="shared" si="3"/>
        <v>1.3</v>
      </c>
      <c r="K28" s="26">
        <f t="shared" si="4"/>
        <v>1.8166666666666667</v>
      </c>
      <c r="L28" s="28">
        <f t="shared" si="5"/>
        <v>-31</v>
      </c>
    </row>
    <row r="29" spans="1:15" x14ac:dyDescent="0.25">
      <c r="A29" s="4" t="s">
        <v>38</v>
      </c>
      <c r="B29" s="27">
        <f>P354+P337+P322+P304</f>
        <v>120</v>
      </c>
      <c r="C29" s="27">
        <f>Q354+Q337+Q322+Q304</f>
        <v>29</v>
      </c>
      <c r="D29" s="27">
        <f>R354+R337+R322+R304</f>
        <v>11</v>
      </c>
      <c r="E29" s="14">
        <f t="shared" si="0"/>
        <v>80</v>
      </c>
      <c r="F29" s="27">
        <f>T354+T337+T322+T304</f>
        <v>138</v>
      </c>
      <c r="G29" s="27">
        <f>U354+U337+U322+U304</f>
        <v>322</v>
      </c>
      <c r="H29" s="32">
        <f t="shared" si="1"/>
        <v>98</v>
      </c>
      <c r="I29" s="26">
        <f t="shared" si="2"/>
        <v>27.222222222222221</v>
      </c>
      <c r="J29" s="26">
        <f t="shared" si="3"/>
        <v>1.1499999999999999</v>
      </c>
      <c r="K29" s="26">
        <f t="shared" si="4"/>
        <v>2.6833333333333331</v>
      </c>
      <c r="L29" s="28">
        <f t="shared" si="5"/>
        <v>-184</v>
      </c>
    </row>
    <row r="30" spans="1:15" x14ac:dyDescent="0.25">
      <c r="A30" s="4" t="s">
        <v>39</v>
      </c>
      <c r="B30" s="27">
        <f>P356</f>
        <v>30</v>
      </c>
      <c r="C30" s="27">
        <f>Q356</f>
        <v>8</v>
      </c>
      <c r="D30" s="27">
        <f>R356</f>
        <v>7</v>
      </c>
      <c r="E30" s="14">
        <f t="shared" si="0"/>
        <v>15</v>
      </c>
      <c r="F30" s="27">
        <f>T356</f>
        <v>44</v>
      </c>
      <c r="G30" s="27">
        <f>U356</f>
        <v>55</v>
      </c>
      <c r="H30" s="32">
        <f t="shared" si="1"/>
        <v>31</v>
      </c>
      <c r="I30" s="26">
        <f t="shared" si="2"/>
        <v>34.444444444444443</v>
      </c>
      <c r="J30" s="26">
        <f t="shared" si="3"/>
        <v>1.4666666666666666</v>
      </c>
      <c r="K30" s="26">
        <f t="shared" si="4"/>
        <v>1.8333333333333333</v>
      </c>
      <c r="L30" s="28">
        <f t="shared" si="5"/>
        <v>-11</v>
      </c>
    </row>
    <row r="31" spans="1:15" x14ac:dyDescent="0.25">
      <c r="A31" s="4" t="s">
        <v>41</v>
      </c>
      <c r="B31" s="27">
        <f>P340+P321+P303+P283+P268+P245</f>
        <v>180</v>
      </c>
      <c r="C31" s="27">
        <f>Q340+Q321+Q303+Q283+Q268+Q245</f>
        <v>50</v>
      </c>
      <c r="D31" s="27">
        <f>R340+R321+R303+R283+R268+R245</f>
        <v>28</v>
      </c>
      <c r="E31" s="14">
        <f t="shared" si="0"/>
        <v>102</v>
      </c>
      <c r="F31" s="27">
        <f>T340+T321+T303+T283+T268+T245</f>
        <v>295</v>
      </c>
      <c r="G31" s="27">
        <f>U340+U321+U303+U283+U268+U245</f>
        <v>372</v>
      </c>
      <c r="H31" s="32">
        <f t="shared" si="1"/>
        <v>178</v>
      </c>
      <c r="I31" s="26">
        <f t="shared" si="2"/>
        <v>32.962962962962962</v>
      </c>
      <c r="J31" s="26">
        <f t="shared" si="3"/>
        <v>1.6388888888888888</v>
      </c>
      <c r="K31" s="26">
        <f t="shared" si="4"/>
        <v>2.0666666666666669</v>
      </c>
      <c r="L31" s="28">
        <f t="shared" si="5"/>
        <v>-77</v>
      </c>
    </row>
    <row r="32" spans="1:15" x14ac:dyDescent="0.25">
      <c r="A32" s="4" t="s">
        <v>43</v>
      </c>
      <c r="B32" s="27">
        <f>P309+P296+P278+P255+P238+P224+P207+P186+P169+P151+P132+P114+P98+P80+P57</f>
        <v>420</v>
      </c>
      <c r="C32" s="27">
        <f>Q309+Q296+Q278+Q255+Q238+Q224+Q207+Q186+Q169+Q151+Q132+Q114+Q98+Q80+Q57</f>
        <v>268</v>
      </c>
      <c r="D32" s="27">
        <f>R309+R296+R278+R255+R238+R224+R207+R186+R169+R151+R132+R114+R98+R80+R57</f>
        <v>57</v>
      </c>
      <c r="E32" s="14">
        <f t="shared" si="0"/>
        <v>95</v>
      </c>
      <c r="F32" s="27">
        <f>T309+T296+T278+T255+T238+T224+T207+T186+T169+T151+T132+T114+T98+T80+T57</f>
        <v>1165</v>
      </c>
      <c r="G32" s="27">
        <f>U309+U296+U278+U255+U238+U224+U207+U186+U169+U151+U132+U114+U98+U80+U57</f>
        <v>380</v>
      </c>
      <c r="H32" s="32">
        <f t="shared" si="1"/>
        <v>861</v>
      </c>
      <c r="I32" s="26">
        <f t="shared" si="2"/>
        <v>68.333333333333329</v>
      </c>
      <c r="J32" s="26">
        <f t="shared" si="3"/>
        <v>2.7738095238095237</v>
      </c>
      <c r="K32" s="26">
        <f t="shared" si="4"/>
        <v>0.90476190476190477</v>
      </c>
      <c r="L32" s="28">
        <f t="shared" si="5"/>
        <v>785</v>
      </c>
    </row>
    <row r="33" spans="1:12" x14ac:dyDescent="0.25">
      <c r="A33" s="4" t="s">
        <v>45</v>
      </c>
      <c r="B33" s="27">
        <f>P302</f>
        <v>30</v>
      </c>
      <c r="C33" s="27">
        <f>Q302</f>
        <v>9</v>
      </c>
      <c r="D33" s="27">
        <f>R302</f>
        <v>4</v>
      </c>
      <c r="E33" s="14">
        <f t="shared" ref="E33:E55" si="9">B33-C33-D33</f>
        <v>17</v>
      </c>
      <c r="F33" s="27">
        <f>T302</f>
        <v>45</v>
      </c>
      <c r="G33" s="27">
        <f>U302</f>
        <v>57</v>
      </c>
      <c r="H33" s="32">
        <f t="shared" ref="H33:H55" si="10">C33*3+D33</f>
        <v>31</v>
      </c>
      <c r="I33" s="26">
        <f t="shared" ref="I33:I55" si="11">(C33*3+D33)/(B33*3)*100</f>
        <v>34.444444444444443</v>
      </c>
      <c r="J33" s="26">
        <f t="shared" ref="J33:J55" si="12">F33/B33</f>
        <v>1.5</v>
      </c>
      <c r="K33" s="26">
        <f t="shared" ref="K33:K55" si="13">G33/B33</f>
        <v>1.9</v>
      </c>
      <c r="L33" s="28">
        <f t="shared" ref="L33:L55" si="14">F33-G33</f>
        <v>-12</v>
      </c>
    </row>
    <row r="34" spans="1:12" x14ac:dyDescent="0.25">
      <c r="A34" s="4" t="s">
        <v>47</v>
      </c>
      <c r="B34" s="27">
        <f>P282+P262+P246</f>
        <v>90</v>
      </c>
      <c r="C34" s="27">
        <f>Q282+Q262+Q246</f>
        <v>35</v>
      </c>
      <c r="D34" s="27">
        <f>R282+R262+R246</f>
        <v>12</v>
      </c>
      <c r="E34" s="14">
        <f t="shared" si="9"/>
        <v>43</v>
      </c>
      <c r="F34" s="27">
        <f>T282+T262+T246</f>
        <v>212</v>
      </c>
      <c r="G34" s="27">
        <f>U282+U262+U246</f>
        <v>153</v>
      </c>
      <c r="H34" s="32">
        <f t="shared" si="10"/>
        <v>117</v>
      </c>
      <c r="I34" s="26">
        <f t="shared" si="11"/>
        <v>43.333333333333336</v>
      </c>
      <c r="J34" s="26">
        <f t="shared" si="12"/>
        <v>2.3555555555555556</v>
      </c>
      <c r="K34" s="26">
        <f t="shared" si="13"/>
        <v>1.7</v>
      </c>
      <c r="L34" s="28">
        <f t="shared" si="14"/>
        <v>59</v>
      </c>
    </row>
    <row r="35" spans="1:12" x14ac:dyDescent="0.25">
      <c r="A35" s="4" t="s">
        <v>48</v>
      </c>
      <c r="B35" s="27">
        <f>P284+P264</f>
        <v>60</v>
      </c>
      <c r="C35" s="27">
        <f>Q284+Q264</f>
        <v>18</v>
      </c>
      <c r="D35" s="27">
        <f>R284+R264</f>
        <v>13</v>
      </c>
      <c r="E35" s="14">
        <f t="shared" si="9"/>
        <v>29</v>
      </c>
      <c r="F35" s="27">
        <f>T284+T264</f>
        <v>116</v>
      </c>
      <c r="G35" s="27">
        <f>U284+U264</f>
        <v>114</v>
      </c>
      <c r="H35" s="32">
        <f t="shared" si="10"/>
        <v>67</v>
      </c>
      <c r="I35" s="26">
        <f t="shared" si="11"/>
        <v>37.222222222222221</v>
      </c>
      <c r="J35" s="26">
        <f t="shared" si="12"/>
        <v>1.9333333333333333</v>
      </c>
      <c r="K35" s="26">
        <f t="shared" si="13"/>
        <v>1.9</v>
      </c>
      <c r="L35" s="28">
        <f t="shared" si="14"/>
        <v>2</v>
      </c>
    </row>
    <row r="36" spans="1:12" x14ac:dyDescent="0.25">
      <c r="A36" s="4" t="s">
        <v>50</v>
      </c>
      <c r="B36" s="27">
        <f>P261+P247+P225+P206+P191+P170+P154+P136+P118+P99+P83+P71</f>
        <v>330</v>
      </c>
      <c r="C36" s="27">
        <f>Q261+Q247+Q225+Q206+Q191+Q170+Q154+Q136+Q118+Q99+Q83+Q71</f>
        <v>140</v>
      </c>
      <c r="D36" s="27">
        <f>R261+R247+R225+R206+R191+R170+R154+R136+R118+R99+R83+R71</f>
        <v>39</v>
      </c>
      <c r="E36" s="14">
        <f t="shared" si="9"/>
        <v>151</v>
      </c>
      <c r="F36" s="27">
        <f>T261+T247+T225+T206+T191+T170+T154+T136+T118+T99+T83+T71</f>
        <v>533</v>
      </c>
      <c r="G36" s="27">
        <f>U261+U247+U225+U206+U191+U170+U154+U136+U118+U99+U83+U71</f>
        <v>525</v>
      </c>
      <c r="H36" s="32">
        <f t="shared" si="10"/>
        <v>459</v>
      </c>
      <c r="I36" s="26">
        <f t="shared" si="11"/>
        <v>46.36363636363636</v>
      </c>
      <c r="J36" s="26">
        <f t="shared" si="12"/>
        <v>1.6151515151515152</v>
      </c>
      <c r="K36" s="26">
        <f t="shared" si="13"/>
        <v>1.5909090909090908</v>
      </c>
      <c r="L36" s="28">
        <f t="shared" si="14"/>
        <v>8</v>
      </c>
    </row>
    <row r="37" spans="1:12" x14ac:dyDescent="0.25">
      <c r="A37" s="4" t="s">
        <v>51</v>
      </c>
      <c r="B37" s="27">
        <f>P263+P242+P223+P205+P187+P168+P150+P131+P115</f>
        <v>270</v>
      </c>
      <c r="C37" s="27">
        <f>Q263+Q242+Q223+Q205+Q187+Q168+Q150+Q131+Q115</f>
        <v>160</v>
      </c>
      <c r="D37" s="27">
        <f>R263+R242+R223+R205+R187+R168+R150+R131+R115</f>
        <v>32</v>
      </c>
      <c r="E37" s="14">
        <f t="shared" si="9"/>
        <v>78</v>
      </c>
      <c r="F37" s="27">
        <f>T263+T242+T223+T205+T187+T168+T150+T131+T115</f>
        <v>649</v>
      </c>
      <c r="G37" s="27">
        <f>U263+U242+U223+U205+U187+U168+U150+U131+U115</f>
        <v>301</v>
      </c>
      <c r="H37" s="32">
        <f t="shared" si="10"/>
        <v>512</v>
      </c>
      <c r="I37" s="26">
        <f t="shared" si="11"/>
        <v>63.209876543209873</v>
      </c>
      <c r="J37" s="26">
        <f t="shared" si="12"/>
        <v>2.4037037037037039</v>
      </c>
      <c r="K37" s="26">
        <f t="shared" si="13"/>
        <v>1.1148148148148149</v>
      </c>
      <c r="L37" s="28">
        <f t="shared" si="14"/>
        <v>348</v>
      </c>
    </row>
    <row r="38" spans="1:12" x14ac:dyDescent="0.25">
      <c r="A38" s="4" t="s">
        <v>52</v>
      </c>
      <c r="B38" s="27">
        <f>P265+P249+P232+P213+P196+P177+P156+P138+P121+P103+P85+P69</f>
        <v>330</v>
      </c>
      <c r="C38" s="27">
        <f>Q265+Q249+Q232+Q213+Q196+Q177+Q156+Q138+Q121+Q103+Q85+Q69</f>
        <v>84</v>
      </c>
      <c r="D38" s="27">
        <f>R265+R249+R232+R213+R196+R177+R156+R138+R121+R103+R85+R69</f>
        <v>44</v>
      </c>
      <c r="E38" s="14">
        <f t="shared" si="9"/>
        <v>202</v>
      </c>
      <c r="F38" s="27">
        <f>T265+T249+T232+T213+T196+T177+T156+T138+T121+T103+T85+T69</f>
        <v>387</v>
      </c>
      <c r="G38" s="27">
        <f>U265+U249+U232+U213+U196+U177+U156+U138+U121+U103+U85+U69</f>
        <v>796</v>
      </c>
      <c r="H38" s="32">
        <f t="shared" si="10"/>
        <v>296</v>
      </c>
      <c r="I38" s="26">
        <f t="shared" si="11"/>
        <v>29.898989898989896</v>
      </c>
      <c r="J38" s="26">
        <f t="shared" si="12"/>
        <v>1.1727272727272726</v>
      </c>
      <c r="K38" s="26">
        <f t="shared" si="13"/>
        <v>2.4121212121212121</v>
      </c>
      <c r="L38" s="28">
        <f t="shared" si="14"/>
        <v>-409</v>
      </c>
    </row>
    <row r="39" spans="1:12" x14ac:dyDescent="0.25">
      <c r="A39" s="4" t="s">
        <v>53</v>
      </c>
      <c r="B39" s="27">
        <f>P266+P244+P229+P209+P194+P176+P161+P123+P105</f>
        <v>270</v>
      </c>
      <c r="C39" s="27">
        <f>Q266+Q244+Q229+Q209+Q194+Q176+Q161+Q123+Q105</f>
        <v>70</v>
      </c>
      <c r="D39" s="27">
        <f>R266+R244+R229+R209+R194+R176+R161+R123+R105</f>
        <v>45</v>
      </c>
      <c r="E39" s="14">
        <f t="shared" si="9"/>
        <v>155</v>
      </c>
      <c r="F39" s="27">
        <f>T266+T244+T229+T209+T194+T176+T161+T123+T105</f>
        <v>295</v>
      </c>
      <c r="G39" s="27">
        <f>U266+U244+U229+U209+U194+U176+U161+U123+U105</f>
        <v>528</v>
      </c>
      <c r="H39" s="32">
        <f t="shared" si="10"/>
        <v>255</v>
      </c>
      <c r="I39" s="26">
        <f t="shared" si="11"/>
        <v>31.481481481481481</v>
      </c>
      <c r="J39" s="26">
        <f t="shared" si="12"/>
        <v>1.0925925925925926</v>
      </c>
      <c r="K39" s="26">
        <f t="shared" si="13"/>
        <v>1.9555555555555555</v>
      </c>
      <c r="L39" s="28">
        <f t="shared" si="14"/>
        <v>-233</v>
      </c>
    </row>
    <row r="40" spans="1:12" x14ac:dyDescent="0.25">
      <c r="A40" s="4" t="s">
        <v>55</v>
      </c>
      <c r="B40" s="27">
        <f>P243+P227+P208+P190+P173</f>
        <v>150</v>
      </c>
      <c r="C40" s="27">
        <f>Q243+Q227+Q208+Q190+Q173</f>
        <v>64</v>
      </c>
      <c r="D40" s="27">
        <f>R243+R227+R208+R190+R173</f>
        <v>25</v>
      </c>
      <c r="E40" s="14">
        <f t="shared" si="9"/>
        <v>61</v>
      </c>
      <c r="F40" s="27">
        <f>T243+T227+T208+T190+T173</f>
        <v>277</v>
      </c>
      <c r="G40" s="27">
        <f>U243+U227+U208+U190+U173</f>
        <v>231</v>
      </c>
      <c r="H40" s="32">
        <f t="shared" si="10"/>
        <v>217</v>
      </c>
      <c r="I40" s="26">
        <f t="shared" si="11"/>
        <v>48.222222222222221</v>
      </c>
      <c r="J40" s="26">
        <f t="shared" si="12"/>
        <v>1.8466666666666667</v>
      </c>
      <c r="K40" s="26">
        <f t="shared" si="13"/>
        <v>1.54</v>
      </c>
      <c r="L40" s="28">
        <f t="shared" si="14"/>
        <v>46</v>
      </c>
    </row>
    <row r="41" spans="1:12" x14ac:dyDescent="0.25">
      <c r="A41" s="4" t="s">
        <v>56</v>
      </c>
      <c r="B41" s="27">
        <f>P248+P230+P211+P195+P178+P159+P140+P125+P88+P70</f>
        <v>270</v>
      </c>
      <c r="C41" s="27">
        <f>Q248+Q230+Q211+Q195+Q178+Q159+Q140+Q125+Q88+Q70</f>
        <v>61</v>
      </c>
      <c r="D41" s="27">
        <f>R248+R230+R211+R195+R178+R159+R140+R125+R88+R70</f>
        <v>35</v>
      </c>
      <c r="E41" s="14">
        <f t="shared" si="9"/>
        <v>174</v>
      </c>
      <c r="F41" s="27">
        <f>T248+T230+T211+T195+T178+T159+T140+T125+T88+T70</f>
        <v>279</v>
      </c>
      <c r="G41" s="27">
        <f>U248+U230+U211+U195+U178+U159+U140+U125+U88+U70</f>
        <v>699</v>
      </c>
      <c r="H41" s="32">
        <f t="shared" si="10"/>
        <v>218</v>
      </c>
      <c r="I41" s="26">
        <f t="shared" si="11"/>
        <v>26.913580246913583</v>
      </c>
      <c r="J41" s="26">
        <f t="shared" si="12"/>
        <v>1.0333333333333334</v>
      </c>
      <c r="K41" s="26">
        <f t="shared" si="13"/>
        <v>2.588888888888889</v>
      </c>
      <c r="L41" s="28">
        <f t="shared" si="14"/>
        <v>-420</v>
      </c>
    </row>
    <row r="42" spans="1:12" x14ac:dyDescent="0.25">
      <c r="A42" s="4" t="s">
        <v>58</v>
      </c>
      <c r="B42" s="27">
        <f>P228+P210+P188+P172+P157+P137+P119+P100+P86+P63</f>
        <v>270</v>
      </c>
      <c r="C42" s="27">
        <f>Q228+Q210+Q188+Q172+Q157+Q137+Q119+Q100+Q86+Q63</f>
        <v>93</v>
      </c>
      <c r="D42" s="27">
        <f>R228+R210+R188+R172+R157+R137+R119+R100+R86+R63</f>
        <v>46</v>
      </c>
      <c r="E42" s="14">
        <f t="shared" si="9"/>
        <v>131</v>
      </c>
      <c r="F42" s="27">
        <f>T228+T210+T188+T172+T157+T137+T119+T100+T86+T63</f>
        <v>384</v>
      </c>
      <c r="G42" s="27">
        <f>U228+U210+U188+U172+U157+U137+U119+U100+U86+U63</f>
        <v>515</v>
      </c>
      <c r="H42" s="32">
        <f t="shared" si="10"/>
        <v>325</v>
      </c>
      <c r="I42" s="26">
        <f t="shared" si="11"/>
        <v>40.123456790123456</v>
      </c>
      <c r="J42" s="26">
        <f t="shared" si="12"/>
        <v>1.4222222222222223</v>
      </c>
      <c r="K42" s="26">
        <f t="shared" si="13"/>
        <v>1.9074074074074074</v>
      </c>
      <c r="L42" s="28">
        <f t="shared" si="14"/>
        <v>-131</v>
      </c>
    </row>
    <row r="43" spans="1:12" x14ac:dyDescent="0.25">
      <c r="A43" s="4" t="s">
        <v>59</v>
      </c>
      <c r="B43" s="27">
        <f>P231+P214</f>
        <v>60</v>
      </c>
      <c r="C43" s="27">
        <f>Q231+Q214</f>
        <v>10</v>
      </c>
      <c r="D43" s="27">
        <f>R231+R214</f>
        <v>8</v>
      </c>
      <c r="E43" s="14">
        <f t="shared" si="9"/>
        <v>42</v>
      </c>
      <c r="F43" s="27">
        <f>T231+T214</f>
        <v>43</v>
      </c>
      <c r="G43" s="27">
        <f>U231+U214</f>
        <v>152</v>
      </c>
      <c r="H43" s="32">
        <f t="shared" si="10"/>
        <v>38</v>
      </c>
      <c r="I43" s="26">
        <f t="shared" si="11"/>
        <v>21.111111111111111</v>
      </c>
      <c r="J43" s="26">
        <f t="shared" si="12"/>
        <v>0.71666666666666667</v>
      </c>
      <c r="K43" s="26">
        <f t="shared" si="13"/>
        <v>2.5333333333333332</v>
      </c>
      <c r="L43" s="28">
        <f t="shared" si="14"/>
        <v>-109</v>
      </c>
    </row>
    <row r="44" spans="1:12" x14ac:dyDescent="0.25">
      <c r="A44" s="4" t="s">
        <v>61</v>
      </c>
      <c r="B44" s="27">
        <f>P212+P189+P175+P158+P141</f>
        <v>150</v>
      </c>
      <c r="C44" s="27">
        <f>Q212+Q189+Q175+Q158+Q141</f>
        <v>43</v>
      </c>
      <c r="D44" s="27">
        <f>R212+R189+R175+R158+R141</f>
        <v>21</v>
      </c>
      <c r="E44" s="14">
        <f t="shared" si="9"/>
        <v>86</v>
      </c>
      <c r="F44" s="27">
        <f>T212+T189+T175+T158+T141</f>
        <v>161</v>
      </c>
      <c r="G44" s="27">
        <f>U212+U189+U175+U158+U141</f>
        <v>390</v>
      </c>
      <c r="H44" s="32">
        <f t="shared" si="10"/>
        <v>150</v>
      </c>
      <c r="I44" s="26">
        <f t="shared" si="11"/>
        <v>33.333333333333329</v>
      </c>
      <c r="J44" s="26">
        <f t="shared" si="12"/>
        <v>1.0733333333333333</v>
      </c>
      <c r="K44" s="26">
        <f t="shared" si="13"/>
        <v>2.6</v>
      </c>
      <c r="L44" s="28">
        <f t="shared" si="14"/>
        <v>-229</v>
      </c>
    </row>
    <row r="45" spans="1:12" x14ac:dyDescent="0.25">
      <c r="A45" s="4" t="s">
        <v>92</v>
      </c>
      <c r="B45" s="27">
        <f>P215+P142+P122+P101+P81+P67</f>
        <v>150</v>
      </c>
      <c r="C45" s="27">
        <f>Q215+Q142+Q122+Q101+Q81+Q67</f>
        <v>37</v>
      </c>
      <c r="D45" s="27">
        <f>R215+R142+R122+R101+R81+R67</f>
        <v>19</v>
      </c>
      <c r="E45" s="14">
        <f t="shared" si="9"/>
        <v>94</v>
      </c>
      <c r="F45" s="27">
        <f>T215+T142+T122+T101+T81+T67</f>
        <v>142</v>
      </c>
      <c r="G45" s="27">
        <f>U215+U142+U122+U101+U81+U67</f>
        <v>338</v>
      </c>
      <c r="H45" s="32">
        <f t="shared" si="10"/>
        <v>130</v>
      </c>
      <c r="I45" s="26">
        <f t="shared" si="11"/>
        <v>28.888888888888886</v>
      </c>
      <c r="J45" s="26">
        <f t="shared" si="12"/>
        <v>0.94666666666666666</v>
      </c>
      <c r="K45" s="26">
        <f t="shared" si="13"/>
        <v>2.2533333333333334</v>
      </c>
      <c r="L45" s="28">
        <f t="shared" si="14"/>
        <v>-196</v>
      </c>
    </row>
    <row r="46" spans="1:12" x14ac:dyDescent="0.25">
      <c r="A46" s="4" t="s">
        <v>64</v>
      </c>
      <c r="B46" s="27">
        <f>P192+P171+P153+P133+P117+P93+P77+P60</f>
        <v>210</v>
      </c>
      <c r="C46" s="27">
        <f>Q192+Q171+Q153+Q133+Q117+Q93+Q77+Q60</f>
        <v>117</v>
      </c>
      <c r="D46" s="27">
        <f>R192+R171+R153+R133+R117+R93+R77+R60</f>
        <v>27</v>
      </c>
      <c r="E46" s="14">
        <f t="shared" si="9"/>
        <v>66</v>
      </c>
      <c r="F46" s="27">
        <f>T192+T171+T153+T133+T117+T93+T77+T60</f>
        <v>448</v>
      </c>
      <c r="G46" s="27">
        <f>U192+U171+U153+U133+U117+U93+U77+U60</f>
        <v>225</v>
      </c>
      <c r="H46" s="32">
        <f t="shared" si="10"/>
        <v>378</v>
      </c>
      <c r="I46" s="26">
        <f t="shared" si="11"/>
        <v>60</v>
      </c>
      <c r="J46" s="26">
        <f t="shared" si="12"/>
        <v>2.1333333333333333</v>
      </c>
      <c r="K46" s="26">
        <f t="shared" si="13"/>
        <v>1.0714285714285714</v>
      </c>
      <c r="L46" s="28">
        <f t="shared" si="14"/>
        <v>223</v>
      </c>
    </row>
    <row r="47" spans="1:12" x14ac:dyDescent="0.25">
      <c r="A47" s="4" t="s">
        <v>65</v>
      </c>
      <c r="B47" s="27">
        <f>P193+P180</f>
        <v>60</v>
      </c>
      <c r="C47" s="27">
        <f>Q193+Q180</f>
        <v>12</v>
      </c>
      <c r="D47" s="27">
        <f>R193+R180</f>
        <v>7</v>
      </c>
      <c r="E47" s="14">
        <f t="shared" si="9"/>
        <v>41</v>
      </c>
      <c r="F47" s="27">
        <f>T193+T180</f>
        <v>69</v>
      </c>
      <c r="G47" s="27">
        <f>U193+U180</f>
        <v>145</v>
      </c>
      <c r="H47" s="32">
        <f t="shared" si="10"/>
        <v>43</v>
      </c>
      <c r="I47" s="26">
        <f t="shared" si="11"/>
        <v>23.888888888888889</v>
      </c>
      <c r="J47" s="26">
        <f t="shared" si="12"/>
        <v>1.1499999999999999</v>
      </c>
      <c r="K47" s="26">
        <f t="shared" si="13"/>
        <v>2.4166666666666665</v>
      </c>
      <c r="L47" s="28">
        <f t="shared" si="14"/>
        <v>-76</v>
      </c>
    </row>
    <row r="48" spans="1:12" x14ac:dyDescent="0.25">
      <c r="A48" s="4" t="s">
        <v>68</v>
      </c>
      <c r="B48" s="27">
        <f>P179+P102+P84+P65</f>
        <v>90</v>
      </c>
      <c r="C48" s="27">
        <f>Q179+Q102+Q84+Q65</f>
        <v>21</v>
      </c>
      <c r="D48" s="27">
        <f>R179+R102+R84+R65</f>
        <v>14</v>
      </c>
      <c r="E48" s="14">
        <f t="shared" si="9"/>
        <v>55</v>
      </c>
      <c r="F48" s="27">
        <f>T179+T102+T84+T65</f>
        <v>97</v>
      </c>
      <c r="G48" s="27">
        <f>U179+U102+U84+U65</f>
        <v>243</v>
      </c>
      <c r="H48" s="32">
        <f t="shared" si="10"/>
        <v>77</v>
      </c>
      <c r="I48" s="26">
        <f t="shared" si="11"/>
        <v>28.518518518518519</v>
      </c>
      <c r="J48" s="26">
        <f t="shared" si="12"/>
        <v>1.0777777777777777</v>
      </c>
      <c r="K48" s="26">
        <f t="shared" si="13"/>
        <v>2.7</v>
      </c>
      <c r="L48" s="28">
        <f t="shared" si="14"/>
        <v>-146</v>
      </c>
    </row>
    <row r="49" spans="1:25" x14ac:dyDescent="0.25">
      <c r="A49" s="4" t="s">
        <v>67</v>
      </c>
      <c r="B49" s="27">
        <f>P174+P160</f>
        <v>60</v>
      </c>
      <c r="C49" s="27">
        <f>Q174+Q160</f>
        <v>14</v>
      </c>
      <c r="D49" s="27">
        <f>R174+R160</f>
        <v>12</v>
      </c>
      <c r="E49" s="14">
        <f t="shared" si="9"/>
        <v>34</v>
      </c>
      <c r="F49" s="27">
        <f>T174+T160</f>
        <v>48</v>
      </c>
      <c r="G49" s="27">
        <f>U174+U160</f>
        <v>126</v>
      </c>
      <c r="H49" s="32">
        <f t="shared" si="10"/>
        <v>54</v>
      </c>
      <c r="I49" s="26">
        <f t="shared" si="11"/>
        <v>30</v>
      </c>
      <c r="J49" s="26">
        <f t="shared" si="12"/>
        <v>0.8</v>
      </c>
      <c r="K49" s="26">
        <f t="shared" si="13"/>
        <v>2.1</v>
      </c>
      <c r="L49" s="28">
        <f t="shared" si="14"/>
        <v>-78</v>
      </c>
    </row>
    <row r="50" spans="1:25" x14ac:dyDescent="0.25">
      <c r="A50" s="4" t="s">
        <v>71</v>
      </c>
      <c r="B50" s="27">
        <f>P155+P139+P120+P104+P82+P64</f>
        <v>150</v>
      </c>
      <c r="C50" s="27">
        <f>Q155+Q139+Q120+Q104+Q82+Q64</f>
        <v>46</v>
      </c>
      <c r="D50" s="27">
        <f>R155+R139+R120+R104+R82+R64</f>
        <v>20</v>
      </c>
      <c r="E50" s="14">
        <f t="shared" si="9"/>
        <v>84</v>
      </c>
      <c r="F50" s="27">
        <f>T155+T139+T120+T104+T82+T64</f>
        <v>192</v>
      </c>
      <c r="G50" s="27">
        <f>U155+U139+U120+U104+U82+U64</f>
        <v>307</v>
      </c>
      <c r="H50" s="32">
        <f t="shared" si="10"/>
        <v>158</v>
      </c>
      <c r="I50" s="26">
        <f t="shared" si="11"/>
        <v>35.111111111111107</v>
      </c>
      <c r="J50" s="26">
        <f t="shared" si="12"/>
        <v>1.28</v>
      </c>
      <c r="K50" s="26">
        <f t="shared" si="13"/>
        <v>2.0466666666666669</v>
      </c>
      <c r="L50" s="28">
        <f t="shared" si="14"/>
        <v>-115</v>
      </c>
    </row>
    <row r="51" spans="1:25" x14ac:dyDescent="0.25">
      <c r="A51" s="4" t="s">
        <v>70</v>
      </c>
      <c r="B51" s="27">
        <f>P152+P135+P116+P97+P79+P58</f>
        <v>150</v>
      </c>
      <c r="C51" s="27">
        <f>Q152+Q135+Q116+Q97+Q79+Q58</f>
        <v>92</v>
      </c>
      <c r="D51" s="27">
        <f>R152+R135+R116+R97+R79+R58</f>
        <v>21</v>
      </c>
      <c r="E51" s="14">
        <f t="shared" si="9"/>
        <v>37</v>
      </c>
      <c r="F51" s="27">
        <f>T152+T135+T116+T97+T79+T58</f>
        <v>328</v>
      </c>
      <c r="G51" s="27">
        <f>U152+U135+U116+U97+U79+U58</f>
        <v>189</v>
      </c>
      <c r="H51" s="32">
        <f t="shared" si="10"/>
        <v>297</v>
      </c>
      <c r="I51" s="26">
        <f t="shared" si="11"/>
        <v>66</v>
      </c>
      <c r="J51" s="26">
        <f t="shared" si="12"/>
        <v>2.1866666666666665</v>
      </c>
      <c r="K51" s="26">
        <f t="shared" si="13"/>
        <v>1.26</v>
      </c>
      <c r="L51" s="28">
        <f t="shared" si="14"/>
        <v>139</v>
      </c>
    </row>
    <row r="52" spans="1:25" x14ac:dyDescent="0.25">
      <c r="A52" s="4" t="s">
        <v>73</v>
      </c>
      <c r="B52" s="27">
        <f>P143+P106+P87+P72</f>
        <v>90</v>
      </c>
      <c r="C52" s="27">
        <f>Q143+Q106+Q87+Q72</f>
        <v>15</v>
      </c>
      <c r="D52" s="27">
        <f>R143+R106+R87+R72</f>
        <v>11</v>
      </c>
      <c r="E52" s="14">
        <f t="shared" si="9"/>
        <v>64</v>
      </c>
      <c r="F52" s="27">
        <f>T143+T106+T87+T72</f>
        <v>57</v>
      </c>
      <c r="G52" s="27">
        <f>U143+U106+U87+U72</f>
        <v>232</v>
      </c>
      <c r="H52" s="32">
        <f t="shared" si="10"/>
        <v>56</v>
      </c>
      <c r="I52" s="26">
        <f t="shared" si="11"/>
        <v>20.74074074074074</v>
      </c>
      <c r="J52" s="26">
        <f t="shared" si="12"/>
        <v>0.6333333333333333</v>
      </c>
      <c r="K52" s="26">
        <f t="shared" si="13"/>
        <v>2.5777777777777779</v>
      </c>
      <c r="L52" s="28">
        <f t="shared" si="14"/>
        <v>-175</v>
      </c>
    </row>
    <row r="53" spans="1:25" x14ac:dyDescent="0.25">
      <c r="A53" s="4" t="s">
        <v>76</v>
      </c>
      <c r="B53" s="27">
        <f>P124+P107+P66</f>
        <v>60</v>
      </c>
      <c r="C53" s="27">
        <f>Q124+Q107+Q66</f>
        <v>6</v>
      </c>
      <c r="D53" s="27">
        <f>R124+R107+R66</f>
        <v>9</v>
      </c>
      <c r="E53" s="14">
        <f t="shared" si="9"/>
        <v>45</v>
      </c>
      <c r="F53" s="27">
        <f>T124+T107+T66</f>
        <v>40</v>
      </c>
      <c r="G53" s="27">
        <f>U124+U107+U66</f>
        <v>175</v>
      </c>
      <c r="H53" s="32">
        <f t="shared" si="10"/>
        <v>27</v>
      </c>
      <c r="I53" s="26">
        <f t="shared" si="11"/>
        <v>15</v>
      </c>
      <c r="J53" s="26">
        <f t="shared" si="12"/>
        <v>0.66666666666666663</v>
      </c>
      <c r="K53" s="26">
        <f t="shared" si="13"/>
        <v>2.9166666666666665</v>
      </c>
      <c r="L53" s="28">
        <f t="shared" si="14"/>
        <v>-135</v>
      </c>
    </row>
    <row r="54" spans="1:25" x14ac:dyDescent="0.25">
      <c r="A54" s="4" t="s">
        <v>93</v>
      </c>
      <c r="B54" s="27">
        <f>P89</f>
        <v>30</v>
      </c>
      <c r="C54" s="27">
        <f>Q89</f>
        <v>4</v>
      </c>
      <c r="D54" s="27">
        <f>R89</f>
        <v>5</v>
      </c>
      <c r="E54" s="14">
        <f t="shared" si="9"/>
        <v>21</v>
      </c>
      <c r="F54" s="27">
        <f>T89</f>
        <v>13</v>
      </c>
      <c r="G54" s="27">
        <f>U89</f>
        <v>71</v>
      </c>
      <c r="H54" s="32">
        <f t="shared" si="10"/>
        <v>17</v>
      </c>
      <c r="I54" s="26">
        <f t="shared" si="11"/>
        <v>18.888888888888889</v>
      </c>
      <c r="J54" s="26">
        <f t="shared" si="12"/>
        <v>0.43333333333333335</v>
      </c>
      <c r="K54" s="26">
        <f t="shared" si="13"/>
        <v>2.3666666666666667</v>
      </c>
      <c r="L54" s="28">
        <f t="shared" si="14"/>
        <v>-58</v>
      </c>
    </row>
    <row r="55" spans="1:25" x14ac:dyDescent="0.25">
      <c r="A55" s="4" t="s">
        <v>107</v>
      </c>
      <c r="B55" s="1">
        <f>P68</f>
        <v>0</v>
      </c>
      <c r="C55" s="1">
        <f>Q68</f>
        <v>0</v>
      </c>
      <c r="D55" s="1">
        <f>R68</f>
        <v>0</v>
      </c>
      <c r="E55" s="14">
        <f t="shared" si="9"/>
        <v>0</v>
      </c>
      <c r="F55" s="1">
        <f>T68</f>
        <v>0</v>
      </c>
      <c r="G55" s="1">
        <f>U68</f>
        <v>0</v>
      </c>
      <c r="H55" s="32">
        <f t="shared" si="10"/>
        <v>0</v>
      </c>
      <c r="I55" s="26" t="e">
        <f t="shared" si="11"/>
        <v>#DIV/0!</v>
      </c>
      <c r="J55" s="26" t="e">
        <f t="shared" si="12"/>
        <v>#DIV/0!</v>
      </c>
      <c r="K55" s="26" t="e">
        <f t="shared" si="13"/>
        <v>#DIV/0!</v>
      </c>
      <c r="L55" s="28">
        <f t="shared" si="14"/>
        <v>0</v>
      </c>
    </row>
    <row r="56" spans="1:25" x14ac:dyDescent="0.25">
      <c r="N56" s="38" t="s">
        <v>106</v>
      </c>
      <c r="O56" s="38"/>
      <c r="P56" s="38"/>
      <c r="Q56" s="38"/>
      <c r="R56" s="38"/>
      <c r="S56" s="38"/>
      <c r="T56" s="38"/>
      <c r="U56" s="38"/>
      <c r="V56" s="38"/>
    </row>
    <row r="57" spans="1:25" x14ac:dyDescent="0.25">
      <c r="N57" s="4">
        <v>1</v>
      </c>
      <c r="O57" s="2" t="s">
        <v>43</v>
      </c>
      <c r="P57" s="4"/>
      <c r="Q57" s="4"/>
      <c r="R57" s="4"/>
      <c r="S57" s="4"/>
      <c r="T57" s="4"/>
      <c r="U57" s="4"/>
      <c r="V57" s="5"/>
      <c r="W57" t="e">
        <f t="shared" ref="W57:W72" si="15">(Q57*3+R57)/(P57*3)*100</f>
        <v>#DIV/0!</v>
      </c>
      <c r="X57" t="e">
        <f>T57/P57</f>
        <v>#DIV/0!</v>
      </c>
      <c r="Y57" t="e">
        <f>U57/P57</f>
        <v>#DIV/0!</v>
      </c>
    </row>
    <row r="58" spans="1:25" x14ac:dyDescent="0.25">
      <c r="K58" s="30"/>
      <c r="L58" s="30"/>
      <c r="N58" s="4">
        <v>2</v>
      </c>
      <c r="O58" s="2" t="s">
        <v>70</v>
      </c>
      <c r="P58" s="4"/>
      <c r="Q58" s="4"/>
      <c r="R58" s="4"/>
      <c r="S58" s="4"/>
      <c r="T58" s="4"/>
      <c r="U58" s="4"/>
      <c r="V58" s="5"/>
      <c r="W58" s="8" t="e">
        <f t="shared" si="15"/>
        <v>#DIV/0!</v>
      </c>
      <c r="X58" t="e">
        <f t="shared" ref="X58:X72" si="16">T58/P58</f>
        <v>#DIV/0!</v>
      </c>
      <c r="Y58" s="8" t="e">
        <f t="shared" ref="Y58:Y72" si="17">U58/P58</f>
        <v>#DIV/0!</v>
      </c>
    </row>
    <row r="59" spans="1:25" x14ac:dyDescent="0.25">
      <c r="K59" s="30"/>
      <c r="L59" s="30"/>
      <c r="N59" s="4">
        <v>3</v>
      </c>
      <c r="O59" s="2" t="s">
        <v>32</v>
      </c>
      <c r="P59" s="4"/>
      <c r="Q59" s="4"/>
      <c r="R59" s="4"/>
      <c r="S59" s="4"/>
      <c r="T59" s="4"/>
      <c r="U59" s="4"/>
      <c r="V59" s="5"/>
      <c r="W59" t="e">
        <f t="shared" si="15"/>
        <v>#DIV/0!</v>
      </c>
      <c r="X59" t="e">
        <f t="shared" si="16"/>
        <v>#DIV/0!</v>
      </c>
      <c r="Y59" t="e">
        <f t="shared" si="17"/>
        <v>#DIV/0!</v>
      </c>
    </row>
    <row r="60" spans="1:25" x14ac:dyDescent="0.25">
      <c r="K60" s="30"/>
      <c r="L60" s="30"/>
      <c r="N60" s="4">
        <v>4</v>
      </c>
      <c r="O60" s="2" t="s">
        <v>64</v>
      </c>
      <c r="P60" s="4"/>
      <c r="Q60" s="4"/>
      <c r="R60" s="4"/>
      <c r="S60" s="4"/>
      <c r="T60" s="4"/>
      <c r="U60" s="4"/>
      <c r="V60" s="5"/>
      <c r="W60" t="e">
        <f t="shared" si="15"/>
        <v>#DIV/0!</v>
      </c>
      <c r="X60" s="8" t="e">
        <f t="shared" si="16"/>
        <v>#DIV/0!</v>
      </c>
      <c r="Y60" t="e">
        <f t="shared" si="17"/>
        <v>#DIV/0!</v>
      </c>
    </row>
    <row r="61" spans="1:25" x14ac:dyDescent="0.25">
      <c r="K61" s="30"/>
      <c r="L61" s="30"/>
      <c r="N61" s="4">
        <v>5</v>
      </c>
      <c r="O61" s="2" t="s">
        <v>33</v>
      </c>
      <c r="P61" s="4"/>
      <c r="Q61" s="4"/>
      <c r="R61" s="4"/>
      <c r="S61" s="4"/>
      <c r="T61" s="4"/>
      <c r="U61" s="4"/>
      <c r="V61" s="5"/>
      <c r="W61" t="e">
        <f t="shared" si="15"/>
        <v>#DIV/0!</v>
      </c>
      <c r="X61" t="e">
        <f t="shared" si="16"/>
        <v>#DIV/0!</v>
      </c>
      <c r="Y61" s="8" t="e">
        <f t="shared" si="17"/>
        <v>#DIV/0!</v>
      </c>
    </row>
    <row r="62" spans="1:25" x14ac:dyDescent="0.25">
      <c r="K62" s="30"/>
      <c r="L62" s="30"/>
      <c r="N62" s="4">
        <v>6</v>
      </c>
      <c r="O62" s="2" t="s">
        <v>18</v>
      </c>
      <c r="P62" s="4"/>
      <c r="Q62" s="4"/>
      <c r="R62" s="4"/>
      <c r="S62" s="4"/>
      <c r="T62" s="4"/>
      <c r="U62" s="4"/>
      <c r="V62" s="5"/>
      <c r="W62" t="e">
        <f t="shared" si="15"/>
        <v>#DIV/0!</v>
      </c>
      <c r="X62" t="e">
        <f t="shared" si="16"/>
        <v>#DIV/0!</v>
      </c>
      <c r="Y62" t="e">
        <f t="shared" si="17"/>
        <v>#DIV/0!</v>
      </c>
    </row>
    <row r="63" spans="1:25" x14ac:dyDescent="0.25">
      <c r="K63" s="30"/>
      <c r="L63" s="30"/>
      <c r="N63" s="4">
        <v>7</v>
      </c>
      <c r="O63" s="2" t="s">
        <v>58</v>
      </c>
      <c r="P63" s="4"/>
      <c r="Q63" s="4"/>
      <c r="R63" s="4"/>
      <c r="S63" s="4"/>
      <c r="T63" s="4"/>
      <c r="U63" s="4"/>
      <c r="V63" s="5"/>
      <c r="W63" t="e">
        <f t="shared" si="15"/>
        <v>#DIV/0!</v>
      </c>
      <c r="X63" t="e">
        <f t="shared" si="16"/>
        <v>#DIV/0!</v>
      </c>
      <c r="Y63" t="e">
        <f t="shared" si="17"/>
        <v>#DIV/0!</v>
      </c>
    </row>
    <row r="64" spans="1:25" x14ac:dyDescent="0.25">
      <c r="K64" s="30"/>
      <c r="L64" s="30"/>
      <c r="N64" s="4">
        <v>8</v>
      </c>
      <c r="O64" s="2" t="s">
        <v>71</v>
      </c>
      <c r="P64" s="4"/>
      <c r="Q64" s="4"/>
      <c r="R64" s="4"/>
      <c r="S64" s="4"/>
      <c r="T64" s="4"/>
      <c r="U64" s="4"/>
      <c r="V64" s="5"/>
      <c r="W64" t="e">
        <f t="shared" si="15"/>
        <v>#DIV/0!</v>
      </c>
      <c r="X64" t="e">
        <f t="shared" si="16"/>
        <v>#DIV/0!</v>
      </c>
      <c r="Y64" t="e">
        <f t="shared" si="17"/>
        <v>#DIV/0!</v>
      </c>
    </row>
    <row r="65" spans="9:25" x14ac:dyDescent="0.25">
      <c r="K65" s="30"/>
      <c r="L65" s="30"/>
      <c r="N65" s="4">
        <v>9</v>
      </c>
      <c r="O65" s="2" t="s">
        <v>68</v>
      </c>
      <c r="P65" s="4"/>
      <c r="Q65" s="4"/>
      <c r="R65" s="4"/>
      <c r="S65" s="4"/>
      <c r="T65" s="4"/>
      <c r="U65" s="4"/>
      <c r="V65" s="5"/>
      <c r="W65" t="e">
        <f t="shared" si="15"/>
        <v>#DIV/0!</v>
      </c>
      <c r="X65" t="e">
        <f t="shared" si="16"/>
        <v>#DIV/0!</v>
      </c>
      <c r="Y65" t="e">
        <f t="shared" si="17"/>
        <v>#DIV/0!</v>
      </c>
    </row>
    <row r="66" spans="9:25" x14ac:dyDescent="0.25">
      <c r="K66" s="30"/>
      <c r="L66" s="30"/>
      <c r="N66" s="4">
        <v>10</v>
      </c>
      <c r="O66" s="2" t="s">
        <v>76</v>
      </c>
      <c r="P66" s="4"/>
      <c r="Q66" s="4"/>
      <c r="R66" s="4"/>
      <c r="S66" s="4"/>
      <c r="T66" s="4"/>
      <c r="U66" s="4"/>
      <c r="V66" s="5"/>
      <c r="W66" t="e">
        <f t="shared" si="15"/>
        <v>#DIV/0!</v>
      </c>
      <c r="X66" t="e">
        <f t="shared" si="16"/>
        <v>#DIV/0!</v>
      </c>
      <c r="Y66" t="e">
        <f t="shared" si="17"/>
        <v>#DIV/0!</v>
      </c>
    </row>
    <row r="67" spans="9:25" x14ac:dyDescent="0.25">
      <c r="K67" s="30"/>
      <c r="L67" s="30"/>
      <c r="N67" s="4">
        <v>11</v>
      </c>
      <c r="O67" s="2" t="s">
        <v>92</v>
      </c>
      <c r="P67" s="4"/>
      <c r="Q67" s="4"/>
      <c r="R67" s="4"/>
      <c r="S67" s="4"/>
      <c r="T67" s="4"/>
      <c r="U67" s="4"/>
      <c r="V67" s="5"/>
      <c r="W67" t="e">
        <f t="shared" si="15"/>
        <v>#DIV/0!</v>
      </c>
      <c r="X67" t="e">
        <f t="shared" si="16"/>
        <v>#DIV/0!</v>
      </c>
      <c r="Y67" t="e">
        <f t="shared" si="17"/>
        <v>#DIV/0!</v>
      </c>
    </row>
    <row r="68" spans="9:25" x14ac:dyDescent="0.25">
      <c r="K68" s="30"/>
      <c r="L68" s="30"/>
      <c r="N68" s="4">
        <v>12</v>
      </c>
      <c r="O68" s="2" t="s">
        <v>107</v>
      </c>
      <c r="P68" s="4"/>
      <c r="Q68" s="4"/>
      <c r="R68" s="4"/>
      <c r="S68" s="4"/>
      <c r="T68" s="4"/>
      <c r="U68" s="4"/>
      <c r="V68" s="5"/>
      <c r="W68" t="e">
        <f t="shared" si="15"/>
        <v>#DIV/0!</v>
      </c>
      <c r="X68" t="e">
        <f t="shared" si="16"/>
        <v>#DIV/0!</v>
      </c>
      <c r="Y68" t="e">
        <f t="shared" si="17"/>
        <v>#DIV/0!</v>
      </c>
    </row>
    <row r="69" spans="9:25" x14ac:dyDescent="0.25">
      <c r="K69" s="30"/>
      <c r="L69" s="30"/>
      <c r="N69" s="4">
        <v>13</v>
      </c>
      <c r="O69" s="2" t="s">
        <v>52</v>
      </c>
      <c r="P69" s="4"/>
      <c r="Q69" s="4"/>
      <c r="R69" s="4"/>
      <c r="S69" s="4"/>
      <c r="T69" s="4"/>
      <c r="U69" s="4"/>
      <c r="V69" s="5"/>
      <c r="W69" t="e">
        <f t="shared" si="15"/>
        <v>#DIV/0!</v>
      </c>
      <c r="X69" t="e">
        <f t="shared" si="16"/>
        <v>#DIV/0!</v>
      </c>
      <c r="Y69" t="e">
        <f t="shared" si="17"/>
        <v>#DIV/0!</v>
      </c>
    </row>
    <row r="70" spans="9:25" x14ac:dyDescent="0.25">
      <c r="K70" s="30"/>
      <c r="L70" s="30"/>
      <c r="N70" s="4">
        <v>14</v>
      </c>
      <c r="O70" s="2" t="s">
        <v>56</v>
      </c>
      <c r="P70" s="4"/>
      <c r="Q70" s="4"/>
      <c r="R70" s="4"/>
      <c r="S70" s="4"/>
      <c r="T70" s="4"/>
      <c r="U70" s="4"/>
      <c r="V70" s="5"/>
      <c r="W70" t="e">
        <f t="shared" si="15"/>
        <v>#DIV/0!</v>
      </c>
      <c r="X70" s="2" t="e">
        <f t="shared" si="16"/>
        <v>#DIV/0!</v>
      </c>
      <c r="Y70" t="e">
        <f t="shared" si="17"/>
        <v>#DIV/0!</v>
      </c>
    </row>
    <row r="71" spans="9:25" x14ac:dyDescent="0.25">
      <c r="K71" s="30"/>
      <c r="L71" s="30"/>
      <c r="N71" s="4">
        <v>15</v>
      </c>
      <c r="O71" s="2" t="s">
        <v>50</v>
      </c>
      <c r="P71" s="4"/>
      <c r="Q71" s="4"/>
      <c r="R71" s="4"/>
      <c r="S71" s="4"/>
      <c r="T71" s="4"/>
      <c r="U71" s="4"/>
      <c r="V71" s="5"/>
      <c r="W71" t="e">
        <f t="shared" si="15"/>
        <v>#DIV/0!</v>
      </c>
      <c r="X71" t="e">
        <f t="shared" si="16"/>
        <v>#DIV/0!</v>
      </c>
      <c r="Y71" t="e">
        <f t="shared" si="17"/>
        <v>#DIV/0!</v>
      </c>
    </row>
    <row r="72" spans="9:25" x14ac:dyDescent="0.25">
      <c r="K72" s="30"/>
      <c r="L72" s="30"/>
      <c r="N72" s="4">
        <v>16</v>
      </c>
      <c r="O72" s="2" t="s">
        <v>73</v>
      </c>
      <c r="P72" s="4"/>
      <c r="Q72" s="4"/>
      <c r="R72" s="4"/>
      <c r="S72" s="4"/>
      <c r="T72" s="4"/>
      <c r="U72" s="4"/>
      <c r="V72" s="5"/>
      <c r="W72" s="2" t="e">
        <f t="shared" si="15"/>
        <v>#DIV/0!</v>
      </c>
      <c r="X72" t="e">
        <f t="shared" si="16"/>
        <v>#DIV/0!</v>
      </c>
      <c r="Y72" s="2" t="e">
        <f t="shared" si="17"/>
        <v>#DIV/0!</v>
      </c>
    </row>
    <row r="73" spans="9:25" x14ac:dyDescent="0.25">
      <c r="K73" s="30"/>
      <c r="L73" s="30"/>
    </row>
    <row r="74" spans="9:25" x14ac:dyDescent="0.25">
      <c r="K74" s="30"/>
      <c r="L74" s="30"/>
      <c r="N74" s="38" t="s">
        <v>91</v>
      </c>
      <c r="O74" s="38"/>
      <c r="P74" s="38"/>
      <c r="Q74" s="38"/>
      <c r="R74" s="38"/>
      <c r="S74" s="38"/>
      <c r="T74" s="38"/>
      <c r="U74" s="38"/>
      <c r="V74" s="38"/>
    </row>
    <row r="75" spans="9:25" x14ac:dyDescent="0.25">
      <c r="I75" s="30"/>
      <c r="J75" s="30"/>
      <c r="K75" s="30"/>
      <c r="L75" s="30"/>
      <c r="N75" s="4">
        <v>1</v>
      </c>
      <c r="O75" s="2" t="s">
        <v>18</v>
      </c>
      <c r="P75" s="4">
        <v>30</v>
      </c>
      <c r="Q75" s="4">
        <v>25</v>
      </c>
      <c r="R75" s="4">
        <v>2</v>
      </c>
      <c r="S75" s="4">
        <f>P75-Q75-R75</f>
        <v>3</v>
      </c>
      <c r="T75" s="4">
        <v>97</v>
      </c>
      <c r="U75" s="4">
        <v>17</v>
      </c>
      <c r="V75" s="5">
        <f>Q75*3+R75*1</f>
        <v>77</v>
      </c>
      <c r="W75">
        <f t="shared" ref="W75:W90" si="18">(Q75*3+R75)/(P75*3)*100</f>
        <v>85.555555555555557</v>
      </c>
    </row>
    <row r="76" spans="9:25" x14ac:dyDescent="0.25">
      <c r="K76" s="30"/>
      <c r="L76" s="30"/>
      <c r="N76" s="4">
        <v>2</v>
      </c>
      <c r="O76" s="2" t="s">
        <v>32</v>
      </c>
      <c r="P76" s="4">
        <v>30</v>
      </c>
      <c r="Q76" s="4">
        <v>25</v>
      </c>
      <c r="R76" s="4">
        <v>1</v>
      </c>
      <c r="S76" s="4">
        <f t="shared" ref="S76:S90" si="19">P76-Q76-R76</f>
        <v>4</v>
      </c>
      <c r="T76" s="4">
        <v>109</v>
      </c>
      <c r="U76" s="4">
        <v>32</v>
      </c>
      <c r="V76" s="5">
        <f t="shared" ref="V76:V90" si="20">Q76*3+R76*1</f>
        <v>76</v>
      </c>
      <c r="W76">
        <f t="shared" si="18"/>
        <v>84.444444444444443</v>
      </c>
    </row>
    <row r="77" spans="9:25" x14ac:dyDescent="0.25">
      <c r="K77" s="30"/>
      <c r="L77" s="30"/>
      <c r="N77" s="4">
        <v>3</v>
      </c>
      <c r="O77" s="2" t="s">
        <v>64</v>
      </c>
      <c r="P77" s="4">
        <v>30</v>
      </c>
      <c r="Q77" s="4">
        <v>24</v>
      </c>
      <c r="R77" s="4">
        <v>2</v>
      </c>
      <c r="S77" s="4">
        <f t="shared" si="19"/>
        <v>4</v>
      </c>
      <c r="T77" s="4">
        <v>108</v>
      </c>
      <c r="U77" s="4">
        <v>25</v>
      </c>
      <c r="V77" s="5">
        <f t="shared" si="20"/>
        <v>74</v>
      </c>
      <c r="W77">
        <f t="shared" si="18"/>
        <v>82.222222222222214</v>
      </c>
    </row>
    <row r="78" spans="9:25" x14ac:dyDescent="0.25">
      <c r="K78" s="30"/>
      <c r="L78" s="30"/>
      <c r="N78" s="4">
        <v>4</v>
      </c>
      <c r="O78" s="2" t="s">
        <v>33</v>
      </c>
      <c r="P78" s="4">
        <v>30</v>
      </c>
      <c r="Q78" s="4">
        <v>23</v>
      </c>
      <c r="R78" s="4">
        <v>2</v>
      </c>
      <c r="S78" s="4">
        <f t="shared" si="19"/>
        <v>5</v>
      </c>
      <c r="T78" s="4">
        <v>109</v>
      </c>
      <c r="U78" s="4">
        <v>20</v>
      </c>
      <c r="V78" s="5">
        <f t="shared" si="20"/>
        <v>71</v>
      </c>
      <c r="W78">
        <f t="shared" si="18"/>
        <v>78.888888888888886</v>
      </c>
    </row>
    <row r="79" spans="9:25" x14ac:dyDescent="0.25">
      <c r="K79" s="30"/>
      <c r="L79" s="30"/>
      <c r="N79" s="4">
        <v>5</v>
      </c>
      <c r="O79" s="2" t="s">
        <v>70</v>
      </c>
      <c r="P79" s="4">
        <v>30</v>
      </c>
      <c r="Q79" s="4">
        <v>20</v>
      </c>
      <c r="R79" s="4">
        <v>6</v>
      </c>
      <c r="S79" s="4">
        <f t="shared" si="19"/>
        <v>4</v>
      </c>
      <c r="T79" s="4">
        <v>84</v>
      </c>
      <c r="U79" s="4">
        <v>31</v>
      </c>
      <c r="V79" s="5">
        <f t="shared" si="20"/>
        <v>66</v>
      </c>
      <c r="W79">
        <f t="shared" si="18"/>
        <v>73.333333333333329</v>
      </c>
    </row>
    <row r="80" spans="9:25" x14ac:dyDescent="0.25">
      <c r="K80" s="30"/>
      <c r="L80" s="30"/>
      <c r="N80" s="4">
        <v>6</v>
      </c>
      <c r="O80" s="2" t="s">
        <v>43</v>
      </c>
      <c r="P80" s="4">
        <v>30</v>
      </c>
      <c r="Q80" s="4">
        <v>21</v>
      </c>
      <c r="R80" s="4">
        <v>2</v>
      </c>
      <c r="S80" s="4">
        <f t="shared" si="19"/>
        <v>7</v>
      </c>
      <c r="T80" s="4">
        <v>91</v>
      </c>
      <c r="U80" s="4">
        <v>27</v>
      </c>
      <c r="V80" s="5">
        <f t="shared" si="20"/>
        <v>65</v>
      </c>
      <c r="W80">
        <f t="shared" si="18"/>
        <v>72.222222222222214</v>
      </c>
    </row>
    <row r="81" spans="9:23" x14ac:dyDescent="0.25">
      <c r="K81" s="30"/>
      <c r="L81" s="30"/>
      <c r="N81" s="4">
        <v>7</v>
      </c>
      <c r="O81" s="2" t="s">
        <v>92</v>
      </c>
      <c r="P81" s="4">
        <v>30</v>
      </c>
      <c r="Q81" s="4">
        <v>14</v>
      </c>
      <c r="R81" s="4">
        <v>1</v>
      </c>
      <c r="S81" s="4">
        <f t="shared" si="19"/>
        <v>15</v>
      </c>
      <c r="T81" s="4">
        <v>31</v>
      </c>
      <c r="U81" s="4">
        <v>47</v>
      </c>
      <c r="V81" s="5">
        <f t="shared" si="20"/>
        <v>43</v>
      </c>
      <c r="W81">
        <f t="shared" si="18"/>
        <v>47.777777777777779</v>
      </c>
    </row>
    <row r="82" spans="9:23" x14ac:dyDescent="0.25">
      <c r="K82" s="30"/>
      <c r="L82" s="30"/>
      <c r="N82" s="4">
        <v>8</v>
      </c>
      <c r="O82" s="2" t="s">
        <v>71</v>
      </c>
      <c r="P82" s="4">
        <v>30</v>
      </c>
      <c r="Q82" s="4">
        <v>10</v>
      </c>
      <c r="R82" s="4">
        <v>4</v>
      </c>
      <c r="S82" s="4">
        <f t="shared" si="19"/>
        <v>16</v>
      </c>
      <c r="T82" s="4">
        <v>41</v>
      </c>
      <c r="U82" s="4">
        <v>56</v>
      </c>
      <c r="V82" s="5">
        <f t="shared" si="20"/>
        <v>34</v>
      </c>
      <c r="W82">
        <f t="shared" si="18"/>
        <v>37.777777777777779</v>
      </c>
    </row>
    <row r="83" spans="9:23" x14ac:dyDescent="0.25">
      <c r="K83" s="30"/>
      <c r="L83" s="30"/>
      <c r="N83" s="4">
        <v>9</v>
      </c>
      <c r="O83" s="2" t="s">
        <v>50</v>
      </c>
      <c r="P83" s="4">
        <v>30</v>
      </c>
      <c r="Q83" s="4">
        <v>9</v>
      </c>
      <c r="R83" s="4">
        <v>6</v>
      </c>
      <c r="S83" s="4">
        <f t="shared" si="19"/>
        <v>15</v>
      </c>
      <c r="T83" s="4">
        <v>26</v>
      </c>
      <c r="U83" s="4">
        <v>50</v>
      </c>
      <c r="V83" s="5">
        <f t="shared" si="20"/>
        <v>33</v>
      </c>
      <c r="W83">
        <f t="shared" si="18"/>
        <v>36.666666666666664</v>
      </c>
    </row>
    <row r="84" spans="9:23" x14ac:dyDescent="0.25">
      <c r="K84" s="30"/>
      <c r="L84" s="30"/>
      <c r="N84" s="4">
        <v>10</v>
      </c>
      <c r="O84" s="2" t="s">
        <v>68</v>
      </c>
      <c r="P84" s="4">
        <v>30</v>
      </c>
      <c r="Q84" s="4">
        <v>9</v>
      </c>
      <c r="R84" s="4">
        <v>4</v>
      </c>
      <c r="S84" s="4">
        <f t="shared" si="19"/>
        <v>17</v>
      </c>
      <c r="T84" s="4">
        <v>33</v>
      </c>
      <c r="U84" s="4">
        <v>72</v>
      </c>
      <c r="V84" s="5">
        <f t="shared" si="20"/>
        <v>31</v>
      </c>
      <c r="W84">
        <f t="shared" si="18"/>
        <v>34.444444444444443</v>
      </c>
    </row>
    <row r="85" spans="9:23" x14ac:dyDescent="0.25">
      <c r="K85" s="30"/>
      <c r="L85" s="30"/>
      <c r="N85" s="4">
        <v>11</v>
      </c>
      <c r="O85" s="2" t="s">
        <v>52</v>
      </c>
      <c r="P85" s="4">
        <v>30</v>
      </c>
      <c r="Q85" s="4">
        <v>7</v>
      </c>
      <c r="R85" s="4">
        <v>5</v>
      </c>
      <c r="S85" s="4">
        <f t="shared" si="19"/>
        <v>18</v>
      </c>
      <c r="T85" s="4">
        <v>23</v>
      </c>
      <c r="U85" s="4">
        <v>67</v>
      </c>
      <c r="V85" s="5">
        <f t="shared" si="20"/>
        <v>26</v>
      </c>
      <c r="W85">
        <f t="shared" si="18"/>
        <v>28.888888888888886</v>
      </c>
    </row>
    <row r="86" spans="9:23" x14ac:dyDescent="0.25">
      <c r="K86" s="30"/>
      <c r="L86" s="30"/>
      <c r="N86" s="4">
        <v>12</v>
      </c>
      <c r="O86" s="2" t="s">
        <v>58</v>
      </c>
      <c r="P86" s="4">
        <v>30</v>
      </c>
      <c r="Q86" s="4">
        <v>7</v>
      </c>
      <c r="R86" s="4">
        <v>4</v>
      </c>
      <c r="S86" s="4">
        <f t="shared" si="19"/>
        <v>19</v>
      </c>
      <c r="T86" s="4">
        <v>19</v>
      </c>
      <c r="U86" s="4">
        <v>80</v>
      </c>
      <c r="V86" s="5">
        <f t="shared" si="20"/>
        <v>25</v>
      </c>
      <c r="W86">
        <f t="shared" si="18"/>
        <v>27.777777777777779</v>
      </c>
    </row>
    <row r="87" spans="9:23" x14ac:dyDescent="0.25">
      <c r="K87" s="30"/>
      <c r="L87" s="30"/>
      <c r="N87" s="4">
        <v>13</v>
      </c>
      <c r="O87" s="2" t="s">
        <v>73</v>
      </c>
      <c r="P87" s="4">
        <v>30</v>
      </c>
      <c r="Q87" s="4">
        <v>6</v>
      </c>
      <c r="R87" s="4">
        <v>5</v>
      </c>
      <c r="S87" s="4">
        <f t="shared" si="19"/>
        <v>19</v>
      </c>
      <c r="T87" s="4">
        <v>18</v>
      </c>
      <c r="U87" s="4">
        <v>78</v>
      </c>
      <c r="V87" s="5">
        <f t="shared" si="20"/>
        <v>23</v>
      </c>
      <c r="W87">
        <f t="shared" si="18"/>
        <v>25.555555555555554</v>
      </c>
    </row>
    <row r="88" spans="9:23" x14ac:dyDescent="0.25">
      <c r="K88" s="30"/>
      <c r="L88" s="30"/>
      <c r="N88" s="4">
        <v>14</v>
      </c>
      <c r="O88" s="2" t="s">
        <v>56</v>
      </c>
      <c r="P88" s="4">
        <v>30</v>
      </c>
      <c r="Q88" s="4">
        <v>6</v>
      </c>
      <c r="R88" s="4">
        <v>2</v>
      </c>
      <c r="S88" s="4">
        <f t="shared" si="19"/>
        <v>22</v>
      </c>
      <c r="T88" s="4">
        <v>17</v>
      </c>
      <c r="U88" s="4">
        <v>62</v>
      </c>
      <c r="V88" s="5">
        <f t="shared" si="20"/>
        <v>20</v>
      </c>
      <c r="W88">
        <f t="shared" si="18"/>
        <v>22.222222222222221</v>
      </c>
    </row>
    <row r="89" spans="9:23" x14ac:dyDescent="0.25">
      <c r="K89" s="30"/>
      <c r="L89" s="30"/>
      <c r="N89" s="4">
        <v>15</v>
      </c>
      <c r="O89" s="2" t="s">
        <v>93</v>
      </c>
      <c r="P89" s="4">
        <v>30</v>
      </c>
      <c r="Q89" s="4">
        <v>4</v>
      </c>
      <c r="R89" s="4">
        <v>5</v>
      </c>
      <c r="S89" s="4">
        <f t="shared" si="19"/>
        <v>21</v>
      </c>
      <c r="T89" s="4">
        <v>13</v>
      </c>
      <c r="U89" s="4">
        <v>71</v>
      </c>
      <c r="V89" s="5">
        <f t="shared" si="20"/>
        <v>17</v>
      </c>
      <c r="W89">
        <f t="shared" si="18"/>
        <v>18.888888888888889</v>
      </c>
    </row>
    <row r="90" spans="9:23" x14ac:dyDescent="0.25">
      <c r="K90" s="30"/>
      <c r="L90" s="30"/>
      <c r="N90" s="4">
        <v>16</v>
      </c>
      <c r="O90" s="4" t="s">
        <v>34</v>
      </c>
      <c r="P90" s="4">
        <v>5</v>
      </c>
      <c r="Q90" s="4">
        <v>0</v>
      </c>
      <c r="R90" s="4">
        <v>0</v>
      </c>
      <c r="S90" s="4">
        <f t="shared" si="19"/>
        <v>5</v>
      </c>
      <c r="T90" s="4">
        <v>0</v>
      </c>
      <c r="U90" s="4">
        <v>28</v>
      </c>
      <c r="V90" s="5">
        <f t="shared" si="20"/>
        <v>0</v>
      </c>
      <c r="W90">
        <f t="shared" si="18"/>
        <v>0</v>
      </c>
    </row>
    <row r="91" spans="9:23" x14ac:dyDescent="0.25">
      <c r="K91" s="30"/>
      <c r="L91" s="30"/>
      <c r="N91" s="4"/>
      <c r="O91" s="4"/>
      <c r="P91" s="4"/>
      <c r="Q91" s="4"/>
      <c r="R91" s="4"/>
      <c r="S91" s="4"/>
      <c r="T91" s="4"/>
      <c r="U91" s="4"/>
      <c r="V91" s="4"/>
    </row>
    <row r="92" spans="9:23" x14ac:dyDescent="0.25">
      <c r="K92" s="30"/>
      <c r="L92" s="30"/>
      <c r="N92" s="38" t="s">
        <v>77</v>
      </c>
      <c r="O92" s="38"/>
      <c r="P92" s="38"/>
      <c r="Q92" s="38"/>
      <c r="R92" s="38"/>
      <c r="S92" s="38"/>
      <c r="T92" s="38"/>
      <c r="U92" s="38"/>
      <c r="V92" s="38"/>
    </row>
    <row r="93" spans="9:23" x14ac:dyDescent="0.25">
      <c r="I93" s="30"/>
      <c r="J93" s="30"/>
      <c r="K93" s="30"/>
      <c r="L93" s="30"/>
      <c r="N93" s="4">
        <v>1</v>
      </c>
      <c r="O93" s="2" t="s">
        <v>64</v>
      </c>
      <c r="P93" s="4">
        <v>30</v>
      </c>
      <c r="Q93" s="4">
        <v>26</v>
      </c>
      <c r="R93" s="4">
        <v>2</v>
      </c>
      <c r="S93" s="4">
        <f>P93-Q93-R93</f>
        <v>2</v>
      </c>
      <c r="T93" s="4">
        <v>103</v>
      </c>
      <c r="U93" s="4">
        <v>16</v>
      </c>
      <c r="V93" s="5">
        <f>Q93*3+R93*1</f>
        <v>80</v>
      </c>
    </row>
    <row r="94" spans="9:23" x14ac:dyDescent="0.25">
      <c r="K94" s="30"/>
      <c r="L94" s="30"/>
      <c r="N94" s="4">
        <v>2</v>
      </c>
      <c r="O94" s="2" t="s">
        <v>18</v>
      </c>
      <c r="P94" s="4">
        <v>30</v>
      </c>
      <c r="Q94" s="4">
        <v>25</v>
      </c>
      <c r="R94" s="4">
        <v>3</v>
      </c>
      <c r="S94" s="4">
        <f t="shared" ref="S94:S108" si="21">P94-Q94-R94</f>
        <v>2</v>
      </c>
      <c r="T94" s="4">
        <v>106</v>
      </c>
      <c r="U94" s="4">
        <v>19</v>
      </c>
      <c r="V94" s="5">
        <f t="shared" ref="V94:V108" si="22">Q94*3+R94*1</f>
        <v>78</v>
      </c>
    </row>
    <row r="95" spans="9:23" x14ac:dyDescent="0.25">
      <c r="K95" s="30"/>
      <c r="L95" s="30"/>
      <c r="N95" s="4">
        <v>3</v>
      </c>
      <c r="O95" s="2" t="s">
        <v>32</v>
      </c>
      <c r="P95" s="4">
        <v>30</v>
      </c>
      <c r="Q95" s="4">
        <v>25</v>
      </c>
      <c r="R95" s="4">
        <v>2</v>
      </c>
      <c r="S95" s="4">
        <f t="shared" si="21"/>
        <v>3</v>
      </c>
      <c r="T95" s="4">
        <v>81</v>
      </c>
      <c r="U95" s="4">
        <v>22</v>
      </c>
      <c r="V95" s="5">
        <f t="shared" si="22"/>
        <v>77</v>
      </c>
    </row>
    <row r="96" spans="9:23" x14ac:dyDescent="0.25">
      <c r="K96" s="30"/>
      <c r="L96" s="2"/>
      <c r="N96" s="4">
        <v>4</v>
      </c>
      <c r="O96" s="2" t="s">
        <v>33</v>
      </c>
      <c r="P96" s="4">
        <v>30</v>
      </c>
      <c r="Q96" s="4">
        <v>22</v>
      </c>
      <c r="R96" s="4">
        <v>3</v>
      </c>
      <c r="S96" s="4">
        <f t="shared" si="21"/>
        <v>5</v>
      </c>
      <c r="T96" s="4">
        <v>96</v>
      </c>
      <c r="U96" s="4">
        <v>25</v>
      </c>
      <c r="V96" s="5">
        <f t="shared" si="22"/>
        <v>69</v>
      </c>
    </row>
    <row r="97" spans="9:22" x14ac:dyDescent="0.25">
      <c r="K97" s="30"/>
      <c r="L97" s="30"/>
      <c r="N97" s="4">
        <v>5</v>
      </c>
      <c r="O97" s="2" t="s">
        <v>70</v>
      </c>
      <c r="P97" s="4">
        <v>30</v>
      </c>
      <c r="Q97" s="4">
        <v>20</v>
      </c>
      <c r="R97" s="4">
        <v>4</v>
      </c>
      <c r="S97" s="4">
        <f t="shared" si="21"/>
        <v>6</v>
      </c>
      <c r="T97" s="4">
        <v>90</v>
      </c>
      <c r="U97" s="4">
        <v>34</v>
      </c>
      <c r="V97" s="5">
        <f t="shared" si="22"/>
        <v>64</v>
      </c>
    </row>
    <row r="98" spans="9:22" x14ac:dyDescent="0.25">
      <c r="K98" s="30"/>
      <c r="L98" s="30"/>
      <c r="N98" s="4">
        <v>6</v>
      </c>
      <c r="O98" s="2" t="s">
        <v>43</v>
      </c>
      <c r="P98" s="4">
        <v>30</v>
      </c>
      <c r="Q98" s="4">
        <v>16</v>
      </c>
      <c r="R98" s="4">
        <v>2</v>
      </c>
      <c r="S98" s="4">
        <f t="shared" si="21"/>
        <v>12</v>
      </c>
      <c r="T98" s="4">
        <v>67</v>
      </c>
      <c r="U98" s="4">
        <v>37</v>
      </c>
      <c r="V98" s="5">
        <f t="shared" si="22"/>
        <v>50</v>
      </c>
    </row>
    <row r="99" spans="9:22" x14ac:dyDescent="0.25">
      <c r="K99" s="30"/>
      <c r="L99" s="30"/>
      <c r="N99" s="4">
        <v>7</v>
      </c>
      <c r="O99" s="2" t="s">
        <v>50</v>
      </c>
      <c r="P99" s="4">
        <v>30</v>
      </c>
      <c r="Q99" s="4">
        <v>11</v>
      </c>
      <c r="R99" s="4">
        <v>3</v>
      </c>
      <c r="S99" s="4">
        <f t="shared" si="21"/>
        <v>16</v>
      </c>
      <c r="T99" s="4">
        <v>42</v>
      </c>
      <c r="U99" s="4">
        <v>55</v>
      </c>
      <c r="V99" s="5">
        <f t="shared" si="22"/>
        <v>36</v>
      </c>
    </row>
    <row r="100" spans="9:22" x14ac:dyDescent="0.25">
      <c r="K100" s="30"/>
      <c r="L100" s="30"/>
      <c r="N100" s="4">
        <v>8</v>
      </c>
      <c r="O100" s="2" t="s">
        <v>58</v>
      </c>
      <c r="P100" s="4">
        <v>30</v>
      </c>
      <c r="Q100" s="4">
        <v>11</v>
      </c>
      <c r="R100" s="4">
        <v>3</v>
      </c>
      <c r="S100" s="4">
        <f t="shared" si="21"/>
        <v>16</v>
      </c>
      <c r="T100" s="4">
        <v>40</v>
      </c>
      <c r="U100" s="4">
        <v>56</v>
      </c>
      <c r="V100" s="5">
        <f t="shared" si="22"/>
        <v>36</v>
      </c>
    </row>
    <row r="101" spans="9:22" x14ac:dyDescent="0.25">
      <c r="K101" s="30"/>
      <c r="L101" s="30"/>
      <c r="N101" s="4">
        <v>9</v>
      </c>
      <c r="O101" s="2" t="s">
        <v>72</v>
      </c>
      <c r="P101" s="4">
        <v>30</v>
      </c>
      <c r="Q101" s="4">
        <v>8</v>
      </c>
      <c r="R101" s="4">
        <v>4</v>
      </c>
      <c r="S101" s="4">
        <f t="shared" si="21"/>
        <v>18</v>
      </c>
      <c r="T101" s="4">
        <v>37</v>
      </c>
      <c r="U101" s="4">
        <v>65</v>
      </c>
      <c r="V101" s="5">
        <f t="shared" si="22"/>
        <v>28</v>
      </c>
    </row>
    <row r="102" spans="9:22" x14ac:dyDescent="0.25">
      <c r="K102" s="30"/>
      <c r="L102" s="30"/>
      <c r="N102" s="4">
        <v>10</v>
      </c>
      <c r="O102" s="2" t="s">
        <v>68</v>
      </c>
      <c r="P102" s="4">
        <v>30</v>
      </c>
      <c r="Q102" s="4">
        <v>8</v>
      </c>
      <c r="R102" s="4">
        <v>4</v>
      </c>
      <c r="S102" s="4">
        <f t="shared" si="21"/>
        <v>18</v>
      </c>
      <c r="T102" s="4">
        <v>40</v>
      </c>
      <c r="U102" s="4">
        <v>85</v>
      </c>
      <c r="V102" s="5">
        <f t="shared" si="22"/>
        <v>28</v>
      </c>
    </row>
    <row r="103" spans="9:22" x14ac:dyDescent="0.25">
      <c r="K103" s="30"/>
      <c r="L103" s="30"/>
      <c r="N103" s="4">
        <v>11</v>
      </c>
      <c r="O103" s="2" t="s">
        <v>52</v>
      </c>
      <c r="P103" s="4">
        <v>30</v>
      </c>
      <c r="Q103" s="4">
        <v>8</v>
      </c>
      <c r="R103" s="4">
        <v>3</v>
      </c>
      <c r="S103" s="4">
        <f t="shared" si="21"/>
        <v>19</v>
      </c>
      <c r="T103" s="4">
        <v>35</v>
      </c>
      <c r="U103" s="4">
        <v>86</v>
      </c>
      <c r="V103" s="5">
        <f t="shared" si="22"/>
        <v>27</v>
      </c>
    </row>
    <row r="104" spans="9:22" x14ac:dyDescent="0.25">
      <c r="K104" s="30"/>
      <c r="L104" s="30"/>
      <c r="N104" s="4">
        <v>12</v>
      </c>
      <c r="O104" s="2" t="s">
        <v>71</v>
      </c>
      <c r="P104" s="4">
        <v>30</v>
      </c>
      <c r="Q104" s="4">
        <v>7</v>
      </c>
      <c r="R104" s="4">
        <v>3</v>
      </c>
      <c r="S104" s="4">
        <f t="shared" si="21"/>
        <v>20</v>
      </c>
      <c r="T104" s="4">
        <v>36</v>
      </c>
      <c r="U104" s="4">
        <v>79</v>
      </c>
      <c r="V104" s="5">
        <f t="shared" si="22"/>
        <v>24</v>
      </c>
    </row>
    <row r="105" spans="9:22" x14ac:dyDescent="0.25">
      <c r="K105" s="30"/>
      <c r="L105" s="30"/>
      <c r="N105" s="4">
        <v>13</v>
      </c>
      <c r="O105" s="2" t="s">
        <v>53</v>
      </c>
      <c r="P105" s="4">
        <v>30</v>
      </c>
      <c r="Q105" s="4">
        <v>5</v>
      </c>
      <c r="R105" s="4">
        <v>7</v>
      </c>
      <c r="S105" s="4">
        <f t="shared" si="21"/>
        <v>18</v>
      </c>
      <c r="T105" s="4">
        <v>28</v>
      </c>
      <c r="U105" s="4">
        <v>68</v>
      </c>
      <c r="V105" s="5">
        <f t="shared" si="22"/>
        <v>22</v>
      </c>
    </row>
    <row r="106" spans="9:22" x14ac:dyDescent="0.25">
      <c r="K106" s="30"/>
      <c r="L106" s="30"/>
      <c r="N106" s="4">
        <v>14</v>
      </c>
      <c r="O106" s="2" t="s">
        <v>73</v>
      </c>
      <c r="P106" s="4">
        <v>30</v>
      </c>
      <c r="Q106" s="4">
        <v>5</v>
      </c>
      <c r="R106" s="4">
        <v>4</v>
      </c>
      <c r="S106" s="4">
        <f t="shared" si="21"/>
        <v>21</v>
      </c>
      <c r="T106" s="4">
        <v>17</v>
      </c>
      <c r="U106" s="4">
        <v>85</v>
      </c>
      <c r="V106" s="5">
        <f t="shared" si="22"/>
        <v>19</v>
      </c>
    </row>
    <row r="107" spans="9:22" x14ac:dyDescent="0.25">
      <c r="K107" s="30"/>
      <c r="L107" s="30"/>
      <c r="N107" s="4">
        <v>15</v>
      </c>
      <c r="O107" s="2" t="s">
        <v>76</v>
      </c>
      <c r="P107" s="4">
        <v>30</v>
      </c>
      <c r="Q107" s="4">
        <v>4</v>
      </c>
      <c r="R107" s="4">
        <v>3</v>
      </c>
      <c r="S107" s="4">
        <f t="shared" si="21"/>
        <v>23</v>
      </c>
      <c r="T107" s="4">
        <v>16</v>
      </c>
      <c r="U107" s="4">
        <v>91</v>
      </c>
      <c r="V107" s="5">
        <f t="shared" si="22"/>
        <v>15</v>
      </c>
    </row>
    <row r="108" spans="9:22" x14ac:dyDescent="0.25">
      <c r="K108" s="30"/>
      <c r="L108" s="30"/>
      <c r="N108" s="4">
        <v>16</v>
      </c>
      <c r="O108" s="4" t="s">
        <v>34</v>
      </c>
      <c r="P108" s="4">
        <v>5</v>
      </c>
      <c r="Q108" s="4">
        <v>0</v>
      </c>
      <c r="R108" s="4">
        <v>0</v>
      </c>
      <c r="S108" s="4">
        <f t="shared" si="21"/>
        <v>5</v>
      </c>
      <c r="T108" s="4">
        <v>1</v>
      </c>
      <c r="U108" s="4">
        <v>32</v>
      </c>
      <c r="V108" s="5">
        <f t="shared" si="22"/>
        <v>0</v>
      </c>
    </row>
    <row r="109" spans="9:22" x14ac:dyDescent="0.25">
      <c r="K109" s="30"/>
      <c r="L109" s="30"/>
      <c r="N109" s="4"/>
      <c r="O109" s="4"/>
      <c r="P109" s="4"/>
      <c r="Q109" s="4"/>
      <c r="R109" s="4"/>
      <c r="S109" s="4"/>
      <c r="T109" s="4"/>
      <c r="U109" s="4"/>
      <c r="V109" s="4"/>
    </row>
    <row r="110" spans="9:22" x14ac:dyDescent="0.25">
      <c r="K110" s="30"/>
      <c r="L110" s="30"/>
      <c r="N110" s="38" t="s">
        <v>75</v>
      </c>
      <c r="O110" s="38"/>
      <c r="P110" s="38"/>
      <c r="Q110" s="38"/>
      <c r="R110" s="38"/>
      <c r="S110" s="38"/>
      <c r="T110" s="38"/>
      <c r="U110" s="38"/>
      <c r="V110" s="38"/>
    </row>
    <row r="111" spans="9:22" x14ac:dyDescent="0.25">
      <c r="I111" s="30"/>
      <c r="J111" s="30"/>
      <c r="K111" s="30"/>
      <c r="L111" s="30"/>
      <c r="N111" s="4">
        <v>1</v>
      </c>
      <c r="O111" s="2" t="s">
        <v>18</v>
      </c>
      <c r="P111" s="4">
        <v>30</v>
      </c>
      <c r="Q111" s="4">
        <v>27</v>
      </c>
      <c r="R111" s="4">
        <v>3</v>
      </c>
      <c r="S111" s="4">
        <f>P111-Q111-R111</f>
        <v>0</v>
      </c>
      <c r="T111" s="4">
        <v>112</v>
      </c>
      <c r="U111" s="4">
        <v>14</v>
      </c>
      <c r="V111" s="5">
        <f>Q111*3+R111*1</f>
        <v>84</v>
      </c>
    </row>
    <row r="112" spans="9:22" x14ac:dyDescent="0.25">
      <c r="K112" s="30"/>
      <c r="L112" s="30"/>
      <c r="N112" s="4">
        <v>2</v>
      </c>
      <c r="O112" s="2" t="s">
        <v>32</v>
      </c>
      <c r="P112" s="4">
        <v>30</v>
      </c>
      <c r="Q112" s="4">
        <v>27</v>
      </c>
      <c r="R112" s="4">
        <v>0</v>
      </c>
      <c r="S112" s="4">
        <f t="shared" ref="S112:S126" si="23">P112-Q112-R112</f>
        <v>3</v>
      </c>
      <c r="T112" s="4">
        <v>119</v>
      </c>
      <c r="U112" s="4">
        <v>19</v>
      </c>
      <c r="V112" s="5">
        <f t="shared" ref="V112:V126" si="24">Q112*3+R112*1</f>
        <v>81</v>
      </c>
    </row>
    <row r="113" spans="11:22" x14ac:dyDescent="0.25">
      <c r="K113" s="30"/>
      <c r="L113" s="30"/>
      <c r="N113" s="4">
        <v>3</v>
      </c>
      <c r="O113" s="2" t="s">
        <v>33</v>
      </c>
      <c r="P113" s="4">
        <v>30</v>
      </c>
      <c r="Q113" s="4">
        <v>21</v>
      </c>
      <c r="R113" s="4">
        <v>2</v>
      </c>
      <c r="S113" s="4">
        <f t="shared" si="23"/>
        <v>7</v>
      </c>
      <c r="T113" s="4">
        <v>71</v>
      </c>
      <c r="U113" s="4">
        <v>26</v>
      </c>
      <c r="V113" s="5">
        <f t="shared" si="24"/>
        <v>65</v>
      </c>
    </row>
    <row r="114" spans="11:22" x14ac:dyDescent="0.25">
      <c r="K114" s="30"/>
      <c r="L114" s="30"/>
      <c r="N114" s="4">
        <v>4</v>
      </c>
      <c r="O114" s="2" t="s">
        <v>43</v>
      </c>
      <c r="P114" s="4">
        <v>30</v>
      </c>
      <c r="Q114" s="4">
        <v>19</v>
      </c>
      <c r="R114" s="4">
        <v>6</v>
      </c>
      <c r="S114" s="4">
        <f t="shared" si="23"/>
        <v>5</v>
      </c>
      <c r="T114" s="4">
        <v>74</v>
      </c>
      <c r="U114" s="4">
        <v>28</v>
      </c>
      <c r="V114" s="5">
        <f t="shared" si="24"/>
        <v>63</v>
      </c>
    </row>
    <row r="115" spans="11:22" x14ac:dyDescent="0.25">
      <c r="K115" s="30"/>
      <c r="L115" s="30"/>
      <c r="N115" s="4">
        <v>5</v>
      </c>
      <c r="O115" s="2" t="s">
        <v>51</v>
      </c>
      <c r="P115" s="4">
        <v>30</v>
      </c>
      <c r="Q115" s="4">
        <v>19</v>
      </c>
      <c r="R115" s="4">
        <v>2</v>
      </c>
      <c r="S115" s="4">
        <f t="shared" si="23"/>
        <v>9</v>
      </c>
      <c r="T115" s="4">
        <v>69</v>
      </c>
      <c r="U115" s="4">
        <v>35</v>
      </c>
      <c r="V115" s="5">
        <f t="shared" si="24"/>
        <v>59</v>
      </c>
    </row>
    <row r="116" spans="11:22" x14ac:dyDescent="0.25">
      <c r="K116" s="30"/>
      <c r="L116" s="30"/>
      <c r="N116" s="4">
        <v>6</v>
      </c>
      <c r="O116" s="2" t="s">
        <v>70</v>
      </c>
      <c r="P116" s="4">
        <v>30</v>
      </c>
      <c r="Q116" s="4">
        <v>18</v>
      </c>
      <c r="R116" s="4">
        <v>3</v>
      </c>
      <c r="S116" s="4">
        <f t="shared" si="23"/>
        <v>9</v>
      </c>
      <c r="T116" s="4">
        <v>54</v>
      </c>
      <c r="U116" s="4">
        <v>50</v>
      </c>
      <c r="V116" s="5">
        <f t="shared" si="24"/>
        <v>57</v>
      </c>
    </row>
    <row r="117" spans="11:22" x14ac:dyDescent="0.25">
      <c r="K117" s="30"/>
      <c r="L117" s="30"/>
      <c r="N117" s="4">
        <v>7</v>
      </c>
      <c r="O117" s="2" t="s">
        <v>64</v>
      </c>
      <c r="P117" s="4">
        <v>30</v>
      </c>
      <c r="Q117" s="4">
        <v>14</v>
      </c>
      <c r="R117" s="4">
        <v>5</v>
      </c>
      <c r="S117" s="4">
        <f t="shared" si="23"/>
        <v>11</v>
      </c>
      <c r="T117" s="4">
        <v>52</v>
      </c>
      <c r="U117" s="4">
        <v>29</v>
      </c>
      <c r="V117" s="5">
        <f t="shared" si="24"/>
        <v>47</v>
      </c>
    </row>
    <row r="118" spans="11:22" x14ac:dyDescent="0.25">
      <c r="K118" s="30"/>
      <c r="L118" s="30"/>
      <c r="N118" s="4">
        <v>8</v>
      </c>
      <c r="O118" s="2" t="s">
        <v>50</v>
      </c>
      <c r="P118" s="4">
        <v>30</v>
      </c>
      <c r="Q118" s="4">
        <v>10</v>
      </c>
      <c r="R118" s="4">
        <v>7</v>
      </c>
      <c r="S118" s="4">
        <f t="shared" si="23"/>
        <v>13</v>
      </c>
      <c r="T118" s="4">
        <v>37</v>
      </c>
      <c r="U118" s="4">
        <v>41</v>
      </c>
      <c r="V118" s="5">
        <f t="shared" si="24"/>
        <v>37</v>
      </c>
    </row>
    <row r="119" spans="11:22" x14ac:dyDescent="0.25">
      <c r="K119" s="30"/>
      <c r="L119" s="30"/>
      <c r="N119" s="4">
        <v>9</v>
      </c>
      <c r="O119" s="2" t="s">
        <v>58</v>
      </c>
      <c r="P119" s="4">
        <v>30</v>
      </c>
      <c r="Q119" s="4">
        <v>10</v>
      </c>
      <c r="R119" s="4">
        <v>7</v>
      </c>
      <c r="S119" s="4">
        <f t="shared" si="23"/>
        <v>13</v>
      </c>
      <c r="T119" s="4">
        <v>35</v>
      </c>
      <c r="U119" s="4">
        <v>49</v>
      </c>
      <c r="V119" s="5">
        <f t="shared" si="24"/>
        <v>37</v>
      </c>
    </row>
    <row r="120" spans="11:22" x14ac:dyDescent="0.25">
      <c r="K120" s="30"/>
      <c r="L120" s="30"/>
      <c r="N120" s="4">
        <v>10</v>
      </c>
      <c r="O120" s="2" t="s">
        <v>71</v>
      </c>
      <c r="P120" s="4">
        <v>30</v>
      </c>
      <c r="Q120" s="4">
        <v>9</v>
      </c>
      <c r="R120" s="4">
        <v>7</v>
      </c>
      <c r="S120" s="4">
        <f t="shared" si="23"/>
        <v>14</v>
      </c>
      <c r="T120" s="4">
        <v>38</v>
      </c>
      <c r="U120" s="4">
        <v>59</v>
      </c>
      <c r="V120" s="5">
        <f t="shared" si="24"/>
        <v>34</v>
      </c>
    </row>
    <row r="121" spans="11:22" x14ac:dyDescent="0.25">
      <c r="K121" s="30"/>
      <c r="L121" s="30"/>
      <c r="N121" s="4">
        <v>11</v>
      </c>
      <c r="O121" s="2" t="s">
        <v>52</v>
      </c>
      <c r="P121" s="4">
        <v>30</v>
      </c>
      <c r="Q121" s="4">
        <v>9</v>
      </c>
      <c r="R121" s="4">
        <v>5</v>
      </c>
      <c r="S121" s="4">
        <f t="shared" si="23"/>
        <v>16</v>
      </c>
      <c r="T121" s="4">
        <v>36</v>
      </c>
      <c r="U121" s="4">
        <v>59</v>
      </c>
      <c r="V121" s="5">
        <f t="shared" si="24"/>
        <v>32</v>
      </c>
    </row>
    <row r="122" spans="11:22" x14ac:dyDescent="0.25">
      <c r="K122" s="30"/>
      <c r="L122" s="30"/>
      <c r="N122" s="4">
        <v>12</v>
      </c>
      <c r="O122" s="2" t="s">
        <v>72</v>
      </c>
      <c r="P122" s="4">
        <v>30</v>
      </c>
      <c r="Q122" s="4">
        <v>7</v>
      </c>
      <c r="R122" s="4">
        <v>7</v>
      </c>
      <c r="S122" s="4">
        <f t="shared" si="23"/>
        <v>16</v>
      </c>
      <c r="T122" s="4">
        <v>33</v>
      </c>
      <c r="U122" s="4">
        <v>75</v>
      </c>
      <c r="V122" s="5">
        <f t="shared" si="24"/>
        <v>28</v>
      </c>
    </row>
    <row r="123" spans="11:22" x14ac:dyDescent="0.25">
      <c r="K123" s="30"/>
      <c r="L123" s="30"/>
      <c r="N123" s="4">
        <v>13</v>
      </c>
      <c r="O123" s="2" t="s">
        <v>53</v>
      </c>
      <c r="P123" s="4">
        <v>30</v>
      </c>
      <c r="Q123" s="4">
        <v>4</v>
      </c>
      <c r="R123" s="4">
        <v>7</v>
      </c>
      <c r="S123" s="4">
        <f t="shared" si="23"/>
        <v>19</v>
      </c>
      <c r="T123" s="4">
        <v>21</v>
      </c>
      <c r="U123" s="4">
        <v>68</v>
      </c>
      <c r="V123" s="5">
        <f t="shared" si="24"/>
        <v>19</v>
      </c>
    </row>
    <row r="124" spans="11:22" x14ac:dyDescent="0.25">
      <c r="K124" s="30"/>
      <c r="L124" s="30"/>
      <c r="N124" s="4">
        <v>14</v>
      </c>
      <c r="O124" s="2" t="s">
        <v>76</v>
      </c>
      <c r="P124" s="4">
        <v>30</v>
      </c>
      <c r="Q124" s="4">
        <v>2</v>
      </c>
      <c r="R124" s="4">
        <v>6</v>
      </c>
      <c r="S124" s="4">
        <f t="shared" si="23"/>
        <v>22</v>
      </c>
      <c r="T124" s="4">
        <v>24</v>
      </c>
      <c r="U124" s="4">
        <v>84</v>
      </c>
      <c r="V124" s="5">
        <f t="shared" si="24"/>
        <v>12</v>
      </c>
    </row>
    <row r="125" spans="11:22" x14ac:dyDescent="0.25">
      <c r="K125" s="30"/>
      <c r="L125" s="30"/>
      <c r="N125" s="4">
        <v>15</v>
      </c>
      <c r="O125" s="2" t="s">
        <v>56</v>
      </c>
      <c r="P125" s="4">
        <v>30</v>
      </c>
      <c r="Q125" s="4">
        <v>2</v>
      </c>
      <c r="R125" s="4">
        <v>4</v>
      </c>
      <c r="S125" s="4">
        <f t="shared" si="23"/>
        <v>24</v>
      </c>
      <c r="T125" s="4">
        <v>18</v>
      </c>
      <c r="U125" s="4">
        <v>92</v>
      </c>
      <c r="V125" s="5">
        <f t="shared" si="24"/>
        <v>10</v>
      </c>
    </row>
    <row r="126" spans="11:22" x14ac:dyDescent="0.25">
      <c r="K126" s="30"/>
      <c r="L126" s="30"/>
      <c r="N126" s="4">
        <v>16</v>
      </c>
      <c r="O126" s="4" t="s">
        <v>34</v>
      </c>
      <c r="P126" s="4">
        <v>1</v>
      </c>
      <c r="Q126" s="4">
        <v>0</v>
      </c>
      <c r="R126" s="4">
        <v>0</v>
      </c>
      <c r="S126" s="4">
        <f t="shared" si="23"/>
        <v>1</v>
      </c>
      <c r="T126" s="4">
        <v>0</v>
      </c>
      <c r="U126" s="4">
        <v>6</v>
      </c>
      <c r="V126" s="5">
        <f t="shared" si="24"/>
        <v>0</v>
      </c>
    </row>
    <row r="127" spans="11:22" x14ac:dyDescent="0.25">
      <c r="K127" s="30"/>
      <c r="L127" s="30"/>
      <c r="N127" s="4"/>
      <c r="O127" s="4"/>
      <c r="P127" s="4"/>
      <c r="Q127" s="4"/>
      <c r="R127" s="4"/>
      <c r="S127" s="4"/>
      <c r="T127" s="4"/>
      <c r="U127" s="4"/>
      <c r="V127" s="4"/>
    </row>
    <row r="128" spans="11:22" x14ac:dyDescent="0.25">
      <c r="K128" s="30"/>
      <c r="L128" s="30"/>
      <c r="N128" s="38" t="s">
        <v>74</v>
      </c>
      <c r="O128" s="38"/>
      <c r="P128" s="38"/>
      <c r="Q128" s="38"/>
      <c r="R128" s="38"/>
      <c r="S128" s="38"/>
      <c r="T128" s="38"/>
      <c r="U128" s="38"/>
      <c r="V128" s="38"/>
    </row>
    <row r="129" spans="9:22" x14ac:dyDescent="0.25">
      <c r="I129" s="30"/>
      <c r="J129" s="30"/>
      <c r="K129" s="30"/>
      <c r="L129" s="30"/>
      <c r="N129" s="4">
        <v>1</v>
      </c>
      <c r="O129" s="2" t="s">
        <v>32</v>
      </c>
      <c r="P129" s="4">
        <v>30</v>
      </c>
      <c r="Q129" s="4">
        <v>27</v>
      </c>
      <c r="R129" s="4">
        <v>2</v>
      </c>
      <c r="S129" s="4">
        <f>P129-Q129-R129</f>
        <v>1</v>
      </c>
      <c r="T129" s="4">
        <v>121</v>
      </c>
      <c r="U129" s="4">
        <v>12</v>
      </c>
      <c r="V129" s="5">
        <f>Q129*3+R129*1</f>
        <v>83</v>
      </c>
    </row>
    <row r="130" spans="9:22" x14ac:dyDescent="0.25">
      <c r="K130" s="30"/>
      <c r="L130" s="30"/>
      <c r="N130" s="4">
        <v>2</v>
      </c>
      <c r="O130" s="2" t="s">
        <v>18</v>
      </c>
      <c r="P130" s="4">
        <v>30</v>
      </c>
      <c r="Q130" s="4">
        <v>26</v>
      </c>
      <c r="R130" s="4">
        <v>0</v>
      </c>
      <c r="S130" s="4">
        <f t="shared" ref="S130:S144" si="25">P130-Q130-R130</f>
        <v>4</v>
      </c>
      <c r="T130" s="4">
        <v>115</v>
      </c>
      <c r="U130" s="4">
        <v>16</v>
      </c>
      <c r="V130" s="5">
        <f t="shared" ref="V130:V144" si="26">Q130*3+R130*1</f>
        <v>78</v>
      </c>
    </row>
    <row r="131" spans="9:22" x14ac:dyDescent="0.25">
      <c r="K131" s="30"/>
      <c r="L131" s="30"/>
      <c r="N131" s="4">
        <v>3</v>
      </c>
      <c r="O131" s="2" t="s">
        <v>51</v>
      </c>
      <c r="P131" s="4">
        <v>30</v>
      </c>
      <c r="Q131" s="4">
        <v>21</v>
      </c>
      <c r="R131" s="4">
        <v>3</v>
      </c>
      <c r="S131" s="4">
        <f t="shared" si="25"/>
        <v>6</v>
      </c>
      <c r="T131" s="4">
        <v>91</v>
      </c>
      <c r="U131" s="4">
        <v>21</v>
      </c>
      <c r="V131" s="5">
        <f t="shared" si="26"/>
        <v>66</v>
      </c>
    </row>
    <row r="132" spans="9:22" x14ac:dyDescent="0.25">
      <c r="K132" s="30"/>
      <c r="L132" s="30"/>
      <c r="N132" s="4">
        <v>4</v>
      </c>
      <c r="O132" s="2" t="s">
        <v>43</v>
      </c>
      <c r="P132" s="4">
        <v>30</v>
      </c>
      <c r="Q132" s="4">
        <v>21</v>
      </c>
      <c r="R132" s="4">
        <v>1</v>
      </c>
      <c r="S132" s="4">
        <f t="shared" si="25"/>
        <v>8</v>
      </c>
      <c r="T132" s="4">
        <v>78</v>
      </c>
      <c r="U132" s="4">
        <v>25</v>
      </c>
      <c r="V132" s="5">
        <f t="shared" si="26"/>
        <v>64</v>
      </c>
    </row>
    <row r="133" spans="9:22" x14ac:dyDescent="0.25">
      <c r="K133" s="30"/>
      <c r="L133" s="30"/>
      <c r="N133" s="4">
        <v>5</v>
      </c>
      <c r="O133" s="2" t="s">
        <v>64</v>
      </c>
      <c r="P133" s="4">
        <v>30</v>
      </c>
      <c r="Q133" s="4">
        <v>19</v>
      </c>
      <c r="R133" s="4">
        <v>4</v>
      </c>
      <c r="S133" s="4">
        <f t="shared" si="25"/>
        <v>7</v>
      </c>
      <c r="T133" s="4">
        <v>70</v>
      </c>
      <c r="U133" s="4">
        <v>23</v>
      </c>
      <c r="V133" s="5">
        <f t="shared" si="26"/>
        <v>61</v>
      </c>
    </row>
    <row r="134" spans="9:22" x14ac:dyDescent="0.25">
      <c r="K134" s="30"/>
      <c r="L134" s="30"/>
      <c r="N134" s="4">
        <v>6</v>
      </c>
      <c r="O134" s="2" t="s">
        <v>33</v>
      </c>
      <c r="P134" s="4">
        <v>30</v>
      </c>
      <c r="Q134" s="4">
        <v>18</v>
      </c>
      <c r="R134" s="4">
        <v>3</v>
      </c>
      <c r="S134" s="4">
        <f t="shared" si="25"/>
        <v>9</v>
      </c>
      <c r="T134" s="4">
        <v>65</v>
      </c>
      <c r="U134" s="4">
        <v>37</v>
      </c>
      <c r="V134" s="5">
        <f t="shared" si="26"/>
        <v>57</v>
      </c>
    </row>
    <row r="135" spans="9:22" x14ac:dyDescent="0.25">
      <c r="K135" s="30"/>
      <c r="L135" s="30"/>
      <c r="N135" s="4">
        <v>7</v>
      </c>
      <c r="O135" s="2" t="s">
        <v>70</v>
      </c>
      <c r="P135" s="4">
        <v>30</v>
      </c>
      <c r="Q135" s="4">
        <v>18</v>
      </c>
      <c r="R135" s="4">
        <v>2</v>
      </c>
      <c r="S135" s="4">
        <f t="shared" si="25"/>
        <v>10</v>
      </c>
      <c r="T135" s="4">
        <v>35</v>
      </c>
      <c r="U135" s="4">
        <v>37</v>
      </c>
      <c r="V135" s="5">
        <f t="shared" si="26"/>
        <v>56</v>
      </c>
    </row>
    <row r="136" spans="9:22" x14ac:dyDescent="0.25">
      <c r="K136" s="30"/>
      <c r="L136" s="30"/>
      <c r="N136" s="4">
        <v>8</v>
      </c>
      <c r="O136" s="2" t="s">
        <v>50</v>
      </c>
      <c r="P136" s="4">
        <v>30</v>
      </c>
      <c r="Q136" s="4">
        <v>14</v>
      </c>
      <c r="R136" s="4">
        <v>3</v>
      </c>
      <c r="S136" s="4">
        <f t="shared" si="25"/>
        <v>13</v>
      </c>
      <c r="T136" s="4">
        <v>34</v>
      </c>
      <c r="U136" s="4">
        <v>49</v>
      </c>
      <c r="V136" s="5">
        <f t="shared" si="26"/>
        <v>45</v>
      </c>
    </row>
    <row r="137" spans="9:22" x14ac:dyDescent="0.25">
      <c r="K137" s="30"/>
      <c r="L137" s="30"/>
      <c r="N137" s="4">
        <v>9</v>
      </c>
      <c r="O137" s="2" t="s">
        <v>58</v>
      </c>
      <c r="P137" s="4">
        <v>30</v>
      </c>
      <c r="Q137" s="4">
        <v>13</v>
      </c>
      <c r="R137" s="4">
        <v>4</v>
      </c>
      <c r="S137" s="4">
        <f t="shared" si="25"/>
        <v>13</v>
      </c>
      <c r="T137" s="4">
        <v>41</v>
      </c>
      <c r="U137" s="4">
        <v>45</v>
      </c>
      <c r="V137" s="5">
        <f t="shared" si="26"/>
        <v>43</v>
      </c>
    </row>
    <row r="138" spans="9:22" x14ac:dyDescent="0.25">
      <c r="K138" s="30"/>
      <c r="L138" s="30"/>
      <c r="N138" s="4">
        <v>10</v>
      </c>
      <c r="O138" s="2" t="s">
        <v>52</v>
      </c>
      <c r="P138" s="4">
        <v>30</v>
      </c>
      <c r="Q138" s="4">
        <v>10</v>
      </c>
      <c r="R138" s="4">
        <v>5</v>
      </c>
      <c r="S138" s="4">
        <f t="shared" si="25"/>
        <v>15</v>
      </c>
      <c r="T138" s="4">
        <v>35</v>
      </c>
      <c r="U138" s="4">
        <v>61</v>
      </c>
      <c r="V138" s="5">
        <f t="shared" si="26"/>
        <v>35</v>
      </c>
    </row>
    <row r="139" spans="9:22" x14ac:dyDescent="0.25">
      <c r="K139" s="30"/>
      <c r="L139" s="30"/>
      <c r="N139" s="4">
        <v>11</v>
      </c>
      <c r="O139" s="2" t="s">
        <v>71</v>
      </c>
      <c r="P139" s="4">
        <v>30</v>
      </c>
      <c r="Q139" s="4">
        <v>9</v>
      </c>
      <c r="R139" s="4">
        <v>2</v>
      </c>
      <c r="S139" s="4">
        <f t="shared" si="25"/>
        <v>19</v>
      </c>
      <c r="T139" s="4">
        <v>36</v>
      </c>
      <c r="U139" s="4">
        <v>68</v>
      </c>
      <c r="V139" s="5">
        <f t="shared" si="26"/>
        <v>29</v>
      </c>
    </row>
    <row r="140" spans="9:22" x14ac:dyDescent="0.25">
      <c r="K140" s="30"/>
      <c r="L140" s="30"/>
      <c r="N140" s="4">
        <v>12</v>
      </c>
      <c r="O140" s="2" t="s">
        <v>56</v>
      </c>
      <c r="P140" s="4">
        <v>30</v>
      </c>
      <c r="Q140" s="4">
        <v>8</v>
      </c>
      <c r="R140" s="4">
        <v>2</v>
      </c>
      <c r="S140" s="4">
        <f t="shared" si="25"/>
        <v>20</v>
      </c>
      <c r="T140" s="4">
        <v>16</v>
      </c>
      <c r="U140" s="4">
        <v>84</v>
      </c>
      <c r="V140" s="5">
        <f t="shared" si="26"/>
        <v>26</v>
      </c>
    </row>
    <row r="141" spans="9:22" x14ac:dyDescent="0.25">
      <c r="K141" s="30"/>
      <c r="L141" s="30"/>
      <c r="N141" s="4">
        <v>13</v>
      </c>
      <c r="O141" s="2" t="s">
        <v>61</v>
      </c>
      <c r="P141" s="4">
        <v>30</v>
      </c>
      <c r="Q141" s="4">
        <v>8</v>
      </c>
      <c r="R141" s="4">
        <v>1</v>
      </c>
      <c r="S141" s="4">
        <f t="shared" si="25"/>
        <v>21</v>
      </c>
      <c r="T141" s="4">
        <v>24</v>
      </c>
      <c r="U141" s="4">
        <v>89</v>
      </c>
      <c r="V141" s="5">
        <f t="shared" si="26"/>
        <v>25</v>
      </c>
    </row>
    <row r="142" spans="9:22" x14ac:dyDescent="0.25">
      <c r="K142" s="30"/>
      <c r="L142" s="30"/>
      <c r="N142" s="4">
        <v>14</v>
      </c>
      <c r="O142" s="2" t="s">
        <v>72</v>
      </c>
      <c r="P142" s="4">
        <v>30</v>
      </c>
      <c r="Q142" s="4">
        <v>3</v>
      </c>
      <c r="R142" s="4">
        <v>6</v>
      </c>
      <c r="S142" s="4">
        <f t="shared" si="25"/>
        <v>21</v>
      </c>
      <c r="T142" s="4">
        <v>19</v>
      </c>
      <c r="U142" s="4">
        <v>79</v>
      </c>
      <c r="V142" s="5">
        <f t="shared" si="26"/>
        <v>15</v>
      </c>
    </row>
    <row r="143" spans="9:22" x14ac:dyDescent="0.25">
      <c r="K143" s="30"/>
      <c r="L143" s="30"/>
      <c r="N143" s="4">
        <v>15</v>
      </c>
      <c r="O143" s="2" t="s">
        <v>73</v>
      </c>
      <c r="P143" s="4">
        <v>30</v>
      </c>
      <c r="Q143" s="4">
        <v>4</v>
      </c>
      <c r="R143" s="4">
        <v>2</v>
      </c>
      <c r="S143" s="4">
        <f t="shared" si="25"/>
        <v>24</v>
      </c>
      <c r="T143" s="4">
        <v>22</v>
      </c>
      <c r="U143" s="4">
        <v>69</v>
      </c>
      <c r="V143" s="5">
        <f t="shared" si="26"/>
        <v>14</v>
      </c>
    </row>
    <row r="144" spans="9:22" x14ac:dyDescent="0.25">
      <c r="K144" s="30"/>
      <c r="L144" s="30"/>
      <c r="N144" s="4">
        <v>16</v>
      </c>
      <c r="O144" s="4" t="s">
        <v>34</v>
      </c>
      <c r="P144" s="4">
        <v>21</v>
      </c>
      <c r="Q144" s="4">
        <v>1</v>
      </c>
      <c r="R144" s="4">
        <v>0</v>
      </c>
      <c r="S144" s="4">
        <f t="shared" si="25"/>
        <v>20</v>
      </c>
      <c r="T144" s="4">
        <v>0</v>
      </c>
      <c r="U144" s="4">
        <v>0</v>
      </c>
      <c r="V144" s="5">
        <f t="shared" si="26"/>
        <v>3</v>
      </c>
    </row>
    <row r="145" spans="9:22" x14ac:dyDescent="0.25">
      <c r="K145" s="30"/>
      <c r="L145" s="30"/>
      <c r="N145" s="4"/>
      <c r="O145" s="4"/>
      <c r="P145" s="4"/>
      <c r="Q145" s="4"/>
      <c r="R145" s="4"/>
      <c r="S145" s="4"/>
      <c r="T145" s="4"/>
      <c r="U145" s="4"/>
      <c r="V145" s="4"/>
    </row>
    <row r="146" spans="9:22" x14ac:dyDescent="0.25">
      <c r="K146" s="30"/>
      <c r="L146" s="30"/>
      <c r="N146" s="38" t="s">
        <v>69</v>
      </c>
      <c r="O146" s="38"/>
      <c r="P146" s="38"/>
      <c r="Q146" s="38"/>
      <c r="R146" s="38"/>
      <c r="S146" s="38"/>
      <c r="T146" s="38"/>
      <c r="U146" s="38"/>
      <c r="V146" s="38"/>
    </row>
    <row r="147" spans="9:22" x14ac:dyDescent="0.25">
      <c r="I147" s="30"/>
      <c r="J147" s="30"/>
      <c r="K147" s="30"/>
      <c r="L147" s="30"/>
      <c r="N147" s="4">
        <v>1</v>
      </c>
      <c r="O147" s="2" t="s">
        <v>32</v>
      </c>
      <c r="P147" s="4">
        <v>30</v>
      </c>
      <c r="Q147" s="4">
        <v>26</v>
      </c>
      <c r="R147" s="4">
        <v>2</v>
      </c>
      <c r="S147" s="4">
        <f>P147-Q147-R147</f>
        <v>2</v>
      </c>
      <c r="T147" s="4">
        <v>121</v>
      </c>
      <c r="U147" s="4">
        <v>12</v>
      </c>
      <c r="V147" s="5">
        <f>Q147*3+R147*1</f>
        <v>80</v>
      </c>
    </row>
    <row r="148" spans="9:22" x14ac:dyDescent="0.25">
      <c r="K148" s="30"/>
      <c r="L148" s="30"/>
      <c r="N148" s="4">
        <v>2</v>
      </c>
      <c r="O148" s="2" t="s">
        <v>18</v>
      </c>
      <c r="P148" s="4">
        <v>30</v>
      </c>
      <c r="Q148" s="4">
        <v>26</v>
      </c>
      <c r="R148" s="4">
        <v>1</v>
      </c>
      <c r="S148" s="4">
        <f t="shared" ref="S148:S162" si="27">P148-Q148-R148</f>
        <v>3</v>
      </c>
      <c r="T148" s="4">
        <v>115</v>
      </c>
      <c r="U148" s="4">
        <v>16</v>
      </c>
      <c r="V148" s="5">
        <f t="shared" ref="V148:V162" si="28">Q148*3+R148*1</f>
        <v>79</v>
      </c>
    </row>
    <row r="149" spans="9:22" x14ac:dyDescent="0.25">
      <c r="K149" s="30"/>
      <c r="L149" s="30"/>
      <c r="N149" s="4">
        <v>3</v>
      </c>
      <c r="O149" s="2" t="s">
        <v>33</v>
      </c>
      <c r="P149" s="4">
        <v>30</v>
      </c>
      <c r="Q149" s="4">
        <v>24</v>
      </c>
      <c r="R149" s="4">
        <v>2</v>
      </c>
      <c r="S149" s="4">
        <f t="shared" si="27"/>
        <v>4</v>
      </c>
      <c r="T149" s="4">
        <v>91</v>
      </c>
      <c r="U149" s="4">
        <v>21</v>
      </c>
      <c r="V149" s="5">
        <f t="shared" si="28"/>
        <v>74</v>
      </c>
    </row>
    <row r="150" spans="9:22" x14ac:dyDescent="0.25">
      <c r="K150" s="30"/>
      <c r="L150" s="30"/>
      <c r="N150" s="4">
        <v>4</v>
      </c>
      <c r="O150" s="2" t="s">
        <v>51</v>
      </c>
      <c r="P150" s="4">
        <v>30</v>
      </c>
      <c r="Q150" s="4">
        <v>20</v>
      </c>
      <c r="R150" s="4">
        <v>3</v>
      </c>
      <c r="S150" s="4">
        <f t="shared" si="27"/>
        <v>7</v>
      </c>
      <c r="T150" s="4">
        <v>78</v>
      </c>
      <c r="U150" s="4">
        <v>25</v>
      </c>
      <c r="V150" s="5">
        <f t="shared" si="28"/>
        <v>63</v>
      </c>
    </row>
    <row r="151" spans="9:22" x14ac:dyDescent="0.25">
      <c r="K151" s="30"/>
      <c r="L151" s="30"/>
      <c r="N151" s="4">
        <v>5</v>
      </c>
      <c r="O151" s="2" t="s">
        <v>43</v>
      </c>
      <c r="P151" s="4">
        <v>30</v>
      </c>
      <c r="Q151" s="4">
        <v>19</v>
      </c>
      <c r="R151" s="4">
        <v>5</v>
      </c>
      <c r="S151" s="4">
        <f t="shared" si="27"/>
        <v>6</v>
      </c>
      <c r="T151" s="4">
        <v>70</v>
      </c>
      <c r="U151" s="4">
        <v>23</v>
      </c>
      <c r="V151" s="5">
        <f t="shared" si="28"/>
        <v>62</v>
      </c>
    </row>
    <row r="152" spans="9:22" x14ac:dyDescent="0.25">
      <c r="K152" s="30"/>
      <c r="L152" s="30"/>
      <c r="N152" s="4">
        <v>6</v>
      </c>
      <c r="O152" s="2" t="s">
        <v>70</v>
      </c>
      <c r="P152" s="4">
        <v>30</v>
      </c>
      <c r="Q152" s="4">
        <v>16</v>
      </c>
      <c r="R152" s="4">
        <v>6</v>
      </c>
      <c r="S152" s="4">
        <f t="shared" si="27"/>
        <v>8</v>
      </c>
      <c r="T152" s="4">
        <v>65</v>
      </c>
      <c r="U152" s="4">
        <v>37</v>
      </c>
      <c r="V152" s="5">
        <f t="shared" si="28"/>
        <v>54</v>
      </c>
    </row>
    <row r="153" spans="9:22" x14ac:dyDescent="0.25">
      <c r="K153" s="30"/>
      <c r="L153" s="30"/>
      <c r="N153" s="4">
        <v>7</v>
      </c>
      <c r="O153" s="2" t="s">
        <v>64</v>
      </c>
      <c r="P153" s="4">
        <v>30</v>
      </c>
      <c r="Q153" s="4">
        <v>12</v>
      </c>
      <c r="R153" s="4">
        <v>6</v>
      </c>
      <c r="S153" s="4">
        <f t="shared" si="27"/>
        <v>12</v>
      </c>
      <c r="T153" s="4">
        <v>35</v>
      </c>
      <c r="U153" s="4">
        <v>37</v>
      </c>
      <c r="V153" s="5">
        <f t="shared" si="28"/>
        <v>42</v>
      </c>
    </row>
    <row r="154" spans="9:22" x14ac:dyDescent="0.25">
      <c r="K154" s="30"/>
      <c r="L154" s="30"/>
      <c r="N154" s="4">
        <v>8</v>
      </c>
      <c r="O154" s="2" t="s">
        <v>50</v>
      </c>
      <c r="P154" s="4">
        <v>30</v>
      </c>
      <c r="Q154" s="4">
        <v>12</v>
      </c>
      <c r="R154" s="4">
        <v>3</v>
      </c>
      <c r="S154" s="4">
        <f t="shared" si="27"/>
        <v>15</v>
      </c>
      <c r="T154" s="4">
        <v>34</v>
      </c>
      <c r="U154" s="4">
        <v>49</v>
      </c>
      <c r="V154" s="5">
        <f t="shared" si="28"/>
        <v>39</v>
      </c>
    </row>
    <row r="155" spans="9:22" x14ac:dyDescent="0.25">
      <c r="K155" s="30"/>
      <c r="L155" s="30"/>
      <c r="N155" s="4">
        <v>9</v>
      </c>
      <c r="O155" s="2" t="s">
        <v>71</v>
      </c>
      <c r="P155" s="4">
        <v>30</v>
      </c>
      <c r="Q155" s="4">
        <v>11</v>
      </c>
      <c r="R155" s="4">
        <v>4</v>
      </c>
      <c r="S155" s="4">
        <f t="shared" si="27"/>
        <v>15</v>
      </c>
      <c r="T155" s="4">
        <v>41</v>
      </c>
      <c r="U155" s="4">
        <v>45</v>
      </c>
      <c r="V155" s="5">
        <f t="shared" si="28"/>
        <v>37</v>
      </c>
    </row>
    <row r="156" spans="9:22" x14ac:dyDescent="0.25">
      <c r="K156" s="30"/>
      <c r="L156" s="30"/>
      <c r="N156" s="4">
        <v>10</v>
      </c>
      <c r="O156" s="2" t="s">
        <v>52</v>
      </c>
      <c r="P156" s="4">
        <v>30</v>
      </c>
      <c r="Q156" s="4">
        <v>10</v>
      </c>
      <c r="R156" s="4">
        <v>4</v>
      </c>
      <c r="S156" s="4">
        <f t="shared" si="27"/>
        <v>16</v>
      </c>
      <c r="T156" s="4">
        <v>35</v>
      </c>
      <c r="U156" s="4">
        <v>61</v>
      </c>
      <c r="V156" s="5">
        <f t="shared" si="28"/>
        <v>34</v>
      </c>
    </row>
    <row r="157" spans="9:22" x14ac:dyDescent="0.25">
      <c r="K157" s="30"/>
      <c r="L157" s="30"/>
      <c r="N157" s="4">
        <v>11</v>
      </c>
      <c r="O157" s="2" t="s">
        <v>58</v>
      </c>
      <c r="P157" s="4">
        <v>30</v>
      </c>
      <c r="Q157" s="4">
        <v>9</v>
      </c>
      <c r="R157" s="4">
        <v>4</v>
      </c>
      <c r="S157" s="4">
        <f t="shared" si="27"/>
        <v>17</v>
      </c>
      <c r="T157" s="4">
        <v>36</v>
      </c>
      <c r="U157" s="4">
        <v>68</v>
      </c>
      <c r="V157" s="5">
        <f t="shared" si="28"/>
        <v>31</v>
      </c>
    </row>
    <row r="158" spans="9:22" x14ac:dyDescent="0.25">
      <c r="K158" s="30"/>
      <c r="L158" s="30"/>
      <c r="N158" s="4">
        <v>12</v>
      </c>
      <c r="O158" s="2" t="s">
        <v>61</v>
      </c>
      <c r="P158" s="4">
        <v>30</v>
      </c>
      <c r="Q158" s="4">
        <v>7</v>
      </c>
      <c r="R158" s="4">
        <v>4</v>
      </c>
      <c r="S158" s="4">
        <f t="shared" si="27"/>
        <v>19</v>
      </c>
      <c r="T158" s="4">
        <v>16</v>
      </c>
      <c r="U158" s="4">
        <v>84</v>
      </c>
      <c r="V158" s="5">
        <f t="shared" si="28"/>
        <v>25</v>
      </c>
    </row>
    <row r="159" spans="9:22" x14ac:dyDescent="0.25">
      <c r="K159" s="30"/>
      <c r="L159" s="30"/>
      <c r="N159" s="4">
        <v>13</v>
      </c>
      <c r="O159" s="2" t="s">
        <v>56</v>
      </c>
      <c r="P159" s="4">
        <v>30</v>
      </c>
      <c r="Q159" s="4">
        <v>6</v>
      </c>
      <c r="R159" s="4">
        <v>6</v>
      </c>
      <c r="S159" s="4">
        <f t="shared" si="27"/>
        <v>18</v>
      </c>
      <c r="T159" s="4">
        <v>24</v>
      </c>
      <c r="U159" s="4">
        <v>89</v>
      </c>
      <c r="V159" s="5">
        <f t="shared" si="28"/>
        <v>24</v>
      </c>
    </row>
    <row r="160" spans="9:22" x14ac:dyDescent="0.25">
      <c r="K160" s="30"/>
      <c r="L160" s="30"/>
      <c r="N160" s="4">
        <v>14</v>
      </c>
      <c r="O160" s="2" t="s">
        <v>67</v>
      </c>
      <c r="P160" s="4">
        <v>30</v>
      </c>
      <c r="Q160" s="4">
        <v>7</v>
      </c>
      <c r="R160" s="4">
        <v>1</v>
      </c>
      <c r="S160" s="4">
        <f t="shared" si="27"/>
        <v>22</v>
      </c>
      <c r="T160" s="4">
        <v>19</v>
      </c>
      <c r="U160" s="4">
        <v>79</v>
      </c>
      <c r="V160" s="5">
        <f t="shared" si="28"/>
        <v>22</v>
      </c>
    </row>
    <row r="161" spans="9:22" x14ac:dyDescent="0.25">
      <c r="K161" s="30"/>
      <c r="L161" s="30"/>
      <c r="N161" s="4">
        <v>15</v>
      </c>
      <c r="O161" s="2" t="s">
        <v>53</v>
      </c>
      <c r="P161" s="4">
        <v>30</v>
      </c>
      <c r="Q161" s="4">
        <v>6</v>
      </c>
      <c r="R161" s="4">
        <v>3</v>
      </c>
      <c r="S161" s="4">
        <f t="shared" si="27"/>
        <v>21</v>
      </c>
      <c r="T161" s="4">
        <v>22</v>
      </c>
      <c r="U161" s="4">
        <v>69</v>
      </c>
      <c r="V161" s="5">
        <f t="shared" si="28"/>
        <v>21</v>
      </c>
    </row>
    <row r="162" spans="9:22" x14ac:dyDescent="0.25">
      <c r="K162" s="30"/>
      <c r="L162" s="30"/>
      <c r="N162" s="4">
        <v>16</v>
      </c>
      <c r="O162" s="4" t="s">
        <v>34</v>
      </c>
      <c r="P162" s="4">
        <v>0</v>
      </c>
      <c r="Q162" s="4">
        <v>0</v>
      </c>
      <c r="R162" s="4">
        <v>0</v>
      </c>
      <c r="S162" s="4">
        <f t="shared" si="27"/>
        <v>0</v>
      </c>
      <c r="T162" s="4">
        <v>0</v>
      </c>
      <c r="U162" s="4">
        <v>0</v>
      </c>
      <c r="V162" s="5">
        <f t="shared" si="28"/>
        <v>0</v>
      </c>
    </row>
    <row r="163" spans="9:22" x14ac:dyDescent="0.25">
      <c r="K163" s="30"/>
      <c r="L163" s="30"/>
      <c r="N163" s="4"/>
      <c r="O163" s="4"/>
      <c r="P163" s="4"/>
      <c r="Q163" s="4"/>
      <c r="R163" s="4"/>
      <c r="S163" s="4"/>
      <c r="T163" s="4"/>
      <c r="U163" s="4"/>
      <c r="V163" s="4"/>
    </row>
    <row r="164" spans="9:22" x14ac:dyDescent="0.25">
      <c r="K164" s="30"/>
      <c r="L164" s="30"/>
      <c r="N164" s="38" t="s">
        <v>66</v>
      </c>
      <c r="O164" s="38"/>
      <c r="P164" s="38"/>
      <c r="Q164" s="38"/>
      <c r="R164" s="38"/>
      <c r="S164" s="38"/>
      <c r="T164" s="38"/>
      <c r="U164" s="38"/>
      <c r="V164" s="38"/>
    </row>
    <row r="165" spans="9:22" x14ac:dyDescent="0.25">
      <c r="I165" s="30"/>
      <c r="J165" s="30"/>
      <c r="K165" s="30"/>
      <c r="L165" s="30"/>
      <c r="N165" s="4">
        <v>1</v>
      </c>
      <c r="O165" s="2" t="s">
        <v>18</v>
      </c>
      <c r="P165" s="4">
        <v>30</v>
      </c>
      <c r="Q165" s="4">
        <v>27</v>
      </c>
      <c r="R165" s="4">
        <v>2</v>
      </c>
      <c r="S165" s="4">
        <f>P165-Q165-R165</f>
        <v>1</v>
      </c>
      <c r="T165" s="4">
        <v>101</v>
      </c>
      <c r="U165" s="4">
        <v>17</v>
      </c>
      <c r="V165" s="5">
        <f>Q165*3+R165*1</f>
        <v>83</v>
      </c>
    </row>
    <row r="166" spans="9:22" x14ac:dyDescent="0.25">
      <c r="K166" s="30"/>
      <c r="L166" s="30"/>
      <c r="N166" s="4">
        <v>2</v>
      </c>
      <c r="O166" s="2" t="s">
        <v>32</v>
      </c>
      <c r="P166" s="4">
        <v>30</v>
      </c>
      <c r="Q166" s="4">
        <v>27</v>
      </c>
      <c r="R166" s="4">
        <v>1</v>
      </c>
      <c r="S166" s="4">
        <f t="shared" ref="S166:S180" si="29">P166-Q166-R166</f>
        <v>2</v>
      </c>
      <c r="T166" s="4">
        <v>122</v>
      </c>
      <c r="U166" s="4">
        <v>13</v>
      </c>
      <c r="V166" s="5">
        <f t="shared" ref="V166:V180" si="30">Q166*3+R166*1</f>
        <v>82</v>
      </c>
    </row>
    <row r="167" spans="9:22" x14ac:dyDescent="0.25">
      <c r="K167" s="30"/>
      <c r="L167" s="30"/>
      <c r="N167" s="4">
        <v>3</v>
      </c>
      <c r="O167" s="2" t="s">
        <v>33</v>
      </c>
      <c r="P167" s="4">
        <v>30</v>
      </c>
      <c r="Q167" s="4">
        <v>26</v>
      </c>
      <c r="R167" s="4">
        <v>3</v>
      </c>
      <c r="S167" s="4">
        <f t="shared" si="29"/>
        <v>1</v>
      </c>
      <c r="T167" s="4">
        <v>106</v>
      </c>
      <c r="U167" s="4">
        <v>11</v>
      </c>
      <c r="V167" s="5">
        <f t="shared" si="30"/>
        <v>81</v>
      </c>
    </row>
    <row r="168" spans="9:22" x14ac:dyDescent="0.25">
      <c r="K168" s="30"/>
      <c r="L168" s="30"/>
      <c r="N168" s="4">
        <v>4</v>
      </c>
      <c r="O168" s="2" t="s">
        <v>51</v>
      </c>
      <c r="P168" s="4">
        <v>30</v>
      </c>
      <c r="Q168" s="4">
        <v>17</v>
      </c>
      <c r="R168" s="4">
        <v>4</v>
      </c>
      <c r="S168" s="4">
        <f t="shared" si="29"/>
        <v>9</v>
      </c>
      <c r="T168" s="4">
        <v>50</v>
      </c>
      <c r="U168" s="4">
        <v>35</v>
      </c>
      <c r="V168" s="5">
        <f t="shared" si="30"/>
        <v>55</v>
      </c>
    </row>
    <row r="169" spans="9:22" x14ac:dyDescent="0.25">
      <c r="K169" s="30"/>
      <c r="L169" s="30"/>
      <c r="N169" s="4">
        <v>5</v>
      </c>
      <c r="O169" s="2" t="s">
        <v>43</v>
      </c>
      <c r="P169" s="4">
        <v>30</v>
      </c>
      <c r="Q169" s="4">
        <v>16</v>
      </c>
      <c r="R169" s="4">
        <v>3</v>
      </c>
      <c r="S169" s="4">
        <f t="shared" si="29"/>
        <v>11</v>
      </c>
      <c r="T169" s="4">
        <v>72</v>
      </c>
      <c r="U169" s="4">
        <v>37</v>
      </c>
      <c r="V169" s="5">
        <f t="shared" si="30"/>
        <v>51</v>
      </c>
    </row>
    <row r="170" spans="9:22" x14ac:dyDescent="0.25">
      <c r="K170" s="30"/>
      <c r="L170" s="30"/>
      <c r="N170" s="4">
        <v>6</v>
      </c>
      <c r="O170" s="2" t="s">
        <v>50</v>
      </c>
      <c r="P170" s="4">
        <v>30</v>
      </c>
      <c r="Q170" s="4">
        <v>16</v>
      </c>
      <c r="R170" s="4">
        <v>3</v>
      </c>
      <c r="S170" s="4">
        <f t="shared" si="29"/>
        <v>11</v>
      </c>
      <c r="T170" s="4">
        <v>50</v>
      </c>
      <c r="U170" s="4">
        <v>40</v>
      </c>
      <c r="V170" s="5">
        <f t="shared" si="30"/>
        <v>51</v>
      </c>
    </row>
    <row r="171" spans="9:22" x14ac:dyDescent="0.25">
      <c r="K171" s="30"/>
      <c r="L171" s="30"/>
      <c r="N171" s="4">
        <v>7</v>
      </c>
      <c r="O171" s="2" t="s">
        <v>64</v>
      </c>
      <c r="P171" s="4">
        <v>30</v>
      </c>
      <c r="Q171" s="4">
        <v>11</v>
      </c>
      <c r="R171" s="4">
        <v>6</v>
      </c>
      <c r="S171" s="4">
        <f t="shared" si="29"/>
        <v>13</v>
      </c>
      <c r="T171" s="4">
        <v>33</v>
      </c>
      <c r="U171" s="4">
        <v>40</v>
      </c>
      <c r="V171" s="5">
        <f t="shared" si="30"/>
        <v>39</v>
      </c>
    </row>
    <row r="172" spans="9:22" x14ac:dyDescent="0.25">
      <c r="K172" s="30"/>
      <c r="L172" s="30"/>
      <c r="N172" s="4">
        <v>8</v>
      </c>
      <c r="O172" s="2" t="s">
        <v>58</v>
      </c>
      <c r="P172" s="4">
        <v>30</v>
      </c>
      <c r="Q172" s="4">
        <v>11</v>
      </c>
      <c r="R172" s="4">
        <v>5</v>
      </c>
      <c r="S172" s="4">
        <f t="shared" si="29"/>
        <v>14</v>
      </c>
      <c r="T172" s="4">
        <v>35</v>
      </c>
      <c r="U172" s="4">
        <v>50</v>
      </c>
      <c r="V172" s="5">
        <f t="shared" si="30"/>
        <v>38</v>
      </c>
    </row>
    <row r="173" spans="9:22" x14ac:dyDescent="0.25">
      <c r="K173" s="30"/>
      <c r="L173" s="30"/>
      <c r="N173" s="4">
        <v>9</v>
      </c>
      <c r="O173" s="2" t="s">
        <v>55</v>
      </c>
      <c r="P173" s="4">
        <v>30</v>
      </c>
      <c r="Q173" s="4">
        <v>10</v>
      </c>
      <c r="R173" s="4">
        <v>7</v>
      </c>
      <c r="S173" s="4">
        <f t="shared" si="29"/>
        <v>13</v>
      </c>
      <c r="T173" s="4">
        <v>43</v>
      </c>
      <c r="U173" s="4">
        <v>53</v>
      </c>
      <c r="V173" s="5">
        <f t="shared" si="30"/>
        <v>37</v>
      </c>
    </row>
    <row r="174" spans="9:22" x14ac:dyDescent="0.25">
      <c r="K174" s="30"/>
      <c r="L174" s="30"/>
      <c r="N174" s="4">
        <v>10</v>
      </c>
      <c r="O174" s="2" t="s">
        <v>67</v>
      </c>
      <c r="P174" s="4">
        <v>30</v>
      </c>
      <c r="Q174" s="4">
        <v>7</v>
      </c>
      <c r="R174" s="4">
        <v>11</v>
      </c>
      <c r="S174" s="4">
        <f t="shared" si="29"/>
        <v>12</v>
      </c>
      <c r="T174" s="4">
        <v>29</v>
      </c>
      <c r="U174" s="4">
        <v>47</v>
      </c>
      <c r="V174" s="5">
        <f t="shared" si="30"/>
        <v>32</v>
      </c>
    </row>
    <row r="175" spans="9:22" x14ac:dyDescent="0.25">
      <c r="K175" s="30"/>
      <c r="L175" s="30"/>
      <c r="N175" s="4">
        <v>11</v>
      </c>
      <c r="O175" s="2" t="s">
        <v>61</v>
      </c>
      <c r="P175" s="4">
        <v>30</v>
      </c>
      <c r="Q175" s="4">
        <v>8</v>
      </c>
      <c r="R175" s="4">
        <v>5</v>
      </c>
      <c r="S175" s="4">
        <f t="shared" si="29"/>
        <v>17</v>
      </c>
      <c r="T175" s="4">
        <v>35</v>
      </c>
      <c r="U175" s="4">
        <v>72</v>
      </c>
      <c r="V175" s="5">
        <f t="shared" si="30"/>
        <v>29</v>
      </c>
    </row>
    <row r="176" spans="9:22" x14ac:dyDescent="0.25">
      <c r="K176" s="30"/>
      <c r="L176" s="30"/>
      <c r="N176" s="4">
        <v>12</v>
      </c>
      <c r="O176" s="2" t="s">
        <v>53</v>
      </c>
      <c r="P176" s="4">
        <v>30</v>
      </c>
      <c r="Q176" s="4">
        <v>7</v>
      </c>
      <c r="R176" s="4">
        <v>6</v>
      </c>
      <c r="S176" s="4">
        <f t="shared" si="29"/>
        <v>17</v>
      </c>
      <c r="T176" s="4">
        <v>20</v>
      </c>
      <c r="U176" s="4">
        <v>60</v>
      </c>
      <c r="V176" s="5">
        <f t="shared" si="30"/>
        <v>27</v>
      </c>
    </row>
    <row r="177" spans="9:22" x14ac:dyDescent="0.25">
      <c r="K177" s="30"/>
      <c r="L177" s="30"/>
      <c r="N177" s="4">
        <v>13</v>
      </c>
      <c r="O177" s="2" t="s">
        <v>52</v>
      </c>
      <c r="P177" s="4">
        <v>30</v>
      </c>
      <c r="Q177" s="4">
        <v>7</v>
      </c>
      <c r="R177" s="4">
        <v>5</v>
      </c>
      <c r="S177" s="4">
        <f t="shared" si="29"/>
        <v>18</v>
      </c>
      <c r="T177" s="4">
        <v>31</v>
      </c>
      <c r="U177" s="4">
        <v>69</v>
      </c>
      <c r="V177" s="5">
        <f t="shared" si="30"/>
        <v>26</v>
      </c>
    </row>
    <row r="178" spans="9:22" x14ac:dyDescent="0.25">
      <c r="K178" s="30"/>
      <c r="L178" s="30"/>
      <c r="N178" s="4">
        <v>14</v>
      </c>
      <c r="O178" s="2" t="s">
        <v>56</v>
      </c>
      <c r="P178" s="4">
        <v>30</v>
      </c>
      <c r="Q178" s="4">
        <v>6</v>
      </c>
      <c r="R178" s="4">
        <v>5</v>
      </c>
      <c r="S178" s="4">
        <f t="shared" si="29"/>
        <v>19</v>
      </c>
      <c r="T178" s="4">
        <v>26</v>
      </c>
      <c r="U178" s="4">
        <v>81</v>
      </c>
      <c r="V178" s="5">
        <f t="shared" si="30"/>
        <v>23</v>
      </c>
    </row>
    <row r="179" spans="9:22" x14ac:dyDescent="0.25">
      <c r="K179" s="30"/>
      <c r="L179" s="30"/>
      <c r="N179" s="4">
        <v>15</v>
      </c>
      <c r="O179" s="2" t="s">
        <v>68</v>
      </c>
      <c r="P179" s="4">
        <v>30</v>
      </c>
      <c r="Q179" s="4">
        <v>4</v>
      </c>
      <c r="R179" s="4">
        <v>6</v>
      </c>
      <c r="S179" s="4">
        <f t="shared" si="29"/>
        <v>20</v>
      </c>
      <c r="T179" s="4">
        <v>24</v>
      </c>
      <c r="U179" s="4">
        <v>86</v>
      </c>
      <c r="V179" s="5">
        <f t="shared" si="30"/>
        <v>18</v>
      </c>
    </row>
    <row r="180" spans="9:22" x14ac:dyDescent="0.25">
      <c r="K180" s="30"/>
      <c r="L180" s="30"/>
      <c r="N180" s="4">
        <v>16</v>
      </c>
      <c r="O180" s="2" t="s">
        <v>65</v>
      </c>
      <c r="P180" s="4">
        <v>30</v>
      </c>
      <c r="Q180" s="4">
        <v>3</v>
      </c>
      <c r="R180" s="4">
        <v>2</v>
      </c>
      <c r="S180" s="4">
        <f t="shared" si="29"/>
        <v>25</v>
      </c>
      <c r="T180" s="4">
        <v>19</v>
      </c>
      <c r="U180" s="4">
        <v>85</v>
      </c>
      <c r="V180" s="5">
        <f t="shared" si="30"/>
        <v>11</v>
      </c>
    </row>
    <row r="181" spans="9:22" x14ac:dyDescent="0.25">
      <c r="K181" s="30"/>
      <c r="L181" s="30"/>
      <c r="N181" s="4"/>
      <c r="O181" s="4"/>
      <c r="P181" s="4"/>
      <c r="Q181" s="4"/>
      <c r="R181" s="4"/>
      <c r="S181" s="4"/>
      <c r="T181" s="4"/>
      <c r="U181" s="4"/>
      <c r="V181" s="4"/>
    </row>
    <row r="182" spans="9:22" x14ac:dyDescent="0.25">
      <c r="K182" s="30"/>
      <c r="L182" s="30"/>
      <c r="N182" s="38" t="s">
        <v>63</v>
      </c>
      <c r="O182" s="38"/>
      <c r="P182" s="38"/>
      <c r="Q182" s="38"/>
      <c r="R182" s="38"/>
      <c r="S182" s="38"/>
      <c r="T182" s="38"/>
      <c r="U182" s="38"/>
      <c r="V182" s="38"/>
    </row>
    <row r="183" spans="9:22" x14ac:dyDescent="0.25">
      <c r="I183" s="30"/>
      <c r="J183" s="30"/>
      <c r="K183" s="30"/>
      <c r="L183" s="30"/>
      <c r="N183" s="4">
        <v>1</v>
      </c>
      <c r="O183" s="2" t="s">
        <v>18</v>
      </c>
      <c r="P183" s="4">
        <v>30</v>
      </c>
      <c r="Q183" s="4">
        <v>26</v>
      </c>
      <c r="R183" s="4">
        <v>2</v>
      </c>
      <c r="S183" s="4">
        <f>P183-Q183-R183</f>
        <v>2</v>
      </c>
      <c r="T183" s="4">
        <v>136</v>
      </c>
      <c r="U183" s="4">
        <v>14</v>
      </c>
      <c r="V183" s="5">
        <f>Q183*3+R183*1</f>
        <v>80</v>
      </c>
    </row>
    <row r="184" spans="9:22" x14ac:dyDescent="0.25">
      <c r="K184" s="30"/>
      <c r="L184" s="30"/>
      <c r="N184" s="4">
        <v>2</v>
      </c>
      <c r="O184" s="2" t="s">
        <v>32</v>
      </c>
      <c r="P184" s="4">
        <v>30</v>
      </c>
      <c r="Q184" s="4">
        <v>26</v>
      </c>
      <c r="R184" s="4">
        <v>2</v>
      </c>
      <c r="S184" s="4">
        <f t="shared" ref="S184:S198" si="31">P184-Q184-R184</f>
        <v>2</v>
      </c>
      <c r="T184" s="4">
        <v>137</v>
      </c>
      <c r="U184" s="4">
        <v>16</v>
      </c>
      <c r="V184" s="5">
        <f t="shared" ref="V184:V198" si="32">Q184*3+R184*1</f>
        <v>80</v>
      </c>
    </row>
    <row r="185" spans="9:22" x14ac:dyDescent="0.25">
      <c r="K185" s="30"/>
      <c r="L185" s="30"/>
      <c r="N185" s="4">
        <v>3</v>
      </c>
      <c r="O185" s="2" t="s">
        <v>33</v>
      </c>
      <c r="P185" s="4">
        <v>30</v>
      </c>
      <c r="Q185" s="4">
        <v>23</v>
      </c>
      <c r="R185" s="4">
        <v>3</v>
      </c>
      <c r="S185" s="4">
        <f t="shared" si="31"/>
        <v>4</v>
      </c>
      <c r="T185" s="4">
        <v>136</v>
      </c>
      <c r="U185" s="4">
        <v>23</v>
      </c>
      <c r="V185" s="5">
        <f t="shared" si="32"/>
        <v>72</v>
      </c>
    </row>
    <row r="186" spans="9:22" x14ac:dyDescent="0.25">
      <c r="K186" s="30"/>
      <c r="L186" s="30"/>
      <c r="N186" s="4">
        <v>4</v>
      </c>
      <c r="O186" s="2" t="s">
        <v>43</v>
      </c>
      <c r="P186" s="4">
        <v>30</v>
      </c>
      <c r="Q186" s="4">
        <v>20</v>
      </c>
      <c r="R186" s="4">
        <v>7</v>
      </c>
      <c r="S186" s="4">
        <f t="shared" si="31"/>
        <v>3</v>
      </c>
      <c r="T186" s="4">
        <v>115</v>
      </c>
      <c r="U186" s="4">
        <v>20</v>
      </c>
      <c r="V186" s="5">
        <f t="shared" si="32"/>
        <v>67</v>
      </c>
    </row>
    <row r="187" spans="9:22" x14ac:dyDescent="0.25">
      <c r="K187" s="30"/>
      <c r="L187" s="30"/>
      <c r="N187" s="4">
        <v>5</v>
      </c>
      <c r="O187" s="2" t="s">
        <v>51</v>
      </c>
      <c r="P187" s="4">
        <v>30</v>
      </c>
      <c r="Q187" s="4">
        <v>18</v>
      </c>
      <c r="R187" s="4">
        <v>3</v>
      </c>
      <c r="S187" s="4">
        <f t="shared" si="31"/>
        <v>9</v>
      </c>
      <c r="T187" s="4">
        <v>73</v>
      </c>
      <c r="U187" s="4">
        <v>34</v>
      </c>
      <c r="V187" s="5">
        <f t="shared" si="32"/>
        <v>57</v>
      </c>
    </row>
    <row r="188" spans="9:22" x14ac:dyDescent="0.25">
      <c r="K188" s="30"/>
      <c r="L188" s="30"/>
      <c r="N188" s="4">
        <v>6</v>
      </c>
      <c r="O188" s="2" t="s">
        <v>58</v>
      </c>
      <c r="P188" s="4">
        <v>30</v>
      </c>
      <c r="Q188" s="4">
        <v>14</v>
      </c>
      <c r="R188" s="4">
        <v>7</v>
      </c>
      <c r="S188" s="4">
        <f t="shared" si="31"/>
        <v>9</v>
      </c>
      <c r="T188" s="4">
        <v>69</v>
      </c>
      <c r="U188" s="4">
        <v>46</v>
      </c>
      <c r="V188" s="5">
        <f t="shared" si="32"/>
        <v>49</v>
      </c>
    </row>
    <row r="189" spans="9:22" x14ac:dyDescent="0.25">
      <c r="K189" s="30"/>
      <c r="L189" s="30"/>
      <c r="N189" s="4">
        <v>7</v>
      </c>
      <c r="O189" s="2" t="s">
        <v>61</v>
      </c>
      <c r="P189" s="4">
        <v>30</v>
      </c>
      <c r="Q189" s="4">
        <v>14</v>
      </c>
      <c r="R189" s="4">
        <v>5</v>
      </c>
      <c r="S189" s="4">
        <f t="shared" si="31"/>
        <v>11</v>
      </c>
      <c r="T189" s="4">
        <v>50</v>
      </c>
      <c r="U189" s="4">
        <v>63</v>
      </c>
      <c r="V189" s="5">
        <f t="shared" si="32"/>
        <v>47</v>
      </c>
    </row>
    <row r="190" spans="9:22" x14ac:dyDescent="0.25">
      <c r="K190" s="30"/>
      <c r="L190" s="30"/>
      <c r="N190" s="4">
        <v>8</v>
      </c>
      <c r="O190" s="2" t="s">
        <v>55</v>
      </c>
      <c r="P190" s="4">
        <v>30</v>
      </c>
      <c r="Q190" s="4">
        <v>14</v>
      </c>
      <c r="R190" s="4">
        <v>2</v>
      </c>
      <c r="S190" s="4">
        <f t="shared" si="31"/>
        <v>14</v>
      </c>
      <c r="T190" s="4">
        <v>56</v>
      </c>
      <c r="U190" s="4">
        <v>57</v>
      </c>
      <c r="V190" s="5">
        <f t="shared" si="32"/>
        <v>44</v>
      </c>
    </row>
    <row r="191" spans="9:22" x14ac:dyDescent="0.25">
      <c r="K191" s="30"/>
      <c r="L191" s="30"/>
      <c r="N191" s="4">
        <v>9</v>
      </c>
      <c r="O191" s="2" t="s">
        <v>50</v>
      </c>
      <c r="P191" s="4">
        <v>30</v>
      </c>
      <c r="Q191" s="4">
        <v>12</v>
      </c>
      <c r="R191" s="4">
        <v>4</v>
      </c>
      <c r="S191" s="4">
        <f t="shared" si="31"/>
        <v>14</v>
      </c>
      <c r="T191" s="4">
        <v>57</v>
      </c>
      <c r="U191" s="4">
        <v>48</v>
      </c>
      <c r="V191" s="5">
        <f t="shared" si="32"/>
        <v>40</v>
      </c>
    </row>
    <row r="192" spans="9:22" x14ac:dyDescent="0.25">
      <c r="K192" s="30"/>
      <c r="L192" s="30"/>
      <c r="N192" s="4">
        <v>10</v>
      </c>
      <c r="O192" s="2" t="s">
        <v>64</v>
      </c>
      <c r="P192" s="4">
        <v>30</v>
      </c>
      <c r="Q192" s="4">
        <v>11</v>
      </c>
      <c r="R192" s="4">
        <v>2</v>
      </c>
      <c r="S192" s="4">
        <f t="shared" si="31"/>
        <v>17</v>
      </c>
      <c r="T192" s="4">
        <v>47</v>
      </c>
      <c r="U192" s="4">
        <v>55</v>
      </c>
      <c r="V192" s="5">
        <f t="shared" si="32"/>
        <v>35</v>
      </c>
    </row>
    <row r="193" spans="9:22" x14ac:dyDescent="0.25">
      <c r="K193" s="30"/>
      <c r="L193" s="30"/>
      <c r="N193" s="4">
        <v>11</v>
      </c>
      <c r="O193" s="2" t="s">
        <v>65</v>
      </c>
      <c r="P193" s="4">
        <v>30</v>
      </c>
      <c r="Q193" s="4">
        <v>9</v>
      </c>
      <c r="R193" s="4">
        <v>5</v>
      </c>
      <c r="S193" s="4">
        <f t="shared" si="31"/>
        <v>16</v>
      </c>
      <c r="T193" s="4">
        <v>50</v>
      </c>
      <c r="U193" s="4">
        <v>60</v>
      </c>
      <c r="V193" s="5">
        <f t="shared" si="32"/>
        <v>32</v>
      </c>
    </row>
    <row r="194" spans="9:22" x14ac:dyDescent="0.25">
      <c r="K194" s="30"/>
      <c r="L194" s="30"/>
      <c r="N194" s="4">
        <v>12</v>
      </c>
      <c r="O194" s="2" t="s">
        <v>53</v>
      </c>
      <c r="P194" s="4">
        <v>30</v>
      </c>
      <c r="Q194" s="4">
        <v>7</v>
      </c>
      <c r="R194" s="4">
        <v>5</v>
      </c>
      <c r="S194" s="4">
        <f t="shared" si="31"/>
        <v>18</v>
      </c>
      <c r="T194" s="4">
        <v>33</v>
      </c>
      <c r="U194" s="4">
        <v>53</v>
      </c>
      <c r="V194" s="5">
        <f t="shared" si="32"/>
        <v>26</v>
      </c>
    </row>
    <row r="195" spans="9:22" x14ac:dyDescent="0.25">
      <c r="K195" s="30"/>
      <c r="L195" s="30"/>
      <c r="N195" s="4">
        <v>13</v>
      </c>
      <c r="O195" s="2" t="s">
        <v>56</v>
      </c>
      <c r="P195" s="4">
        <v>30</v>
      </c>
      <c r="Q195" s="4">
        <v>7</v>
      </c>
      <c r="R195" s="4">
        <v>5</v>
      </c>
      <c r="S195" s="4">
        <f t="shared" si="31"/>
        <v>18</v>
      </c>
      <c r="T195" s="4">
        <v>42</v>
      </c>
      <c r="U195" s="4">
        <v>75</v>
      </c>
      <c r="V195" s="5">
        <f t="shared" si="32"/>
        <v>26</v>
      </c>
    </row>
    <row r="196" spans="9:22" x14ac:dyDescent="0.25">
      <c r="K196" s="30"/>
      <c r="L196" s="30"/>
      <c r="N196" s="4">
        <v>14</v>
      </c>
      <c r="O196" s="2" t="s">
        <v>52</v>
      </c>
      <c r="P196" s="4">
        <v>30</v>
      </c>
      <c r="Q196" s="4">
        <v>6</v>
      </c>
      <c r="R196" s="4">
        <v>5</v>
      </c>
      <c r="S196" s="4">
        <f t="shared" si="31"/>
        <v>19</v>
      </c>
      <c r="T196" s="4">
        <v>45</v>
      </c>
      <c r="U196" s="4">
        <v>74</v>
      </c>
      <c r="V196" s="5">
        <f t="shared" si="32"/>
        <v>23</v>
      </c>
    </row>
    <row r="197" spans="9:22" x14ac:dyDescent="0.25">
      <c r="K197" s="30"/>
      <c r="L197" s="30"/>
      <c r="N197" s="4">
        <v>15</v>
      </c>
      <c r="O197" s="4" t="s">
        <v>34</v>
      </c>
      <c r="P197" s="4">
        <v>28</v>
      </c>
      <c r="Q197" s="4">
        <v>1</v>
      </c>
      <c r="R197" s="4">
        <v>0</v>
      </c>
      <c r="S197" s="4">
        <f t="shared" si="31"/>
        <v>27</v>
      </c>
      <c r="T197" s="4">
        <v>3</v>
      </c>
      <c r="U197" s="4">
        <v>303</v>
      </c>
      <c r="V197" s="5">
        <f t="shared" si="32"/>
        <v>3</v>
      </c>
    </row>
    <row r="198" spans="9:22" x14ac:dyDescent="0.25">
      <c r="K198" s="30"/>
      <c r="L198" s="30"/>
      <c r="N198" s="4">
        <v>16</v>
      </c>
      <c r="O198" s="4" t="s">
        <v>34</v>
      </c>
      <c r="P198" s="4">
        <v>0</v>
      </c>
      <c r="Q198" s="4">
        <v>0</v>
      </c>
      <c r="R198" s="4">
        <v>0</v>
      </c>
      <c r="S198" s="4">
        <f t="shared" si="31"/>
        <v>0</v>
      </c>
      <c r="T198" s="4">
        <v>0</v>
      </c>
      <c r="U198" s="4">
        <v>0</v>
      </c>
      <c r="V198" s="5">
        <f t="shared" si="32"/>
        <v>0</v>
      </c>
    </row>
    <row r="199" spans="9:22" x14ac:dyDescent="0.25">
      <c r="K199" s="30"/>
      <c r="L199" s="30"/>
      <c r="N199" s="4"/>
      <c r="O199" s="4"/>
      <c r="P199" s="4"/>
      <c r="Q199" s="4"/>
      <c r="R199" s="4"/>
      <c r="S199" s="4"/>
      <c r="T199" s="4"/>
      <c r="U199" s="4"/>
      <c r="V199" s="4"/>
    </row>
    <row r="200" spans="9:22" x14ac:dyDescent="0.25">
      <c r="K200" s="30"/>
      <c r="L200" s="30"/>
      <c r="N200" s="38" t="s">
        <v>60</v>
      </c>
      <c r="O200" s="38"/>
      <c r="P200" s="38"/>
      <c r="Q200" s="38"/>
      <c r="R200" s="38"/>
      <c r="S200" s="38"/>
      <c r="T200" s="38"/>
      <c r="U200" s="38"/>
      <c r="V200" s="38"/>
    </row>
    <row r="201" spans="9:22" x14ac:dyDescent="0.25">
      <c r="I201" s="30"/>
      <c r="J201" s="30"/>
      <c r="K201" s="30"/>
      <c r="L201" s="30"/>
      <c r="N201" s="4">
        <v>1</v>
      </c>
      <c r="O201" s="2" t="s">
        <v>33</v>
      </c>
      <c r="P201" s="4">
        <v>30</v>
      </c>
      <c r="Q201" s="4">
        <v>28</v>
      </c>
      <c r="R201" s="4">
        <v>1</v>
      </c>
      <c r="S201" s="4">
        <f>P201-Q201-R201</f>
        <v>1</v>
      </c>
      <c r="T201" s="4">
        <v>121</v>
      </c>
      <c r="U201" s="4">
        <v>13</v>
      </c>
      <c r="V201" s="5">
        <f>Q201*3+R201*1</f>
        <v>85</v>
      </c>
    </row>
    <row r="202" spans="9:22" x14ac:dyDescent="0.25">
      <c r="K202" s="30"/>
      <c r="L202" s="30"/>
      <c r="N202" s="4">
        <v>2</v>
      </c>
      <c r="O202" s="2" t="s">
        <v>18</v>
      </c>
      <c r="P202" s="4">
        <v>30</v>
      </c>
      <c r="Q202" s="4">
        <v>25</v>
      </c>
      <c r="R202" s="4">
        <v>3</v>
      </c>
      <c r="S202" s="4">
        <f t="shared" ref="S202:S216" si="33">P202-Q202-R202</f>
        <v>2</v>
      </c>
      <c r="T202" s="4">
        <v>128</v>
      </c>
      <c r="U202" s="4">
        <v>20</v>
      </c>
      <c r="V202" s="5">
        <f t="shared" ref="V202:V216" si="34">Q202*3+R202*1</f>
        <v>78</v>
      </c>
    </row>
    <row r="203" spans="9:22" x14ac:dyDescent="0.25">
      <c r="K203" s="30"/>
      <c r="L203" s="30"/>
      <c r="N203" s="4">
        <v>3</v>
      </c>
      <c r="O203" s="2" t="s">
        <v>32</v>
      </c>
      <c r="P203" s="4">
        <v>30</v>
      </c>
      <c r="Q203" s="4">
        <v>23</v>
      </c>
      <c r="R203" s="4">
        <v>2</v>
      </c>
      <c r="S203" s="4">
        <f t="shared" si="33"/>
        <v>5</v>
      </c>
      <c r="T203" s="4">
        <v>105</v>
      </c>
      <c r="U203" s="4">
        <v>23</v>
      </c>
      <c r="V203" s="5">
        <f t="shared" si="34"/>
        <v>71</v>
      </c>
    </row>
    <row r="204" spans="9:22" x14ac:dyDescent="0.25">
      <c r="K204" s="30"/>
      <c r="L204" s="30"/>
      <c r="N204" s="4">
        <v>4</v>
      </c>
      <c r="O204" s="2" t="s">
        <v>24</v>
      </c>
      <c r="P204" s="4">
        <v>30</v>
      </c>
      <c r="Q204" s="4">
        <v>20</v>
      </c>
      <c r="R204" s="4">
        <v>3</v>
      </c>
      <c r="S204" s="4">
        <f t="shared" si="33"/>
        <v>7</v>
      </c>
      <c r="T204" s="4">
        <v>112</v>
      </c>
      <c r="U204" s="4">
        <v>36</v>
      </c>
      <c r="V204" s="5">
        <f t="shared" si="34"/>
        <v>63</v>
      </c>
    </row>
    <row r="205" spans="9:22" x14ac:dyDescent="0.25">
      <c r="K205" s="30"/>
      <c r="L205" s="30"/>
      <c r="N205" s="4">
        <v>5</v>
      </c>
      <c r="O205" s="2" t="s">
        <v>51</v>
      </c>
      <c r="P205" s="4">
        <v>30</v>
      </c>
      <c r="Q205" s="4">
        <v>19</v>
      </c>
      <c r="R205" s="4">
        <v>4</v>
      </c>
      <c r="S205" s="4">
        <f t="shared" si="33"/>
        <v>7</v>
      </c>
      <c r="T205" s="4">
        <v>81</v>
      </c>
      <c r="U205" s="4">
        <v>34</v>
      </c>
      <c r="V205" s="5">
        <f t="shared" si="34"/>
        <v>61</v>
      </c>
    </row>
    <row r="206" spans="9:22" x14ac:dyDescent="0.25">
      <c r="K206" s="30"/>
      <c r="L206" s="30"/>
      <c r="N206" s="4">
        <v>6</v>
      </c>
      <c r="O206" s="2" t="s">
        <v>50</v>
      </c>
      <c r="P206" s="4">
        <v>30</v>
      </c>
      <c r="Q206" s="4">
        <v>17</v>
      </c>
      <c r="R206" s="4">
        <v>2</v>
      </c>
      <c r="S206" s="4">
        <f t="shared" si="33"/>
        <v>11</v>
      </c>
      <c r="T206" s="4">
        <v>70</v>
      </c>
      <c r="U206" s="4">
        <v>39</v>
      </c>
      <c r="V206" s="5">
        <f t="shared" si="34"/>
        <v>53</v>
      </c>
    </row>
    <row r="207" spans="9:22" x14ac:dyDescent="0.25">
      <c r="K207" s="30"/>
      <c r="L207" s="30"/>
      <c r="N207" s="4">
        <v>7</v>
      </c>
      <c r="O207" s="2" t="s">
        <v>43</v>
      </c>
      <c r="P207" s="4">
        <v>30</v>
      </c>
      <c r="Q207" s="4">
        <v>16</v>
      </c>
      <c r="R207" s="4">
        <v>3</v>
      </c>
      <c r="S207" s="4">
        <f t="shared" si="33"/>
        <v>11</v>
      </c>
      <c r="T207" s="4">
        <v>62</v>
      </c>
      <c r="U207" s="4">
        <v>34</v>
      </c>
      <c r="V207" s="5">
        <f t="shared" si="34"/>
        <v>51</v>
      </c>
    </row>
    <row r="208" spans="9:22" x14ac:dyDescent="0.25">
      <c r="K208" s="30"/>
      <c r="L208" s="30"/>
      <c r="N208" s="4">
        <v>8</v>
      </c>
      <c r="O208" s="2" t="s">
        <v>55</v>
      </c>
      <c r="P208" s="4">
        <v>30</v>
      </c>
      <c r="Q208" s="4">
        <v>13</v>
      </c>
      <c r="R208" s="4">
        <v>4</v>
      </c>
      <c r="S208" s="4">
        <f t="shared" si="33"/>
        <v>13</v>
      </c>
      <c r="T208" s="4">
        <v>56</v>
      </c>
      <c r="U208" s="4">
        <v>44</v>
      </c>
      <c r="V208" s="5">
        <f t="shared" si="34"/>
        <v>43</v>
      </c>
    </row>
    <row r="209" spans="9:22" x14ac:dyDescent="0.25">
      <c r="K209" s="30"/>
      <c r="L209" s="30"/>
      <c r="N209" s="4">
        <v>9</v>
      </c>
      <c r="O209" s="2" t="s">
        <v>53</v>
      </c>
      <c r="P209" s="4">
        <v>30</v>
      </c>
      <c r="Q209" s="4">
        <v>11</v>
      </c>
      <c r="R209" s="4">
        <v>6</v>
      </c>
      <c r="S209" s="4">
        <f t="shared" si="33"/>
        <v>13</v>
      </c>
      <c r="T209" s="4">
        <v>32</v>
      </c>
      <c r="U209" s="4">
        <v>48</v>
      </c>
      <c r="V209" s="5">
        <f t="shared" si="34"/>
        <v>39</v>
      </c>
    </row>
    <row r="210" spans="9:22" x14ac:dyDescent="0.25">
      <c r="K210" s="30"/>
      <c r="L210" s="30"/>
      <c r="N210" s="4">
        <v>10</v>
      </c>
      <c r="O210" s="2" t="s">
        <v>58</v>
      </c>
      <c r="P210" s="4">
        <v>30</v>
      </c>
      <c r="Q210" s="4">
        <v>9</v>
      </c>
      <c r="R210" s="4">
        <v>5</v>
      </c>
      <c r="S210" s="4">
        <f t="shared" si="33"/>
        <v>16</v>
      </c>
      <c r="T210" s="4">
        <v>42</v>
      </c>
      <c r="U210" s="4">
        <v>60</v>
      </c>
      <c r="V210" s="5">
        <f t="shared" si="34"/>
        <v>32</v>
      </c>
    </row>
    <row r="211" spans="9:22" x14ac:dyDescent="0.25">
      <c r="K211" s="30"/>
      <c r="L211" s="30"/>
      <c r="N211" s="4">
        <v>11</v>
      </c>
      <c r="O211" s="2" t="s">
        <v>56</v>
      </c>
      <c r="P211" s="4">
        <v>30</v>
      </c>
      <c r="Q211" s="4">
        <v>8</v>
      </c>
      <c r="R211" s="4">
        <v>3</v>
      </c>
      <c r="S211" s="4">
        <f t="shared" si="33"/>
        <v>19</v>
      </c>
      <c r="T211" s="4">
        <v>38</v>
      </c>
      <c r="U211" s="4">
        <v>77</v>
      </c>
      <c r="V211" s="5">
        <f t="shared" si="34"/>
        <v>27</v>
      </c>
    </row>
    <row r="212" spans="9:22" x14ac:dyDescent="0.25">
      <c r="K212" s="30"/>
      <c r="L212" s="30"/>
      <c r="N212" s="4">
        <v>12</v>
      </c>
      <c r="O212" s="2" t="s">
        <v>61</v>
      </c>
      <c r="P212" s="4">
        <v>30</v>
      </c>
      <c r="Q212" s="4">
        <v>6</v>
      </c>
      <c r="R212" s="4">
        <v>6</v>
      </c>
      <c r="S212" s="4">
        <f t="shared" si="33"/>
        <v>18</v>
      </c>
      <c r="T212" s="4">
        <v>36</v>
      </c>
      <c r="U212" s="4">
        <v>82</v>
      </c>
      <c r="V212" s="5">
        <f t="shared" si="34"/>
        <v>24</v>
      </c>
    </row>
    <row r="213" spans="9:22" x14ac:dyDescent="0.25">
      <c r="K213" s="30"/>
      <c r="L213" s="30"/>
      <c r="N213" s="4">
        <v>13</v>
      </c>
      <c r="O213" s="2" t="s">
        <v>52</v>
      </c>
      <c r="P213" s="4">
        <v>30</v>
      </c>
      <c r="Q213" s="4">
        <v>5</v>
      </c>
      <c r="R213" s="4">
        <v>3</v>
      </c>
      <c r="S213" s="4">
        <f t="shared" si="33"/>
        <v>22</v>
      </c>
      <c r="T213" s="4">
        <v>23</v>
      </c>
      <c r="U213" s="4">
        <v>96</v>
      </c>
      <c r="V213" s="5">
        <f t="shared" si="34"/>
        <v>18</v>
      </c>
    </row>
    <row r="214" spans="9:22" x14ac:dyDescent="0.25">
      <c r="K214" s="30"/>
      <c r="L214" s="30"/>
      <c r="N214" s="4">
        <v>14</v>
      </c>
      <c r="O214" s="2" t="s">
        <v>59</v>
      </c>
      <c r="P214" s="4">
        <v>30</v>
      </c>
      <c r="Q214" s="4">
        <v>4</v>
      </c>
      <c r="R214" s="4">
        <v>5</v>
      </c>
      <c r="S214" s="4">
        <f t="shared" si="33"/>
        <v>21</v>
      </c>
      <c r="T214" s="4">
        <v>16</v>
      </c>
      <c r="U214" s="4">
        <v>83</v>
      </c>
      <c r="V214" s="5">
        <f t="shared" si="34"/>
        <v>17</v>
      </c>
    </row>
    <row r="215" spans="9:22" x14ac:dyDescent="0.25">
      <c r="K215" s="30"/>
      <c r="L215" s="30"/>
      <c r="N215" s="4">
        <v>15</v>
      </c>
      <c r="O215" s="2" t="s">
        <v>62</v>
      </c>
      <c r="P215" s="4">
        <v>30</v>
      </c>
      <c r="Q215" s="4">
        <v>5</v>
      </c>
      <c r="R215" s="4">
        <v>1</v>
      </c>
      <c r="S215" s="4">
        <f t="shared" si="33"/>
        <v>24</v>
      </c>
      <c r="T215" s="4">
        <v>22</v>
      </c>
      <c r="U215" s="4">
        <v>72</v>
      </c>
      <c r="V215" s="5">
        <f t="shared" si="34"/>
        <v>16</v>
      </c>
    </row>
    <row r="216" spans="9:22" x14ac:dyDescent="0.25">
      <c r="K216" s="30"/>
      <c r="L216" s="30"/>
      <c r="N216" s="4">
        <v>16</v>
      </c>
      <c r="O216" s="4" t="s">
        <v>34</v>
      </c>
      <c r="P216" s="4">
        <v>18</v>
      </c>
      <c r="Q216" s="4">
        <v>0</v>
      </c>
      <c r="R216" s="4">
        <v>0</v>
      </c>
      <c r="S216" s="4">
        <f t="shared" si="33"/>
        <v>18</v>
      </c>
      <c r="T216" s="4">
        <v>0</v>
      </c>
      <c r="U216" s="4">
        <v>183</v>
      </c>
      <c r="V216" s="5">
        <f t="shared" si="34"/>
        <v>0</v>
      </c>
    </row>
    <row r="217" spans="9:22" x14ac:dyDescent="0.25">
      <c r="K217" s="30"/>
      <c r="L217" s="30"/>
      <c r="N217" s="4"/>
      <c r="O217" s="4"/>
      <c r="P217" s="4"/>
      <c r="Q217" s="4"/>
      <c r="R217" s="4"/>
      <c r="S217" s="4"/>
      <c r="T217" s="4"/>
      <c r="U217" s="4"/>
      <c r="V217" s="4"/>
    </row>
    <row r="218" spans="9:22" x14ac:dyDescent="0.25">
      <c r="K218" s="30"/>
      <c r="L218" s="30"/>
      <c r="N218" s="38" t="s">
        <v>57</v>
      </c>
      <c r="O218" s="38"/>
      <c r="P218" s="38"/>
      <c r="Q218" s="38"/>
      <c r="R218" s="38"/>
      <c r="S218" s="38"/>
      <c r="T218" s="38"/>
      <c r="U218" s="38"/>
      <c r="V218" s="38"/>
    </row>
    <row r="219" spans="9:22" x14ac:dyDescent="0.25">
      <c r="I219" s="30"/>
      <c r="J219" s="30"/>
      <c r="K219" s="30"/>
      <c r="L219" s="30"/>
      <c r="N219" s="4">
        <v>1</v>
      </c>
      <c r="O219" s="2" t="s">
        <v>18</v>
      </c>
      <c r="P219" s="4">
        <v>30</v>
      </c>
      <c r="Q219" s="4">
        <v>23</v>
      </c>
      <c r="R219" s="4">
        <v>4</v>
      </c>
      <c r="S219" s="4">
        <f>P219-Q219-R219</f>
        <v>3</v>
      </c>
      <c r="T219" s="4">
        <v>144</v>
      </c>
      <c r="U219" s="4">
        <v>23</v>
      </c>
      <c r="V219" s="5">
        <f>Q219*3+R219*1</f>
        <v>73</v>
      </c>
    </row>
    <row r="220" spans="9:22" x14ac:dyDescent="0.25">
      <c r="K220" s="30"/>
      <c r="L220" s="30"/>
      <c r="N220" s="4">
        <v>2</v>
      </c>
      <c r="O220" s="2" t="s">
        <v>33</v>
      </c>
      <c r="P220" s="4">
        <v>30</v>
      </c>
      <c r="Q220" s="4">
        <v>22</v>
      </c>
      <c r="R220" s="4">
        <v>5</v>
      </c>
      <c r="S220" s="4">
        <f t="shared" ref="S220:S234" si="35">P220-Q220-R220</f>
        <v>3</v>
      </c>
      <c r="T220" s="4">
        <v>107</v>
      </c>
      <c r="U220" s="4">
        <v>19</v>
      </c>
      <c r="V220" s="5">
        <f t="shared" ref="V220:V234" si="36">Q220*3+R220*1</f>
        <v>71</v>
      </c>
    </row>
    <row r="221" spans="9:22" x14ac:dyDescent="0.25">
      <c r="K221" s="30"/>
      <c r="L221" s="30"/>
      <c r="N221" s="4">
        <v>3</v>
      </c>
      <c r="O221" s="2" t="s">
        <v>32</v>
      </c>
      <c r="P221" s="4">
        <v>30</v>
      </c>
      <c r="Q221" s="4">
        <v>20</v>
      </c>
      <c r="R221" s="4">
        <v>9</v>
      </c>
      <c r="S221" s="4">
        <f t="shared" si="35"/>
        <v>1</v>
      </c>
      <c r="T221" s="4">
        <v>121</v>
      </c>
      <c r="U221" s="4">
        <v>19</v>
      </c>
      <c r="V221" s="5">
        <f t="shared" si="36"/>
        <v>69</v>
      </c>
    </row>
    <row r="222" spans="9:22" x14ac:dyDescent="0.25">
      <c r="K222" s="30"/>
      <c r="L222" s="30"/>
      <c r="N222" s="4">
        <v>4</v>
      </c>
      <c r="O222" s="2" t="s">
        <v>27</v>
      </c>
      <c r="P222" s="4">
        <v>30</v>
      </c>
      <c r="Q222" s="4">
        <v>19</v>
      </c>
      <c r="R222" s="4">
        <v>4</v>
      </c>
      <c r="S222" s="4">
        <f t="shared" si="35"/>
        <v>7</v>
      </c>
      <c r="T222" s="4">
        <v>77</v>
      </c>
      <c r="U222" s="4">
        <v>30</v>
      </c>
      <c r="V222" s="5">
        <f t="shared" si="36"/>
        <v>61</v>
      </c>
    </row>
    <row r="223" spans="9:22" x14ac:dyDescent="0.25">
      <c r="K223" s="30"/>
      <c r="L223" s="30"/>
      <c r="N223" s="4">
        <v>5</v>
      </c>
      <c r="O223" s="2" t="s">
        <v>51</v>
      </c>
      <c r="P223" s="4">
        <v>30</v>
      </c>
      <c r="Q223" s="4">
        <v>17</v>
      </c>
      <c r="R223" s="4">
        <v>7</v>
      </c>
      <c r="S223" s="4">
        <f t="shared" si="35"/>
        <v>6</v>
      </c>
      <c r="T223" s="4">
        <v>69</v>
      </c>
      <c r="U223" s="4">
        <v>31</v>
      </c>
      <c r="V223" s="5">
        <f t="shared" si="36"/>
        <v>58</v>
      </c>
    </row>
    <row r="224" spans="9:22" x14ac:dyDescent="0.25">
      <c r="K224" s="30"/>
      <c r="L224" s="30"/>
      <c r="N224" s="4">
        <v>6</v>
      </c>
      <c r="O224" s="2" t="s">
        <v>43</v>
      </c>
      <c r="P224" s="4">
        <v>30</v>
      </c>
      <c r="Q224" s="4">
        <v>16</v>
      </c>
      <c r="R224" s="4">
        <v>8</v>
      </c>
      <c r="S224" s="4">
        <f t="shared" si="35"/>
        <v>6</v>
      </c>
      <c r="T224" s="4">
        <v>78</v>
      </c>
      <c r="U224" s="4">
        <v>30</v>
      </c>
      <c r="V224" s="5">
        <f t="shared" si="36"/>
        <v>56</v>
      </c>
    </row>
    <row r="225" spans="9:22" x14ac:dyDescent="0.25">
      <c r="K225" s="30"/>
      <c r="L225" s="30"/>
      <c r="N225" s="4">
        <v>7</v>
      </c>
      <c r="O225" s="2" t="s">
        <v>50</v>
      </c>
      <c r="P225" s="4">
        <v>30</v>
      </c>
      <c r="Q225" s="4">
        <v>14</v>
      </c>
      <c r="R225" s="4">
        <v>6</v>
      </c>
      <c r="S225" s="4">
        <f t="shared" si="35"/>
        <v>10</v>
      </c>
      <c r="T225" s="4">
        <v>62</v>
      </c>
      <c r="U225" s="4">
        <v>44</v>
      </c>
      <c r="V225" s="5">
        <f t="shared" si="36"/>
        <v>48</v>
      </c>
    </row>
    <row r="226" spans="9:22" x14ac:dyDescent="0.25">
      <c r="K226" s="30"/>
      <c r="L226" s="30"/>
      <c r="N226" s="4">
        <v>8</v>
      </c>
      <c r="O226" s="2" t="s">
        <v>24</v>
      </c>
      <c r="P226" s="4">
        <v>30</v>
      </c>
      <c r="Q226" s="4">
        <v>14</v>
      </c>
      <c r="R226" s="4">
        <v>5</v>
      </c>
      <c r="S226" s="4">
        <f t="shared" si="35"/>
        <v>11</v>
      </c>
      <c r="T226" s="4">
        <v>94</v>
      </c>
      <c r="U226" s="4">
        <v>43</v>
      </c>
      <c r="V226" s="5">
        <f t="shared" si="36"/>
        <v>47</v>
      </c>
    </row>
    <row r="227" spans="9:22" x14ac:dyDescent="0.25">
      <c r="K227" s="30"/>
      <c r="L227" s="30"/>
      <c r="N227" s="4">
        <v>9</v>
      </c>
      <c r="O227" s="2" t="s">
        <v>55</v>
      </c>
      <c r="P227" s="4">
        <v>30</v>
      </c>
      <c r="Q227" s="4">
        <v>13</v>
      </c>
      <c r="R227" s="4">
        <v>8</v>
      </c>
      <c r="S227" s="4">
        <f t="shared" si="35"/>
        <v>9</v>
      </c>
      <c r="T227" s="4">
        <v>58</v>
      </c>
      <c r="U227" s="4">
        <v>40</v>
      </c>
      <c r="V227" s="5">
        <f t="shared" si="36"/>
        <v>47</v>
      </c>
    </row>
    <row r="228" spans="9:22" x14ac:dyDescent="0.25">
      <c r="K228" s="30"/>
      <c r="L228" s="30"/>
      <c r="N228" s="4">
        <v>10</v>
      </c>
      <c r="O228" s="2" t="s">
        <v>58</v>
      </c>
      <c r="P228" s="4">
        <v>30</v>
      </c>
      <c r="Q228" s="4">
        <v>9</v>
      </c>
      <c r="R228" s="4">
        <v>7</v>
      </c>
      <c r="S228" s="4">
        <f t="shared" si="35"/>
        <v>14</v>
      </c>
      <c r="T228" s="4">
        <v>67</v>
      </c>
      <c r="U228" s="4">
        <v>61</v>
      </c>
      <c r="V228" s="5">
        <f t="shared" si="36"/>
        <v>34</v>
      </c>
    </row>
    <row r="229" spans="9:22" x14ac:dyDescent="0.25">
      <c r="K229" s="30"/>
      <c r="L229" s="30"/>
      <c r="N229" s="4">
        <v>11</v>
      </c>
      <c r="O229" s="2" t="s">
        <v>53</v>
      </c>
      <c r="P229" s="4">
        <v>30</v>
      </c>
      <c r="Q229" s="4">
        <v>10</v>
      </c>
      <c r="R229" s="4">
        <v>4</v>
      </c>
      <c r="S229" s="4">
        <f t="shared" si="35"/>
        <v>16</v>
      </c>
      <c r="T229" s="4">
        <v>44</v>
      </c>
      <c r="U229" s="4">
        <v>58</v>
      </c>
      <c r="V229" s="5">
        <f t="shared" si="36"/>
        <v>34</v>
      </c>
    </row>
    <row r="230" spans="9:22" x14ac:dyDescent="0.25">
      <c r="K230" s="30"/>
      <c r="L230" s="30"/>
      <c r="N230" s="4">
        <v>12</v>
      </c>
      <c r="O230" s="2" t="s">
        <v>56</v>
      </c>
      <c r="P230" s="4">
        <v>30</v>
      </c>
      <c r="Q230" s="4">
        <v>9</v>
      </c>
      <c r="R230" s="4">
        <v>4</v>
      </c>
      <c r="S230" s="4">
        <f t="shared" si="35"/>
        <v>17</v>
      </c>
      <c r="T230" s="4">
        <v>51</v>
      </c>
      <c r="U230" s="4">
        <v>70</v>
      </c>
      <c r="V230" s="5">
        <f t="shared" si="36"/>
        <v>31</v>
      </c>
    </row>
    <row r="231" spans="9:22" x14ac:dyDescent="0.25">
      <c r="K231" s="30"/>
      <c r="L231" s="30"/>
      <c r="N231" s="4">
        <v>13</v>
      </c>
      <c r="O231" s="2" t="s">
        <v>59</v>
      </c>
      <c r="P231" s="4">
        <v>30</v>
      </c>
      <c r="Q231" s="4">
        <v>6</v>
      </c>
      <c r="R231" s="4">
        <v>3</v>
      </c>
      <c r="S231" s="4">
        <f t="shared" si="35"/>
        <v>21</v>
      </c>
      <c r="T231" s="4">
        <v>27</v>
      </c>
      <c r="U231" s="4">
        <v>69</v>
      </c>
      <c r="V231" s="5">
        <f t="shared" si="36"/>
        <v>21</v>
      </c>
    </row>
    <row r="232" spans="9:22" x14ac:dyDescent="0.25">
      <c r="K232" s="30"/>
      <c r="L232" s="30"/>
      <c r="N232" s="4">
        <v>14</v>
      </c>
      <c r="O232" s="2" t="s">
        <v>52</v>
      </c>
      <c r="P232" s="4">
        <v>30</v>
      </c>
      <c r="Q232" s="4">
        <v>4</v>
      </c>
      <c r="R232" s="4">
        <v>2</v>
      </c>
      <c r="S232" s="4">
        <f t="shared" si="35"/>
        <v>24</v>
      </c>
      <c r="T232" s="4">
        <v>33</v>
      </c>
      <c r="U232" s="4">
        <v>84</v>
      </c>
      <c r="V232" s="5">
        <f t="shared" si="36"/>
        <v>14</v>
      </c>
    </row>
    <row r="233" spans="9:22" x14ac:dyDescent="0.25">
      <c r="K233" s="30"/>
      <c r="L233" s="30"/>
      <c r="N233" s="4">
        <v>15</v>
      </c>
      <c r="O233" s="4" t="s">
        <v>34</v>
      </c>
      <c r="P233" s="4">
        <v>8</v>
      </c>
      <c r="Q233" s="4">
        <v>0</v>
      </c>
      <c r="R233" s="4">
        <v>0</v>
      </c>
      <c r="S233" s="4">
        <f t="shared" si="35"/>
        <v>8</v>
      </c>
      <c r="T233" s="4">
        <v>0</v>
      </c>
      <c r="U233" s="4">
        <v>92</v>
      </c>
      <c r="V233" s="5">
        <f t="shared" si="36"/>
        <v>0</v>
      </c>
    </row>
    <row r="234" spans="9:22" x14ac:dyDescent="0.25">
      <c r="K234" s="30"/>
      <c r="L234" s="30"/>
      <c r="N234" s="4">
        <v>16</v>
      </c>
      <c r="O234" s="4" t="s">
        <v>34</v>
      </c>
      <c r="P234" s="4">
        <v>24</v>
      </c>
      <c r="Q234" s="4">
        <v>0</v>
      </c>
      <c r="R234" s="4">
        <v>0</v>
      </c>
      <c r="S234" s="4">
        <f t="shared" si="35"/>
        <v>24</v>
      </c>
      <c r="T234" s="4">
        <v>0</v>
      </c>
      <c r="U234" s="4">
        <v>271</v>
      </c>
      <c r="V234" s="5">
        <f t="shared" si="36"/>
        <v>0</v>
      </c>
    </row>
    <row r="235" spans="9:22" x14ac:dyDescent="0.25">
      <c r="K235" s="30"/>
      <c r="L235" s="30"/>
      <c r="N235" s="4"/>
      <c r="O235" s="4"/>
      <c r="P235" s="4"/>
      <c r="Q235" s="4"/>
      <c r="R235" s="4"/>
      <c r="S235" s="4"/>
      <c r="T235" s="4"/>
      <c r="U235" s="4"/>
      <c r="V235" s="4"/>
    </row>
    <row r="236" spans="9:22" x14ac:dyDescent="0.25">
      <c r="K236" s="30"/>
      <c r="L236" s="30"/>
      <c r="N236" s="38" t="s">
        <v>54</v>
      </c>
      <c r="O236" s="38"/>
      <c r="P236" s="38"/>
      <c r="Q236" s="38"/>
      <c r="R236" s="38"/>
      <c r="S236" s="38"/>
      <c r="T236" s="38"/>
      <c r="U236" s="38"/>
      <c r="V236" s="38"/>
    </row>
    <row r="237" spans="9:22" x14ac:dyDescent="0.25">
      <c r="I237" s="30"/>
      <c r="J237" s="30"/>
      <c r="K237" s="30"/>
      <c r="L237" s="30"/>
      <c r="N237" s="4">
        <v>1</v>
      </c>
      <c r="O237" s="2" t="s">
        <v>18</v>
      </c>
      <c r="P237" s="4">
        <v>30</v>
      </c>
      <c r="Q237" s="4">
        <v>27</v>
      </c>
      <c r="R237" s="4">
        <v>1</v>
      </c>
      <c r="S237" s="4">
        <f>P237-Q237-R237</f>
        <v>2</v>
      </c>
      <c r="T237" s="4">
        <v>163</v>
      </c>
      <c r="U237" s="4">
        <v>16</v>
      </c>
      <c r="V237" s="5">
        <f>Q237*3+R237*1</f>
        <v>82</v>
      </c>
    </row>
    <row r="238" spans="9:22" x14ac:dyDescent="0.25">
      <c r="K238" s="30"/>
      <c r="L238" s="30"/>
      <c r="N238" s="4">
        <v>2</v>
      </c>
      <c r="O238" s="2" t="s">
        <v>43</v>
      </c>
      <c r="P238" s="4">
        <v>30</v>
      </c>
      <c r="Q238" s="4">
        <v>25</v>
      </c>
      <c r="R238" s="4">
        <v>2</v>
      </c>
      <c r="S238" s="4">
        <f t="shared" ref="S238:S252" si="37">P238-Q238-R238</f>
        <v>3</v>
      </c>
      <c r="T238" s="4">
        <v>108</v>
      </c>
      <c r="U238" s="4">
        <v>17</v>
      </c>
      <c r="V238" s="5">
        <f t="shared" ref="V238:V252" si="38">Q238*3+R238*1</f>
        <v>77</v>
      </c>
    </row>
    <row r="239" spans="9:22" x14ac:dyDescent="0.25">
      <c r="K239" s="30"/>
      <c r="L239" s="30"/>
      <c r="N239" s="4">
        <v>3</v>
      </c>
      <c r="O239" s="2" t="s">
        <v>32</v>
      </c>
      <c r="P239" s="4">
        <v>30</v>
      </c>
      <c r="Q239" s="4">
        <v>21</v>
      </c>
      <c r="R239" s="4">
        <v>7</v>
      </c>
      <c r="S239" s="4">
        <f t="shared" si="37"/>
        <v>2</v>
      </c>
      <c r="T239" s="4">
        <v>104</v>
      </c>
      <c r="U239" s="4">
        <v>17</v>
      </c>
      <c r="V239" s="5">
        <f t="shared" si="38"/>
        <v>70</v>
      </c>
    </row>
    <row r="240" spans="9:22" x14ac:dyDescent="0.25">
      <c r="K240" s="30"/>
      <c r="L240" s="30"/>
      <c r="N240" s="4">
        <v>4</v>
      </c>
      <c r="O240" s="2" t="s">
        <v>33</v>
      </c>
      <c r="P240" s="4">
        <v>30</v>
      </c>
      <c r="Q240" s="4">
        <v>18</v>
      </c>
      <c r="R240" s="4">
        <v>6</v>
      </c>
      <c r="S240" s="4">
        <f t="shared" si="37"/>
        <v>6</v>
      </c>
      <c r="T240" s="4">
        <v>105</v>
      </c>
      <c r="U240" s="4">
        <v>30</v>
      </c>
      <c r="V240" s="5">
        <f t="shared" si="38"/>
        <v>60</v>
      </c>
    </row>
    <row r="241" spans="9:22" x14ac:dyDescent="0.25">
      <c r="K241" s="30"/>
      <c r="L241" s="30"/>
      <c r="N241" s="4">
        <v>5</v>
      </c>
      <c r="O241" s="2" t="s">
        <v>27</v>
      </c>
      <c r="P241" s="4">
        <v>30</v>
      </c>
      <c r="Q241" s="4">
        <v>17</v>
      </c>
      <c r="R241" s="4">
        <v>7</v>
      </c>
      <c r="S241" s="4">
        <f t="shared" si="37"/>
        <v>6</v>
      </c>
      <c r="T241" s="4">
        <v>78</v>
      </c>
      <c r="U241" s="4">
        <v>18</v>
      </c>
      <c r="V241" s="5">
        <f t="shared" si="38"/>
        <v>58</v>
      </c>
    </row>
    <row r="242" spans="9:22" x14ac:dyDescent="0.25">
      <c r="K242" s="30"/>
      <c r="L242" s="30"/>
      <c r="N242" s="4">
        <v>6</v>
      </c>
      <c r="O242" s="2" t="s">
        <v>51</v>
      </c>
      <c r="P242" s="4">
        <v>30</v>
      </c>
      <c r="Q242" s="4">
        <v>17</v>
      </c>
      <c r="R242" s="4">
        <v>4</v>
      </c>
      <c r="S242" s="4">
        <f t="shared" si="37"/>
        <v>9</v>
      </c>
      <c r="T242" s="4">
        <v>82</v>
      </c>
      <c r="U242" s="4">
        <v>36</v>
      </c>
      <c r="V242" s="5">
        <f t="shared" si="38"/>
        <v>55</v>
      </c>
    </row>
    <row r="243" spans="9:22" x14ac:dyDescent="0.25">
      <c r="K243" s="30"/>
      <c r="L243" s="30"/>
      <c r="N243" s="4">
        <v>7</v>
      </c>
      <c r="O243" s="2" t="s">
        <v>55</v>
      </c>
      <c r="P243" s="4">
        <v>30</v>
      </c>
      <c r="Q243" s="4">
        <v>14</v>
      </c>
      <c r="R243" s="4">
        <v>4</v>
      </c>
      <c r="S243" s="4">
        <f t="shared" si="37"/>
        <v>12</v>
      </c>
      <c r="T243" s="4">
        <v>64</v>
      </c>
      <c r="U243" s="4">
        <v>37</v>
      </c>
      <c r="V243" s="5">
        <f t="shared" si="38"/>
        <v>46</v>
      </c>
    </row>
    <row r="244" spans="9:22" x14ac:dyDescent="0.25">
      <c r="K244" s="30"/>
      <c r="L244" s="30"/>
      <c r="N244" s="4">
        <v>8</v>
      </c>
      <c r="O244" s="2" t="s">
        <v>53</v>
      </c>
      <c r="P244" s="4">
        <v>30</v>
      </c>
      <c r="Q244" s="4">
        <v>12</v>
      </c>
      <c r="R244" s="4">
        <v>4</v>
      </c>
      <c r="S244" s="4">
        <f t="shared" si="37"/>
        <v>14</v>
      </c>
      <c r="T244" s="4">
        <v>64</v>
      </c>
      <c r="U244" s="4">
        <v>54</v>
      </c>
      <c r="V244" s="5">
        <f t="shared" si="38"/>
        <v>40</v>
      </c>
    </row>
    <row r="245" spans="9:22" x14ac:dyDescent="0.25">
      <c r="K245" s="30"/>
      <c r="L245" s="30"/>
      <c r="N245" s="4">
        <v>9</v>
      </c>
      <c r="O245" s="2" t="s">
        <v>41</v>
      </c>
      <c r="P245" s="4">
        <v>30</v>
      </c>
      <c r="Q245" s="4">
        <v>11</v>
      </c>
      <c r="R245" s="4">
        <v>5</v>
      </c>
      <c r="S245" s="4">
        <f t="shared" si="37"/>
        <v>14</v>
      </c>
      <c r="T245" s="4">
        <v>56</v>
      </c>
      <c r="U245" s="4">
        <v>42</v>
      </c>
      <c r="V245" s="5">
        <f t="shared" si="38"/>
        <v>38</v>
      </c>
    </row>
    <row r="246" spans="9:22" x14ac:dyDescent="0.25">
      <c r="K246" s="30"/>
      <c r="L246" s="30"/>
      <c r="N246" s="4">
        <v>10</v>
      </c>
      <c r="O246" s="2" t="s">
        <v>47</v>
      </c>
      <c r="P246" s="4">
        <v>30</v>
      </c>
      <c r="Q246" s="4">
        <v>11</v>
      </c>
      <c r="R246" s="4">
        <v>5</v>
      </c>
      <c r="S246" s="4">
        <f t="shared" si="37"/>
        <v>14</v>
      </c>
      <c r="T246" s="4">
        <v>67</v>
      </c>
      <c r="U246" s="4">
        <v>60</v>
      </c>
      <c r="V246" s="5">
        <f t="shared" si="38"/>
        <v>38</v>
      </c>
    </row>
    <row r="247" spans="9:22" x14ac:dyDescent="0.25">
      <c r="K247" s="30"/>
      <c r="L247" s="30"/>
      <c r="N247" s="4">
        <v>11</v>
      </c>
      <c r="O247" s="2" t="s">
        <v>50</v>
      </c>
      <c r="P247" s="4">
        <v>30</v>
      </c>
      <c r="Q247" s="4">
        <v>12</v>
      </c>
      <c r="R247" s="4">
        <v>0</v>
      </c>
      <c r="S247" s="4">
        <f t="shared" si="37"/>
        <v>18</v>
      </c>
      <c r="T247" s="4">
        <v>72</v>
      </c>
      <c r="U247" s="4">
        <v>55</v>
      </c>
      <c r="V247" s="5">
        <f t="shared" si="38"/>
        <v>36</v>
      </c>
    </row>
    <row r="248" spans="9:22" x14ac:dyDescent="0.25">
      <c r="K248" s="30"/>
      <c r="L248" s="30"/>
      <c r="N248" s="4">
        <v>12</v>
      </c>
      <c r="O248" s="2" t="s">
        <v>56</v>
      </c>
      <c r="P248" s="4">
        <v>30</v>
      </c>
      <c r="Q248" s="4">
        <v>9</v>
      </c>
      <c r="R248" s="4">
        <v>4</v>
      </c>
      <c r="S248" s="4">
        <f t="shared" si="37"/>
        <v>17</v>
      </c>
      <c r="T248" s="4">
        <v>47</v>
      </c>
      <c r="U248" s="4">
        <v>69</v>
      </c>
      <c r="V248" s="5">
        <f t="shared" si="38"/>
        <v>31</v>
      </c>
    </row>
    <row r="249" spans="9:22" x14ac:dyDescent="0.25">
      <c r="K249" s="30"/>
      <c r="L249" s="30"/>
      <c r="N249" s="4">
        <v>13</v>
      </c>
      <c r="O249" s="2" t="s">
        <v>52</v>
      </c>
      <c r="P249" s="4">
        <v>30</v>
      </c>
      <c r="Q249" s="4">
        <v>9</v>
      </c>
      <c r="R249" s="4">
        <v>2</v>
      </c>
      <c r="S249" s="4">
        <f t="shared" si="37"/>
        <v>19</v>
      </c>
      <c r="T249" s="4">
        <v>46</v>
      </c>
      <c r="U249" s="4">
        <v>67</v>
      </c>
      <c r="V249" s="5">
        <f t="shared" si="38"/>
        <v>29</v>
      </c>
    </row>
    <row r="250" spans="9:22" x14ac:dyDescent="0.25">
      <c r="K250" s="30"/>
      <c r="L250" s="30"/>
      <c r="N250" s="4">
        <v>14</v>
      </c>
      <c r="O250" s="2" t="s">
        <v>24</v>
      </c>
      <c r="P250" s="4">
        <v>30</v>
      </c>
      <c r="Q250" s="4">
        <v>5</v>
      </c>
      <c r="R250" s="4">
        <v>1</v>
      </c>
      <c r="S250" s="4">
        <f t="shared" si="37"/>
        <v>24</v>
      </c>
      <c r="T250" s="4">
        <v>31</v>
      </c>
      <c r="U250" s="4">
        <v>175</v>
      </c>
      <c r="V250" s="5">
        <f t="shared" si="38"/>
        <v>16</v>
      </c>
    </row>
    <row r="251" spans="9:22" x14ac:dyDescent="0.25">
      <c r="K251" s="30"/>
      <c r="L251" s="30"/>
      <c r="N251" s="4">
        <v>15</v>
      </c>
      <c r="O251" s="4" t="s">
        <v>34</v>
      </c>
      <c r="P251" s="4">
        <v>30</v>
      </c>
      <c r="Q251" s="4">
        <v>2</v>
      </c>
      <c r="R251" s="4">
        <v>0</v>
      </c>
      <c r="S251" s="4">
        <f t="shared" si="37"/>
        <v>28</v>
      </c>
      <c r="T251" s="4">
        <v>6</v>
      </c>
      <c r="U251" s="4">
        <v>287</v>
      </c>
      <c r="V251" s="5">
        <f t="shared" si="38"/>
        <v>6</v>
      </c>
    </row>
    <row r="252" spans="9:22" x14ac:dyDescent="0.25">
      <c r="K252" s="30"/>
      <c r="L252" s="30"/>
      <c r="N252" s="4">
        <v>16</v>
      </c>
      <c r="O252" s="4" t="s">
        <v>34</v>
      </c>
      <c r="P252" s="4">
        <v>6</v>
      </c>
      <c r="Q252" s="4">
        <v>0</v>
      </c>
      <c r="R252" s="4">
        <v>0</v>
      </c>
      <c r="S252" s="4">
        <f t="shared" si="37"/>
        <v>6</v>
      </c>
      <c r="T252" s="4">
        <v>0</v>
      </c>
      <c r="U252" s="4">
        <v>52</v>
      </c>
      <c r="V252" s="5">
        <f t="shared" si="38"/>
        <v>0</v>
      </c>
    </row>
    <row r="253" spans="9:22" x14ac:dyDescent="0.25">
      <c r="K253" s="30"/>
      <c r="L253" s="30"/>
      <c r="N253" s="4"/>
      <c r="O253" s="4"/>
      <c r="P253" s="4"/>
      <c r="Q253" s="4"/>
      <c r="R253" s="4"/>
      <c r="S253" s="4"/>
      <c r="T253" s="4"/>
      <c r="U253" s="4"/>
      <c r="V253" s="4"/>
    </row>
    <row r="254" spans="9:22" x14ac:dyDescent="0.25">
      <c r="K254" s="30"/>
      <c r="L254" s="30"/>
      <c r="N254" s="38" t="s">
        <v>49</v>
      </c>
      <c r="O254" s="38"/>
      <c r="P254" s="38"/>
      <c r="Q254" s="38"/>
      <c r="R254" s="38"/>
      <c r="S254" s="38"/>
      <c r="T254" s="38"/>
      <c r="U254" s="38"/>
      <c r="V254" s="38"/>
    </row>
    <row r="255" spans="9:22" x14ac:dyDescent="0.25">
      <c r="I255" s="30"/>
      <c r="J255" s="30"/>
      <c r="K255" s="30"/>
      <c r="L255" s="30"/>
      <c r="N255" s="4">
        <v>1</v>
      </c>
      <c r="O255" s="2" t="s">
        <v>43</v>
      </c>
      <c r="P255" s="4">
        <v>30</v>
      </c>
      <c r="Q255" s="4">
        <v>25</v>
      </c>
      <c r="R255" s="4">
        <v>3</v>
      </c>
      <c r="S255" s="4">
        <f>P255-Q255-R255</f>
        <v>2</v>
      </c>
      <c r="T255" s="4">
        <v>104</v>
      </c>
      <c r="U255" s="4">
        <v>15</v>
      </c>
      <c r="V255" s="5">
        <f>Q255*3+R255*1</f>
        <v>78</v>
      </c>
    </row>
    <row r="256" spans="9:22" x14ac:dyDescent="0.25">
      <c r="K256" s="30"/>
      <c r="L256" s="30"/>
      <c r="N256" s="4">
        <v>2</v>
      </c>
      <c r="O256" s="2" t="s">
        <v>24</v>
      </c>
      <c r="P256" s="4">
        <v>30</v>
      </c>
      <c r="Q256" s="4">
        <v>24</v>
      </c>
      <c r="R256" s="4">
        <v>3</v>
      </c>
      <c r="S256" s="4">
        <f t="shared" ref="S256:S270" si="39">P256-Q256-R256</f>
        <v>3</v>
      </c>
      <c r="T256" s="4">
        <v>103</v>
      </c>
      <c r="U256" s="4">
        <v>26</v>
      </c>
      <c r="V256" s="5">
        <f t="shared" ref="V256:V270" si="40">Q256*3+R256*1</f>
        <v>75</v>
      </c>
    </row>
    <row r="257" spans="11:22" x14ac:dyDescent="0.25">
      <c r="K257" s="30"/>
      <c r="L257" s="30"/>
      <c r="N257" s="4">
        <v>3</v>
      </c>
      <c r="O257" s="2" t="s">
        <v>18</v>
      </c>
      <c r="P257" s="4">
        <v>30</v>
      </c>
      <c r="Q257" s="4">
        <v>22</v>
      </c>
      <c r="R257" s="4">
        <v>4</v>
      </c>
      <c r="S257" s="4">
        <f t="shared" si="39"/>
        <v>4</v>
      </c>
      <c r="T257" s="4">
        <v>120</v>
      </c>
      <c r="U257" s="4">
        <v>27</v>
      </c>
      <c r="V257" s="5">
        <f t="shared" si="40"/>
        <v>70</v>
      </c>
    </row>
    <row r="258" spans="11:22" x14ac:dyDescent="0.25">
      <c r="K258" s="30"/>
      <c r="L258" s="30"/>
      <c r="N258" s="4">
        <v>4</v>
      </c>
      <c r="O258" s="2" t="s">
        <v>33</v>
      </c>
      <c r="P258" s="4">
        <v>30</v>
      </c>
      <c r="Q258" s="4">
        <v>21</v>
      </c>
      <c r="R258" s="4">
        <v>3</v>
      </c>
      <c r="S258" s="4">
        <f t="shared" si="39"/>
        <v>6</v>
      </c>
      <c r="T258" s="4">
        <v>86</v>
      </c>
      <c r="U258" s="4">
        <v>31</v>
      </c>
      <c r="V258" s="5">
        <f t="shared" si="40"/>
        <v>66</v>
      </c>
    </row>
    <row r="259" spans="11:22" x14ac:dyDescent="0.25">
      <c r="K259" s="30"/>
      <c r="L259" s="30"/>
      <c r="N259" s="4">
        <v>5</v>
      </c>
      <c r="O259" s="2" t="s">
        <v>32</v>
      </c>
      <c r="P259" s="4">
        <v>30</v>
      </c>
      <c r="Q259" s="4">
        <v>20</v>
      </c>
      <c r="R259" s="4">
        <v>3</v>
      </c>
      <c r="S259" s="4">
        <f t="shared" si="39"/>
        <v>7</v>
      </c>
      <c r="T259" s="4">
        <v>72</v>
      </c>
      <c r="U259" s="4">
        <v>22</v>
      </c>
      <c r="V259" s="5">
        <f t="shared" si="40"/>
        <v>63</v>
      </c>
    </row>
    <row r="260" spans="11:22" x14ac:dyDescent="0.25">
      <c r="K260" s="30"/>
      <c r="L260" s="30"/>
      <c r="N260" s="4">
        <v>6</v>
      </c>
      <c r="O260" s="2" t="s">
        <v>27</v>
      </c>
      <c r="P260" s="4">
        <v>30</v>
      </c>
      <c r="Q260" s="4">
        <v>15</v>
      </c>
      <c r="R260" s="4">
        <v>9</v>
      </c>
      <c r="S260" s="4">
        <f t="shared" si="39"/>
        <v>6</v>
      </c>
      <c r="T260" s="4">
        <v>69</v>
      </c>
      <c r="U260" s="4">
        <v>29</v>
      </c>
      <c r="V260" s="5">
        <f t="shared" si="40"/>
        <v>54</v>
      </c>
    </row>
    <row r="261" spans="11:22" x14ac:dyDescent="0.25">
      <c r="K261" s="30"/>
      <c r="L261" s="30"/>
      <c r="N261" s="4">
        <v>7</v>
      </c>
      <c r="O261" s="2" t="s">
        <v>50</v>
      </c>
      <c r="P261" s="4">
        <v>30</v>
      </c>
      <c r="Q261" s="4">
        <v>13</v>
      </c>
      <c r="R261" s="4">
        <v>2</v>
      </c>
      <c r="S261" s="4">
        <f t="shared" si="39"/>
        <v>15</v>
      </c>
      <c r="T261" s="4">
        <v>49</v>
      </c>
      <c r="U261" s="4">
        <v>55</v>
      </c>
      <c r="V261" s="5">
        <f t="shared" si="40"/>
        <v>41</v>
      </c>
    </row>
    <row r="262" spans="11:22" x14ac:dyDescent="0.25">
      <c r="K262" s="30"/>
      <c r="L262" s="30"/>
      <c r="N262" s="4">
        <v>8</v>
      </c>
      <c r="O262" s="2" t="s">
        <v>47</v>
      </c>
      <c r="P262" s="4">
        <v>30</v>
      </c>
      <c r="Q262" s="4">
        <v>12</v>
      </c>
      <c r="R262" s="4">
        <v>4</v>
      </c>
      <c r="S262" s="4">
        <f t="shared" si="39"/>
        <v>14</v>
      </c>
      <c r="T262" s="4">
        <v>60</v>
      </c>
      <c r="U262" s="4">
        <v>41</v>
      </c>
      <c r="V262" s="5">
        <f t="shared" si="40"/>
        <v>40</v>
      </c>
    </row>
    <row r="263" spans="11:22" x14ac:dyDescent="0.25">
      <c r="K263" s="30"/>
      <c r="L263" s="30"/>
      <c r="N263" s="4">
        <v>9</v>
      </c>
      <c r="O263" s="2" t="s">
        <v>51</v>
      </c>
      <c r="P263" s="4">
        <v>30</v>
      </c>
      <c r="Q263" s="4">
        <v>12</v>
      </c>
      <c r="R263" s="4">
        <v>2</v>
      </c>
      <c r="S263" s="4">
        <f t="shared" si="39"/>
        <v>16</v>
      </c>
      <c r="T263" s="4">
        <v>56</v>
      </c>
      <c r="U263" s="4">
        <v>50</v>
      </c>
      <c r="V263" s="5">
        <f t="shared" si="40"/>
        <v>38</v>
      </c>
    </row>
    <row r="264" spans="11:22" x14ac:dyDescent="0.25">
      <c r="K264" s="30"/>
      <c r="L264" s="30"/>
      <c r="N264" s="4">
        <v>10</v>
      </c>
      <c r="O264" s="2" t="s">
        <v>48</v>
      </c>
      <c r="P264" s="4">
        <v>30</v>
      </c>
      <c r="Q264" s="4">
        <v>8</v>
      </c>
      <c r="R264" s="4">
        <v>8</v>
      </c>
      <c r="S264" s="4">
        <f t="shared" si="39"/>
        <v>14</v>
      </c>
      <c r="T264" s="4">
        <v>46</v>
      </c>
      <c r="U264" s="4">
        <v>59</v>
      </c>
      <c r="V264" s="5">
        <f t="shared" si="40"/>
        <v>32</v>
      </c>
    </row>
    <row r="265" spans="11:22" x14ac:dyDescent="0.25">
      <c r="K265" s="30"/>
      <c r="L265" s="30"/>
      <c r="N265" s="4">
        <v>11</v>
      </c>
      <c r="O265" s="2" t="s">
        <v>52</v>
      </c>
      <c r="P265" s="4">
        <v>30</v>
      </c>
      <c r="Q265" s="4">
        <v>9</v>
      </c>
      <c r="R265" s="4">
        <v>5</v>
      </c>
      <c r="S265" s="4">
        <f t="shared" si="39"/>
        <v>16</v>
      </c>
      <c r="T265" s="4">
        <v>45</v>
      </c>
      <c r="U265" s="4">
        <v>72</v>
      </c>
      <c r="V265" s="5">
        <f t="shared" si="40"/>
        <v>32</v>
      </c>
    </row>
    <row r="266" spans="11:22" x14ac:dyDescent="0.25">
      <c r="K266" s="30"/>
      <c r="L266" s="30"/>
      <c r="N266" s="4">
        <v>12</v>
      </c>
      <c r="O266" s="2" t="s">
        <v>53</v>
      </c>
      <c r="P266" s="4">
        <v>30</v>
      </c>
      <c r="Q266" s="4">
        <v>8</v>
      </c>
      <c r="R266" s="4">
        <v>3</v>
      </c>
      <c r="S266" s="4">
        <f t="shared" si="39"/>
        <v>19</v>
      </c>
      <c r="T266" s="4">
        <v>31</v>
      </c>
      <c r="U266" s="4">
        <v>50</v>
      </c>
      <c r="V266" s="5">
        <f t="shared" si="40"/>
        <v>27</v>
      </c>
    </row>
    <row r="267" spans="11:22" x14ac:dyDescent="0.25">
      <c r="K267" s="30"/>
      <c r="L267" s="30"/>
      <c r="N267" s="4">
        <v>13</v>
      </c>
      <c r="O267" s="2" t="s">
        <v>9</v>
      </c>
      <c r="P267" s="4">
        <v>30</v>
      </c>
      <c r="Q267" s="4">
        <v>3</v>
      </c>
      <c r="R267" s="4">
        <v>6</v>
      </c>
      <c r="S267" s="4">
        <f t="shared" si="39"/>
        <v>21</v>
      </c>
      <c r="T267" s="4">
        <v>17</v>
      </c>
      <c r="U267" s="4">
        <v>64</v>
      </c>
      <c r="V267" s="5">
        <f t="shared" si="40"/>
        <v>15</v>
      </c>
    </row>
    <row r="268" spans="11:22" x14ac:dyDescent="0.25">
      <c r="K268" s="30"/>
      <c r="L268" s="30"/>
      <c r="N268" s="4">
        <v>14</v>
      </c>
      <c r="O268" s="2" t="s">
        <v>41</v>
      </c>
      <c r="P268" s="4">
        <v>30</v>
      </c>
      <c r="Q268" s="4">
        <v>3</v>
      </c>
      <c r="R268" s="4">
        <v>5</v>
      </c>
      <c r="S268" s="4">
        <f t="shared" si="39"/>
        <v>22</v>
      </c>
      <c r="T268" s="4">
        <v>26</v>
      </c>
      <c r="U268" s="4">
        <v>73</v>
      </c>
      <c r="V268" s="5">
        <f t="shared" si="40"/>
        <v>14</v>
      </c>
    </row>
    <row r="269" spans="11:22" x14ac:dyDescent="0.25">
      <c r="K269" s="30"/>
      <c r="L269" s="30"/>
      <c r="N269" s="4">
        <v>15</v>
      </c>
      <c r="O269" s="4" t="s">
        <v>34</v>
      </c>
      <c r="P269" s="4">
        <v>30</v>
      </c>
      <c r="Q269" s="4">
        <v>2</v>
      </c>
      <c r="R269" s="4">
        <v>0</v>
      </c>
      <c r="S269" s="4">
        <f t="shared" si="39"/>
        <v>28</v>
      </c>
      <c r="T269" s="4">
        <v>6</v>
      </c>
      <c r="U269" s="4">
        <v>283</v>
      </c>
      <c r="V269" s="5">
        <f t="shared" si="40"/>
        <v>6</v>
      </c>
    </row>
    <row r="270" spans="11:22" x14ac:dyDescent="0.25">
      <c r="K270" s="30"/>
      <c r="L270" s="30"/>
      <c r="N270" s="4">
        <v>16</v>
      </c>
      <c r="O270" s="4" t="s">
        <v>34</v>
      </c>
      <c r="P270" s="4">
        <v>1</v>
      </c>
      <c r="Q270" s="4">
        <v>0</v>
      </c>
      <c r="R270" s="4">
        <v>0</v>
      </c>
      <c r="S270" s="4">
        <f t="shared" si="39"/>
        <v>1</v>
      </c>
      <c r="T270" s="4">
        <v>0</v>
      </c>
      <c r="U270" s="4">
        <v>9</v>
      </c>
      <c r="V270" s="5">
        <f t="shared" si="40"/>
        <v>0</v>
      </c>
    </row>
    <row r="271" spans="11:22" x14ac:dyDescent="0.25">
      <c r="K271" s="30"/>
      <c r="L271" s="30"/>
      <c r="N271" s="4"/>
      <c r="O271" s="4"/>
      <c r="P271" s="4"/>
      <c r="Q271" s="4"/>
      <c r="R271" s="4"/>
      <c r="S271" s="4"/>
      <c r="T271" s="4"/>
      <c r="U271" s="4"/>
      <c r="V271" s="4"/>
    </row>
    <row r="272" spans="11:22" x14ac:dyDescent="0.25">
      <c r="K272" s="30"/>
      <c r="L272" s="30"/>
      <c r="N272" s="38" t="s">
        <v>46</v>
      </c>
      <c r="O272" s="38"/>
      <c r="P272" s="38"/>
      <c r="Q272" s="38"/>
      <c r="R272" s="38"/>
      <c r="S272" s="38"/>
      <c r="T272" s="38"/>
      <c r="U272" s="38"/>
      <c r="V272" s="38"/>
    </row>
    <row r="273" spans="9:22" x14ac:dyDescent="0.25">
      <c r="I273" s="30"/>
      <c r="J273" s="30"/>
      <c r="K273" s="30"/>
      <c r="L273" s="30"/>
      <c r="N273" s="4">
        <v>1</v>
      </c>
      <c r="O273" s="2" t="s">
        <v>24</v>
      </c>
      <c r="P273" s="4">
        <v>30</v>
      </c>
      <c r="Q273" s="4">
        <v>27</v>
      </c>
      <c r="R273" s="4">
        <v>3</v>
      </c>
      <c r="S273" s="4">
        <f>P273-Q273-R273</f>
        <v>0</v>
      </c>
      <c r="T273" s="4">
        <v>115</v>
      </c>
      <c r="U273" s="4">
        <v>8</v>
      </c>
      <c r="V273" s="5">
        <f>Q273*3+R273*1</f>
        <v>84</v>
      </c>
    </row>
    <row r="274" spans="9:22" x14ac:dyDescent="0.25">
      <c r="K274" s="30"/>
      <c r="L274" s="30"/>
      <c r="N274" s="4">
        <v>2</v>
      </c>
      <c r="O274" s="2" t="s">
        <v>18</v>
      </c>
      <c r="P274" s="4">
        <v>30</v>
      </c>
      <c r="Q274" s="4">
        <v>21</v>
      </c>
      <c r="R274" s="4">
        <v>5</v>
      </c>
      <c r="S274" s="4">
        <f t="shared" ref="S274:S288" si="41">P274-Q274-R274</f>
        <v>4</v>
      </c>
      <c r="T274" s="4">
        <v>142</v>
      </c>
      <c r="U274" s="4">
        <v>28</v>
      </c>
      <c r="V274" s="5">
        <f t="shared" ref="V274:V288" si="42">Q274*3+R274*1</f>
        <v>68</v>
      </c>
    </row>
    <row r="275" spans="9:22" x14ac:dyDescent="0.25">
      <c r="K275" s="30"/>
      <c r="L275" s="30"/>
      <c r="N275" s="4">
        <v>3</v>
      </c>
      <c r="O275" s="2" t="s">
        <v>33</v>
      </c>
      <c r="P275" s="4">
        <v>30</v>
      </c>
      <c r="Q275" s="4">
        <v>21</v>
      </c>
      <c r="R275" s="4">
        <v>3</v>
      </c>
      <c r="S275" s="4">
        <f t="shared" si="41"/>
        <v>6</v>
      </c>
      <c r="T275" s="4">
        <v>121</v>
      </c>
      <c r="U275" s="4">
        <v>25</v>
      </c>
      <c r="V275" s="5">
        <f t="shared" si="42"/>
        <v>66</v>
      </c>
    </row>
    <row r="276" spans="9:22" x14ac:dyDescent="0.25">
      <c r="K276" s="30"/>
      <c r="L276" s="30"/>
      <c r="N276" s="4">
        <v>4</v>
      </c>
      <c r="O276" s="2" t="s">
        <v>23</v>
      </c>
      <c r="P276" s="4">
        <v>30</v>
      </c>
      <c r="Q276" s="4">
        <v>20</v>
      </c>
      <c r="R276" s="4">
        <v>5</v>
      </c>
      <c r="S276" s="4">
        <f t="shared" si="41"/>
        <v>5</v>
      </c>
      <c r="T276" s="4">
        <v>116</v>
      </c>
      <c r="U276" s="4">
        <v>25</v>
      </c>
      <c r="V276" s="5">
        <f t="shared" si="42"/>
        <v>65</v>
      </c>
    </row>
    <row r="277" spans="9:22" x14ac:dyDescent="0.25">
      <c r="K277" s="30"/>
      <c r="L277" s="30"/>
      <c r="N277" s="4">
        <v>5</v>
      </c>
      <c r="O277" s="2" t="s">
        <v>32</v>
      </c>
      <c r="P277" s="4">
        <v>30</v>
      </c>
      <c r="Q277" s="4">
        <v>20</v>
      </c>
      <c r="R277" s="4">
        <v>4</v>
      </c>
      <c r="S277" s="4">
        <f t="shared" si="41"/>
        <v>6</v>
      </c>
      <c r="T277" s="4">
        <v>92</v>
      </c>
      <c r="U277" s="4">
        <v>22</v>
      </c>
      <c r="V277" s="5">
        <f t="shared" si="42"/>
        <v>64</v>
      </c>
    </row>
    <row r="278" spans="9:22" x14ac:dyDescent="0.25">
      <c r="K278" s="30"/>
      <c r="L278" s="30"/>
      <c r="N278" s="4">
        <v>6</v>
      </c>
      <c r="O278" s="2" t="s">
        <v>43</v>
      </c>
      <c r="P278" s="4">
        <v>30</v>
      </c>
      <c r="Q278" s="4">
        <v>17</v>
      </c>
      <c r="R278" s="4">
        <v>3</v>
      </c>
      <c r="S278" s="4">
        <f t="shared" si="41"/>
        <v>10</v>
      </c>
      <c r="T278" s="4">
        <v>100</v>
      </c>
      <c r="U278" s="4">
        <v>36</v>
      </c>
      <c r="V278" s="5">
        <f t="shared" si="42"/>
        <v>54</v>
      </c>
    </row>
    <row r="279" spans="9:22" x14ac:dyDescent="0.25">
      <c r="K279" s="30"/>
      <c r="L279" s="30"/>
      <c r="N279" s="4">
        <v>7</v>
      </c>
      <c r="O279" s="2" t="s">
        <v>27</v>
      </c>
      <c r="P279" s="4">
        <v>30</v>
      </c>
      <c r="Q279" s="4">
        <v>16</v>
      </c>
      <c r="R279" s="4">
        <v>2</v>
      </c>
      <c r="S279" s="4">
        <f t="shared" si="41"/>
        <v>12</v>
      </c>
      <c r="T279" s="4">
        <v>96</v>
      </c>
      <c r="U279" s="4">
        <v>38</v>
      </c>
      <c r="V279" s="5">
        <f t="shared" si="42"/>
        <v>50</v>
      </c>
    </row>
    <row r="280" spans="9:22" x14ac:dyDescent="0.25">
      <c r="K280" s="30"/>
      <c r="L280" s="30"/>
      <c r="N280" s="4">
        <v>8</v>
      </c>
      <c r="O280" s="2" t="s">
        <v>4</v>
      </c>
      <c r="P280" s="4">
        <v>30</v>
      </c>
      <c r="Q280" s="4">
        <v>14</v>
      </c>
      <c r="R280" s="4">
        <v>4</v>
      </c>
      <c r="S280" s="4">
        <f t="shared" si="41"/>
        <v>12</v>
      </c>
      <c r="T280" s="4">
        <v>93</v>
      </c>
      <c r="U280" s="4">
        <v>34</v>
      </c>
      <c r="V280" s="5">
        <f t="shared" si="42"/>
        <v>46</v>
      </c>
    </row>
    <row r="281" spans="9:22" x14ac:dyDescent="0.25">
      <c r="K281" s="30"/>
      <c r="L281" s="30"/>
      <c r="N281" s="4">
        <v>9</v>
      </c>
      <c r="O281" s="2" t="s">
        <v>9</v>
      </c>
      <c r="P281" s="4">
        <v>30</v>
      </c>
      <c r="Q281" s="4">
        <v>12</v>
      </c>
      <c r="R281" s="4">
        <v>7</v>
      </c>
      <c r="S281" s="4">
        <f t="shared" si="41"/>
        <v>11</v>
      </c>
      <c r="T281" s="4">
        <v>87</v>
      </c>
      <c r="U281" s="4">
        <v>46</v>
      </c>
      <c r="V281" s="5">
        <f t="shared" si="42"/>
        <v>43</v>
      </c>
    </row>
    <row r="282" spans="9:22" x14ac:dyDescent="0.25">
      <c r="K282" s="30"/>
      <c r="L282" s="30"/>
      <c r="N282" s="4">
        <v>10</v>
      </c>
      <c r="O282" s="2" t="s">
        <v>47</v>
      </c>
      <c r="P282" s="4">
        <v>30</v>
      </c>
      <c r="Q282" s="4">
        <v>12</v>
      </c>
      <c r="R282" s="4">
        <v>3</v>
      </c>
      <c r="S282" s="4">
        <f t="shared" si="41"/>
        <v>15</v>
      </c>
      <c r="T282" s="4">
        <v>85</v>
      </c>
      <c r="U282" s="4">
        <v>52</v>
      </c>
      <c r="V282" s="5">
        <f t="shared" si="42"/>
        <v>39</v>
      </c>
    </row>
    <row r="283" spans="9:22" x14ac:dyDescent="0.25">
      <c r="K283" s="30"/>
      <c r="L283" s="30"/>
      <c r="N283" s="4">
        <v>11</v>
      </c>
      <c r="O283" s="2" t="s">
        <v>41</v>
      </c>
      <c r="P283" s="4">
        <v>30</v>
      </c>
      <c r="Q283" s="4">
        <v>11</v>
      </c>
      <c r="R283" s="4">
        <v>3</v>
      </c>
      <c r="S283" s="4">
        <f t="shared" si="41"/>
        <v>16</v>
      </c>
      <c r="T283" s="4">
        <v>70</v>
      </c>
      <c r="U283" s="4">
        <v>58</v>
      </c>
      <c r="V283" s="5">
        <f t="shared" si="42"/>
        <v>36</v>
      </c>
    </row>
    <row r="284" spans="9:22" x14ac:dyDescent="0.25">
      <c r="K284" s="30"/>
      <c r="L284" s="30"/>
      <c r="N284" s="4">
        <v>12</v>
      </c>
      <c r="O284" s="2" t="s">
        <v>48</v>
      </c>
      <c r="P284" s="4">
        <v>30</v>
      </c>
      <c r="Q284" s="4">
        <v>10</v>
      </c>
      <c r="R284" s="4">
        <v>5</v>
      </c>
      <c r="S284" s="4">
        <f t="shared" si="41"/>
        <v>15</v>
      </c>
      <c r="T284" s="4">
        <v>70</v>
      </c>
      <c r="U284" s="4">
        <v>55</v>
      </c>
      <c r="V284" s="5">
        <f t="shared" si="42"/>
        <v>35</v>
      </c>
    </row>
    <row r="285" spans="9:22" x14ac:dyDescent="0.25">
      <c r="K285" s="30"/>
      <c r="L285" s="30"/>
      <c r="N285" s="4">
        <v>13</v>
      </c>
      <c r="O285" s="4" t="s">
        <v>34</v>
      </c>
      <c r="P285" s="4">
        <v>24</v>
      </c>
      <c r="Q285" s="4">
        <v>2</v>
      </c>
      <c r="R285" s="4">
        <v>1</v>
      </c>
      <c r="S285" s="4">
        <f t="shared" si="41"/>
        <v>21</v>
      </c>
      <c r="T285" s="4">
        <v>4</v>
      </c>
      <c r="U285" s="4">
        <v>210</v>
      </c>
      <c r="V285" s="5">
        <f t="shared" si="42"/>
        <v>7</v>
      </c>
    </row>
    <row r="286" spans="9:22" x14ac:dyDescent="0.25">
      <c r="K286" s="30"/>
      <c r="L286" s="30"/>
      <c r="N286" s="4">
        <v>14</v>
      </c>
      <c r="O286" s="4" t="s">
        <v>34</v>
      </c>
      <c r="P286" s="4">
        <v>26</v>
      </c>
      <c r="Q286" s="4">
        <v>2</v>
      </c>
      <c r="R286" s="4">
        <v>1</v>
      </c>
      <c r="S286" s="4">
        <f t="shared" si="41"/>
        <v>23</v>
      </c>
      <c r="T286" s="4">
        <v>3</v>
      </c>
      <c r="U286" s="4">
        <v>236</v>
      </c>
      <c r="V286" s="5">
        <f t="shared" si="42"/>
        <v>7</v>
      </c>
    </row>
    <row r="287" spans="9:22" x14ac:dyDescent="0.25">
      <c r="K287" s="30"/>
      <c r="L287" s="30"/>
      <c r="N287" s="4">
        <v>15</v>
      </c>
      <c r="O287" s="4" t="s">
        <v>34</v>
      </c>
      <c r="P287" s="4">
        <v>17</v>
      </c>
      <c r="Q287" s="4">
        <v>2</v>
      </c>
      <c r="R287" s="4">
        <v>0</v>
      </c>
      <c r="S287" s="4">
        <f t="shared" si="41"/>
        <v>15</v>
      </c>
      <c r="T287" s="4">
        <v>4</v>
      </c>
      <c r="U287" s="4">
        <v>144</v>
      </c>
      <c r="V287" s="5">
        <f t="shared" si="42"/>
        <v>6</v>
      </c>
    </row>
    <row r="288" spans="9:22" x14ac:dyDescent="0.25">
      <c r="K288" s="30"/>
      <c r="L288" s="30"/>
      <c r="N288" s="4">
        <v>16</v>
      </c>
      <c r="O288" s="4" t="s">
        <v>34</v>
      </c>
      <c r="P288" s="4">
        <v>13</v>
      </c>
      <c r="Q288" s="4">
        <v>0</v>
      </c>
      <c r="R288" s="4">
        <v>0</v>
      </c>
      <c r="S288" s="4">
        <f t="shared" si="41"/>
        <v>13</v>
      </c>
      <c r="T288" s="4">
        <v>0</v>
      </c>
      <c r="U288" s="4">
        <v>111</v>
      </c>
      <c r="V288" s="5">
        <f t="shared" si="42"/>
        <v>0</v>
      </c>
    </row>
    <row r="289" spans="9:22" x14ac:dyDescent="0.25">
      <c r="K289" s="30"/>
      <c r="L289" s="30"/>
      <c r="N289" s="4"/>
      <c r="O289" s="4"/>
      <c r="P289" s="4"/>
      <c r="Q289" s="4"/>
      <c r="R289" s="4"/>
      <c r="S289" s="4"/>
      <c r="T289" s="4"/>
      <c r="U289" s="4"/>
      <c r="V289" s="4"/>
    </row>
    <row r="290" spans="9:22" x14ac:dyDescent="0.25">
      <c r="K290" s="30"/>
      <c r="L290" s="30"/>
      <c r="N290" s="38" t="s">
        <v>44</v>
      </c>
      <c r="O290" s="38"/>
      <c r="P290" s="38"/>
      <c r="Q290" s="38"/>
      <c r="R290" s="38"/>
      <c r="S290" s="38"/>
      <c r="T290" s="38"/>
      <c r="U290" s="38"/>
      <c r="V290" s="38"/>
    </row>
    <row r="291" spans="9:22" x14ac:dyDescent="0.25">
      <c r="I291" s="30"/>
      <c r="J291" s="30"/>
      <c r="K291" s="30"/>
      <c r="L291" s="30"/>
      <c r="N291" s="4">
        <v>1</v>
      </c>
      <c r="O291" s="2" t="s">
        <v>24</v>
      </c>
      <c r="P291" s="4">
        <v>30</v>
      </c>
      <c r="Q291" s="4">
        <v>24</v>
      </c>
      <c r="R291" s="4">
        <v>4</v>
      </c>
      <c r="S291" s="4">
        <f>P291-Q291-R291</f>
        <v>2</v>
      </c>
      <c r="T291" s="4">
        <v>83</v>
      </c>
      <c r="U291" s="4">
        <v>15</v>
      </c>
      <c r="V291" s="5">
        <f>Q291*3+R291*1</f>
        <v>76</v>
      </c>
    </row>
    <row r="292" spans="9:22" x14ac:dyDescent="0.25">
      <c r="K292" s="30"/>
      <c r="L292" s="30"/>
      <c r="N292" s="4">
        <v>2</v>
      </c>
      <c r="O292" s="2" t="s">
        <v>23</v>
      </c>
      <c r="P292" s="4">
        <v>30</v>
      </c>
      <c r="Q292" s="4">
        <v>23</v>
      </c>
      <c r="R292" s="4">
        <v>4</v>
      </c>
      <c r="S292" s="4">
        <f t="shared" ref="S292:S306" si="43">P292-Q292-R292</f>
        <v>3</v>
      </c>
      <c r="T292" s="4">
        <v>106</v>
      </c>
      <c r="U292" s="4">
        <v>18</v>
      </c>
      <c r="V292" s="5">
        <f t="shared" ref="V292:V306" si="44">Q292*3+R292*1</f>
        <v>73</v>
      </c>
    </row>
    <row r="293" spans="9:22" x14ac:dyDescent="0.25">
      <c r="K293" s="30"/>
      <c r="L293" s="30"/>
      <c r="N293" s="4">
        <v>3</v>
      </c>
      <c r="O293" s="2" t="s">
        <v>18</v>
      </c>
      <c r="P293" s="4">
        <v>30</v>
      </c>
      <c r="Q293" s="4">
        <v>21</v>
      </c>
      <c r="R293" s="4">
        <v>3</v>
      </c>
      <c r="S293" s="4">
        <f t="shared" si="43"/>
        <v>6</v>
      </c>
      <c r="T293" s="4">
        <v>104</v>
      </c>
      <c r="U293" s="4">
        <v>30</v>
      </c>
      <c r="V293" s="5">
        <f t="shared" si="44"/>
        <v>66</v>
      </c>
    </row>
    <row r="294" spans="9:22" x14ac:dyDescent="0.25">
      <c r="K294" s="30"/>
      <c r="L294" s="30"/>
      <c r="N294" s="4">
        <v>4</v>
      </c>
      <c r="O294" s="2" t="s">
        <v>32</v>
      </c>
      <c r="P294" s="4">
        <v>30</v>
      </c>
      <c r="Q294" s="4">
        <v>19</v>
      </c>
      <c r="R294" s="4">
        <v>6</v>
      </c>
      <c r="S294" s="4">
        <f t="shared" si="43"/>
        <v>5</v>
      </c>
      <c r="T294" s="4">
        <v>83</v>
      </c>
      <c r="U294" s="4">
        <v>22</v>
      </c>
      <c r="V294" s="5">
        <f t="shared" si="44"/>
        <v>63</v>
      </c>
    </row>
    <row r="295" spans="9:22" x14ac:dyDescent="0.25">
      <c r="K295" s="30"/>
      <c r="L295" s="30"/>
      <c r="N295" s="4">
        <v>5</v>
      </c>
      <c r="O295" s="2" t="s">
        <v>27</v>
      </c>
      <c r="P295" s="4">
        <v>30</v>
      </c>
      <c r="Q295" s="4">
        <v>19</v>
      </c>
      <c r="R295" s="4">
        <v>4</v>
      </c>
      <c r="S295" s="4">
        <f t="shared" si="43"/>
        <v>7</v>
      </c>
      <c r="T295" s="4">
        <v>92</v>
      </c>
      <c r="U295" s="4">
        <v>29</v>
      </c>
      <c r="V295" s="5">
        <f t="shared" si="44"/>
        <v>61</v>
      </c>
    </row>
    <row r="296" spans="9:22" x14ac:dyDescent="0.25">
      <c r="K296" s="30"/>
      <c r="L296" s="30"/>
      <c r="N296" s="4">
        <v>6</v>
      </c>
      <c r="O296" s="2" t="s">
        <v>43</v>
      </c>
      <c r="P296" s="4">
        <v>30</v>
      </c>
      <c r="Q296" s="4">
        <v>16</v>
      </c>
      <c r="R296" s="4">
        <v>5</v>
      </c>
      <c r="S296" s="4">
        <f t="shared" si="43"/>
        <v>9</v>
      </c>
      <c r="T296" s="4">
        <v>73</v>
      </c>
      <c r="U296" s="4">
        <v>30</v>
      </c>
      <c r="V296" s="5">
        <f t="shared" si="44"/>
        <v>53</v>
      </c>
    </row>
    <row r="297" spans="9:22" x14ac:dyDescent="0.25">
      <c r="K297" s="30"/>
      <c r="L297" s="30"/>
      <c r="N297" s="4">
        <v>7</v>
      </c>
      <c r="O297" s="2" t="s">
        <v>33</v>
      </c>
      <c r="P297" s="4">
        <v>30</v>
      </c>
      <c r="Q297" s="4">
        <v>13</v>
      </c>
      <c r="R297" s="4">
        <v>7</v>
      </c>
      <c r="S297" s="4">
        <f t="shared" si="43"/>
        <v>10</v>
      </c>
      <c r="T297" s="4">
        <v>71</v>
      </c>
      <c r="U297" s="4">
        <v>39</v>
      </c>
      <c r="V297" s="5">
        <f t="shared" si="44"/>
        <v>46</v>
      </c>
    </row>
    <row r="298" spans="9:22" x14ac:dyDescent="0.25">
      <c r="K298" s="30"/>
      <c r="L298" s="30"/>
      <c r="N298" s="4">
        <v>8</v>
      </c>
      <c r="O298" s="2" t="s">
        <v>25</v>
      </c>
      <c r="P298" s="4">
        <v>30</v>
      </c>
      <c r="Q298" s="4">
        <v>13</v>
      </c>
      <c r="R298" s="4">
        <v>6</v>
      </c>
      <c r="S298" s="4">
        <f t="shared" si="43"/>
        <v>11</v>
      </c>
      <c r="T298" s="4">
        <v>74</v>
      </c>
      <c r="U298" s="4">
        <v>50</v>
      </c>
      <c r="V298" s="5">
        <f t="shared" si="44"/>
        <v>45</v>
      </c>
    </row>
    <row r="299" spans="9:22" x14ac:dyDescent="0.25">
      <c r="K299" s="30"/>
      <c r="L299" s="30"/>
      <c r="N299" s="4">
        <v>9</v>
      </c>
      <c r="O299" s="2" t="s">
        <v>9</v>
      </c>
      <c r="P299" s="4">
        <v>30</v>
      </c>
      <c r="Q299" s="4">
        <v>10</v>
      </c>
      <c r="R299" s="4">
        <v>7</v>
      </c>
      <c r="S299" s="4">
        <f t="shared" si="43"/>
        <v>13</v>
      </c>
      <c r="T299" s="4">
        <v>64</v>
      </c>
      <c r="U299" s="4">
        <v>45</v>
      </c>
      <c r="V299" s="5">
        <f t="shared" si="44"/>
        <v>37</v>
      </c>
    </row>
    <row r="300" spans="9:22" x14ac:dyDescent="0.25">
      <c r="K300" s="30"/>
      <c r="L300" s="30"/>
      <c r="N300" s="4">
        <v>10</v>
      </c>
      <c r="O300" s="2" t="s">
        <v>4</v>
      </c>
      <c r="P300" s="4">
        <v>30</v>
      </c>
      <c r="Q300" s="4">
        <v>10</v>
      </c>
      <c r="R300" s="4">
        <v>7</v>
      </c>
      <c r="S300" s="4">
        <f t="shared" si="43"/>
        <v>13</v>
      </c>
      <c r="T300" s="4">
        <v>52</v>
      </c>
      <c r="U300" s="4">
        <v>56</v>
      </c>
      <c r="V300" s="5">
        <f t="shared" si="44"/>
        <v>37</v>
      </c>
    </row>
    <row r="301" spans="9:22" x14ac:dyDescent="0.25">
      <c r="K301" s="30"/>
      <c r="L301" s="30"/>
      <c r="N301" s="4">
        <v>11</v>
      </c>
      <c r="O301" s="2" t="s">
        <v>3</v>
      </c>
      <c r="P301" s="4">
        <v>30</v>
      </c>
      <c r="Q301" s="4">
        <v>10</v>
      </c>
      <c r="R301" s="4">
        <v>5</v>
      </c>
      <c r="S301" s="4">
        <f t="shared" si="43"/>
        <v>15</v>
      </c>
      <c r="T301" s="4">
        <v>52</v>
      </c>
      <c r="U301" s="4">
        <v>58</v>
      </c>
      <c r="V301" s="5">
        <f t="shared" si="44"/>
        <v>35</v>
      </c>
    </row>
    <row r="302" spans="9:22" x14ac:dyDescent="0.25">
      <c r="K302" s="30"/>
      <c r="L302" s="30"/>
      <c r="N302" s="4">
        <v>12</v>
      </c>
      <c r="O302" s="2" t="s">
        <v>45</v>
      </c>
      <c r="P302" s="4">
        <v>30</v>
      </c>
      <c r="Q302" s="4">
        <v>9</v>
      </c>
      <c r="R302" s="4">
        <v>4</v>
      </c>
      <c r="S302" s="4">
        <f t="shared" si="43"/>
        <v>17</v>
      </c>
      <c r="T302" s="4">
        <v>45</v>
      </c>
      <c r="U302" s="4">
        <v>57</v>
      </c>
      <c r="V302" s="5">
        <f t="shared" si="44"/>
        <v>31</v>
      </c>
    </row>
    <row r="303" spans="9:22" x14ac:dyDescent="0.25">
      <c r="K303" s="30"/>
      <c r="L303" s="30"/>
      <c r="N303" s="4">
        <v>13</v>
      </c>
      <c r="O303" s="2" t="s">
        <v>41</v>
      </c>
      <c r="P303" s="4">
        <v>30</v>
      </c>
      <c r="Q303" s="4">
        <v>9</v>
      </c>
      <c r="R303" s="4">
        <v>4</v>
      </c>
      <c r="S303" s="4">
        <f t="shared" si="43"/>
        <v>17</v>
      </c>
      <c r="T303" s="4">
        <v>57</v>
      </c>
      <c r="U303" s="4">
        <v>73</v>
      </c>
      <c r="V303" s="5">
        <f t="shared" si="44"/>
        <v>31</v>
      </c>
    </row>
    <row r="304" spans="9:22" x14ac:dyDescent="0.25">
      <c r="K304" s="30"/>
      <c r="L304" s="30"/>
      <c r="N304" s="4">
        <v>14</v>
      </c>
      <c r="O304" s="2" t="s">
        <v>38</v>
      </c>
      <c r="P304" s="4">
        <v>30</v>
      </c>
      <c r="Q304" s="4">
        <v>3</v>
      </c>
      <c r="R304" s="4">
        <v>1</v>
      </c>
      <c r="S304" s="4">
        <f t="shared" si="43"/>
        <v>26</v>
      </c>
      <c r="T304" s="4">
        <v>23</v>
      </c>
      <c r="U304" s="4">
        <v>122</v>
      </c>
      <c r="V304" s="5">
        <f t="shared" si="44"/>
        <v>10</v>
      </c>
    </row>
    <row r="305" spans="9:22" x14ac:dyDescent="0.25">
      <c r="K305" s="30"/>
      <c r="L305" s="30"/>
      <c r="N305" s="4">
        <v>15</v>
      </c>
      <c r="O305" s="4" t="s">
        <v>34</v>
      </c>
      <c r="P305" s="4">
        <v>21</v>
      </c>
      <c r="Q305" s="4">
        <v>2</v>
      </c>
      <c r="R305" s="4">
        <v>0</v>
      </c>
      <c r="S305" s="4">
        <f t="shared" si="43"/>
        <v>19</v>
      </c>
      <c r="T305" s="4">
        <v>5</v>
      </c>
      <c r="U305" s="4">
        <v>177</v>
      </c>
      <c r="V305" s="5">
        <f t="shared" si="44"/>
        <v>6</v>
      </c>
    </row>
    <row r="306" spans="9:22" x14ac:dyDescent="0.25">
      <c r="K306" s="30"/>
      <c r="L306" s="30"/>
      <c r="N306" s="4">
        <v>16</v>
      </c>
      <c r="O306" s="4" t="s">
        <v>34</v>
      </c>
      <c r="P306" s="4">
        <v>14</v>
      </c>
      <c r="Q306" s="4">
        <v>1</v>
      </c>
      <c r="R306" s="4">
        <v>0</v>
      </c>
      <c r="S306" s="4">
        <f t="shared" si="43"/>
        <v>13</v>
      </c>
      <c r="T306" s="4">
        <v>3</v>
      </c>
      <c r="U306" s="4">
        <v>123</v>
      </c>
      <c r="V306" s="5">
        <f t="shared" si="44"/>
        <v>3</v>
      </c>
    </row>
    <row r="307" spans="9:22" x14ac:dyDescent="0.25">
      <c r="K307" s="30"/>
      <c r="L307" s="30"/>
      <c r="N307" s="4"/>
      <c r="O307" s="4"/>
      <c r="P307" s="4"/>
      <c r="Q307" s="4"/>
      <c r="R307" s="4"/>
      <c r="S307" s="4"/>
      <c r="T307" s="4"/>
      <c r="U307" s="4"/>
      <c r="V307" s="4"/>
    </row>
    <row r="308" spans="9:22" x14ac:dyDescent="0.25">
      <c r="K308" s="30"/>
      <c r="L308" s="30"/>
      <c r="N308" s="38" t="s">
        <v>42</v>
      </c>
      <c r="O308" s="38"/>
      <c r="P308" s="38"/>
      <c r="Q308" s="38"/>
      <c r="R308" s="38"/>
      <c r="S308" s="38"/>
      <c r="T308" s="38"/>
      <c r="U308" s="38"/>
      <c r="V308" s="38"/>
    </row>
    <row r="309" spans="9:22" x14ac:dyDescent="0.25">
      <c r="I309" s="30"/>
      <c r="J309" s="30"/>
      <c r="K309" s="30"/>
      <c r="L309" s="30"/>
      <c r="N309" s="4">
        <v>1</v>
      </c>
      <c r="O309" s="2" t="s">
        <v>43</v>
      </c>
      <c r="P309" s="4">
        <v>30</v>
      </c>
      <c r="Q309" s="4">
        <v>21</v>
      </c>
      <c r="R309" s="4">
        <v>7</v>
      </c>
      <c r="S309" s="4">
        <f>P309-Q309-R309</f>
        <v>2</v>
      </c>
      <c r="T309" s="4">
        <v>73</v>
      </c>
      <c r="U309" s="4">
        <v>21</v>
      </c>
      <c r="V309" s="5">
        <f>Q309*3+R309*1</f>
        <v>70</v>
      </c>
    </row>
    <row r="310" spans="9:22" x14ac:dyDescent="0.25">
      <c r="K310" s="30"/>
      <c r="L310" s="30"/>
      <c r="N310" s="4">
        <v>2</v>
      </c>
      <c r="O310" s="2" t="s">
        <v>24</v>
      </c>
      <c r="P310" s="4">
        <v>30</v>
      </c>
      <c r="Q310" s="4">
        <v>21</v>
      </c>
      <c r="R310" s="4">
        <v>6</v>
      </c>
      <c r="S310" s="4">
        <f t="shared" ref="S310:S324" si="45">P310-Q310-R310</f>
        <v>3</v>
      </c>
      <c r="T310" s="4">
        <v>69</v>
      </c>
      <c r="U310" s="4">
        <v>17</v>
      </c>
      <c r="V310" s="5">
        <f t="shared" ref="V310:V324" si="46">Q310*3+R310*1</f>
        <v>69</v>
      </c>
    </row>
    <row r="311" spans="9:22" x14ac:dyDescent="0.25">
      <c r="K311" s="30"/>
      <c r="L311" s="30"/>
      <c r="N311" s="4">
        <v>3</v>
      </c>
      <c r="O311" s="2" t="s">
        <v>18</v>
      </c>
      <c r="P311" s="4">
        <v>30</v>
      </c>
      <c r="Q311" s="4">
        <v>21</v>
      </c>
      <c r="R311" s="4">
        <v>4</v>
      </c>
      <c r="S311" s="4">
        <f t="shared" si="45"/>
        <v>5</v>
      </c>
      <c r="T311" s="4">
        <v>92</v>
      </c>
      <c r="U311" s="4">
        <v>32</v>
      </c>
      <c r="V311" s="5">
        <f t="shared" si="46"/>
        <v>67</v>
      </c>
    </row>
    <row r="312" spans="9:22" x14ac:dyDescent="0.25">
      <c r="K312" s="30"/>
      <c r="L312" s="30"/>
      <c r="N312" s="4">
        <v>4</v>
      </c>
      <c r="O312" s="2" t="s">
        <v>23</v>
      </c>
      <c r="P312" s="4">
        <v>30</v>
      </c>
      <c r="Q312" s="4">
        <v>15</v>
      </c>
      <c r="R312" s="4">
        <v>8</v>
      </c>
      <c r="S312" s="4">
        <f t="shared" si="45"/>
        <v>7</v>
      </c>
      <c r="T312" s="4">
        <v>60</v>
      </c>
      <c r="U312" s="4">
        <v>27</v>
      </c>
      <c r="V312" s="5">
        <f t="shared" si="46"/>
        <v>53</v>
      </c>
    </row>
    <row r="313" spans="9:22" x14ac:dyDescent="0.25">
      <c r="K313" s="30"/>
      <c r="L313" s="30"/>
      <c r="N313" s="4">
        <v>5</v>
      </c>
      <c r="O313" s="2" t="s">
        <v>0</v>
      </c>
      <c r="P313" s="4">
        <v>30</v>
      </c>
      <c r="Q313" s="4">
        <v>15</v>
      </c>
      <c r="R313" s="4">
        <v>6</v>
      </c>
      <c r="S313" s="4">
        <f t="shared" si="45"/>
        <v>9</v>
      </c>
      <c r="T313" s="4">
        <v>73</v>
      </c>
      <c r="U313" s="4">
        <v>36</v>
      </c>
      <c r="V313" s="5">
        <f t="shared" si="46"/>
        <v>51</v>
      </c>
    </row>
    <row r="314" spans="9:22" x14ac:dyDescent="0.25">
      <c r="K314" s="30"/>
      <c r="L314" s="30"/>
      <c r="N314" s="4">
        <v>6</v>
      </c>
      <c r="O314" s="2" t="s">
        <v>33</v>
      </c>
      <c r="P314" s="4">
        <v>30</v>
      </c>
      <c r="Q314" s="4">
        <v>14</v>
      </c>
      <c r="R314" s="4">
        <v>5</v>
      </c>
      <c r="S314" s="4">
        <f t="shared" si="45"/>
        <v>11</v>
      </c>
      <c r="T314" s="4">
        <v>53</v>
      </c>
      <c r="U314" s="4">
        <v>36</v>
      </c>
      <c r="V314" s="5">
        <f t="shared" si="46"/>
        <v>47</v>
      </c>
    </row>
    <row r="315" spans="9:22" x14ac:dyDescent="0.25">
      <c r="K315" s="30"/>
      <c r="L315" s="30"/>
      <c r="N315" s="4">
        <v>7</v>
      </c>
      <c r="O315" s="2" t="s">
        <v>27</v>
      </c>
      <c r="P315" s="4">
        <v>30</v>
      </c>
      <c r="Q315" s="4">
        <v>11</v>
      </c>
      <c r="R315" s="4">
        <v>10</v>
      </c>
      <c r="S315" s="4">
        <f t="shared" si="45"/>
        <v>9</v>
      </c>
      <c r="T315" s="4">
        <v>47</v>
      </c>
      <c r="U315" s="4">
        <v>27</v>
      </c>
      <c r="V315" s="5">
        <f t="shared" si="46"/>
        <v>43</v>
      </c>
    </row>
    <row r="316" spans="9:22" x14ac:dyDescent="0.25">
      <c r="K316" s="30"/>
      <c r="L316" s="30"/>
      <c r="N316" s="4">
        <v>8</v>
      </c>
      <c r="O316" s="2" t="s">
        <v>4</v>
      </c>
      <c r="P316" s="4">
        <v>30</v>
      </c>
      <c r="Q316" s="4">
        <v>12</v>
      </c>
      <c r="R316" s="4">
        <v>5</v>
      </c>
      <c r="S316" s="4">
        <f t="shared" si="45"/>
        <v>13</v>
      </c>
      <c r="T316" s="4">
        <v>48</v>
      </c>
      <c r="U316" s="4">
        <v>46</v>
      </c>
      <c r="V316" s="5">
        <f t="shared" si="46"/>
        <v>41</v>
      </c>
    </row>
    <row r="317" spans="9:22" x14ac:dyDescent="0.25">
      <c r="K317" s="30"/>
      <c r="L317" s="30"/>
      <c r="N317" s="4">
        <v>9</v>
      </c>
      <c r="O317" s="2" t="s">
        <v>32</v>
      </c>
      <c r="P317" s="4">
        <v>30</v>
      </c>
      <c r="Q317" s="4">
        <v>11</v>
      </c>
      <c r="R317" s="4">
        <v>7</v>
      </c>
      <c r="S317" s="4">
        <f t="shared" si="45"/>
        <v>12</v>
      </c>
      <c r="T317" s="4">
        <v>50</v>
      </c>
      <c r="U317" s="4">
        <v>42</v>
      </c>
      <c r="V317" s="5">
        <f t="shared" si="46"/>
        <v>40</v>
      </c>
    </row>
    <row r="318" spans="9:22" x14ac:dyDescent="0.25">
      <c r="K318" s="30"/>
      <c r="L318" s="30"/>
      <c r="N318" s="4">
        <v>10</v>
      </c>
      <c r="O318" s="2" t="s">
        <v>9</v>
      </c>
      <c r="P318" s="4">
        <v>30</v>
      </c>
      <c r="Q318" s="4">
        <v>11</v>
      </c>
      <c r="R318" s="4">
        <v>5</v>
      </c>
      <c r="S318" s="4">
        <f t="shared" si="45"/>
        <v>14</v>
      </c>
      <c r="T318" s="4">
        <v>42</v>
      </c>
      <c r="U318" s="4">
        <v>40</v>
      </c>
      <c r="V318" s="5">
        <f t="shared" si="46"/>
        <v>38</v>
      </c>
    </row>
    <row r="319" spans="9:22" x14ac:dyDescent="0.25">
      <c r="K319" s="30"/>
      <c r="L319" s="30"/>
      <c r="N319" s="4">
        <v>11</v>
      </c>
      <c r="O319" s="2" t="s">
        <v>3</v>
      </c>
      <c r="P319" s="4">
        <v>30</v>
      </c>
      <c r="Q319" s="4">
        <v>10</v>
      </c>
      <c r="R319" s="4">
        <v>4</v>
      </c>
      <c r="S319" s="4">
        <f t="shared" si="45"/>
        <v>16</v>
      </c>
      <c r="T319" s="4">
        <v>41</v>
      </c>
      <c r="U319" s="4">
        <v>54</v>
      </c>
      <c r="V319" s="5">
        <f t="shared" si="46"/>
        <v>34</v>
      </c>
    </row>
    <row r="320" spans="9:22" x14ac:dyDescent="0.25">
      <c r="K320" s="30"/>
      <c r="L320" s="30"/>
      <c r="N320" s="4">
        <v>12</v>
      </c>
      <c r="O320" s="2" t="s">
        <v>25</v>
      </c>
      <c r="P320" s="4">
        <v>30</v>
      </c>
      <c r="Q320" s="4">
        <v>9</v>
      </c>
      <c r="R320" s="4">
        <v>6</v>
      </c>
      <c r="S320" s="4">
        <f t="shared" si="45"/>
        <v>15</v>
      </c>
      <c r="T320" s="4">
        <v>44</v>
      </c>
      <c r="U320" s="4">
        <v>51</v>
      </c>
      <c r="V320" s="5">
        <f t="shared" si="46"/>
        <v>33</v>
      </c>
    </row>
    <row r="321" spans="9:22" x14ac:dyDescent="0.25">
      <c r="K321" s="30"/>
      <c r="L321" s="30"/>
      <c r="N321" s="4">
        <v>13</v>
      </c>
      <c r="O321" s="2" t="s">
        <v>41</v>
      </c>
      <c r="P321" s="4">
        <v>30</v>
      </c>
      <c r="Q321" s="4">
        <v>9</v>
      </c>
      <c r="R321" s="4">
        <v>4</v>
      </c>
      <c r="S321" s="4">
        <f t="shared" si="45"/>
        <v>17</v>
      </c>
      <c r="T321" s="4">
        <v>42</v>
      </c>
      <c r="U321" s="4">
        <v>53</v>
      </c>
      <c r="V321" s="5">
        <f t="shared" si="46"/>
        <v>31</v>
      </c>
    </row>
    <row r="322" spans="9:22" x14ac:dyDescent="0.25">
      <c r="K322" s="30"/>
      <c r="L322" s="30"/>
      <c r="N322" s="4">
        <v>14</v>
      </c>
      <c r="O322" s="2" t="s">
        <v>38</v>
      </c>
      <c r="P322" s="4">
        <v>30</v>
      </c>
      <c r="Q322" s="4">
        <v>4</v>
      </c>
      <c r="R322" s="4">
        <v>3</v>
      </c>
      <c r="S322" s="4">
        <f t="shared" si="45"/>
        <v>23</v>
      </c>
      <c r="T322" s="4">
        <v>26</v>
      </c>
      <c r="U322" s="4">
        <v>88</v>
      </c>
      <c r="V322" s="5">
        <f t="shared" si="46"/>
        <v>15</v>
      </c>
    </row>
    <row r="323" spans="9:22" x14ac:dyDescent="0.25">
      <c r="K323" s="30"/>
      <c r="L323" s="30"/>
      <c r="N323" s="4">
        <v>15</v>
      </c>
      <c r="O323" s="4" t="s">
        <v>34</v>
      </c>
      <c r="P323" s="4">
        <v>0</v>
      </c>
      <c r="Q323" s="4">
        <v>0</v>
      </c>
      <c r="R323" s="4">
        <v>0</v>
      </c>
      <c r="S323" s="4">
        <f t="shared" si="45"/>
        <v>0</v>
      </c>
      <c r="T323" s="4">
        <v>0</v>
      </c>
      <c r="U323" s="4">
        <v>0</v>
      </c>
      <c r="V323" s="5">
        <f t="shared" si="46"/>
        <v>0</v>
      </c>
    </row>
    <row r="324" spans="9:22" x14ac:dyDescent="0.25">
      <c r="K324" s="30"/>
      <c r="L324" s="30"/>
      <c r="N324" s="4">
        <v>16</v>
      </c>
      <c r="O324" s="4" t="s">
        <v>34</v>
      </c>
      <c r="P324" s="4">
        <v>18</v>
      </c>
      <c r="Q324" s="4">
        <v>0</v>
      </c>
      <c r="R324" s="4">
        <v>0</v>
      </c>
      <c r="S324" s="4">
        <f t="shared" si="45"/>
        <v>18</v>
      </c>
      <c r="T324" s="4">
        <v>0</v>
      </c>
      <c r="U324" s="4">
        <v>180</v>
      </c>
      <c r="V324" s="5">
        <f t="shared" si="46"/>
        <v>0</v>
      </c>
    </row>
    <row r="325" spans="9:22" x14ac:dyDescent="0.25">
      <c r="K325" s="30"/>
      <c r="L325" s="30"/>
      <c r="N325" s="4"/>
      <c r="O325" s="4"/>
      <c r="P325" s="4"/>
      <c r="Q325" s="4"/>
      <c r="R325" s="4"/>
      <c r="S325" s="4"/>
      <c r="T325" s="4"/>
      <c r="U325" s="4"/>
      <c r="V325" s="4"/>
    </row>
    <row r="326" spans="9:22" x14ac:dyDescent="0.25">
      <c r="K326" s="30"/>
      <c r="L326" s="30"/>
      <c r="N326" s="38" t="s">
        <v>40</v>
      </c>
      <c r="O326" s="38"/>
      <c r="P326" s="38"/>
      <c r="Q326" s="38"/>
      <c r="R326" s="38"/>
      <c r="S326" s="38"/>
      <c r="T326" s="38"/>
      <c r="U326" s="38"/>
      <c r="V326" s="38"/>
    </row>
    <row r="327" spans="9:22" x14ac:dyDescent="0.25">
      <c r="I327" s="30"/>
      <c r="J327" s="30"/>
      <c r="K327" s="30"/>
      <c r="L327" s="30"/>
      <c r="N327" s="4">
        <v>1</v>
      </c>
      <c r="O327" s="2" t="s">
        <v>23</v>
      </c>
      <c r="P327" s="4">
        <v>30</v>
      </c>
      <c r="Q327" s="4">
        <v>21</v>
      </c>
      <c r="R327" s="4">
        <v>3</v>
      </c>
      <c r="S327" s="4">
        <f>P327-Q327-R327</f>
        <v>6</v>
      </c>
      <c r="T327" s="4">
        <v>86</v>
      </c>
      <c r="U327" s="4">
        <v>34</v>
      </c>
      <c r="V327" s="5">
        <f>Q327*3+R327*1</f>
        <v>66</v>
      </c>
    </row>
    <row r="328" spans="9:22" x14ac:dyDescent="0.25">
      <c r="K328" s="30"/>
      <c r="L328" s="30"/>
      <c r="N328" s="4">
        <v>2</v>
      </c>
      <c r="O328" s="2" t="s">
        <v>24</v>
      </c>
      <c r="P328" s="4">
        <v>30</v>
      </c>
      <c r="Q328" s="4">
        <v>19</v>
      </c>
      <c r="R328" s="4">
        <v>5</v>
      </c>
      <c r="S328" s="4">
        <f t="shared" ref="S328:S342" si="47">P328-Q328-R328</f>
        <v>6</v>
      </c>
      <c r="T328" s="4">
        <v>70</v>
      </c>
      <c r="U328" s="4">
        <v>33</v>
      </c>
      <c r="V328" s="5">
        <f t="shared" ref="V328:V342" si="48">Q328*3+R328*1</f>
        <v>62</v>
      </c>
    </row>
    <row r="329" spans="9:22" x14ac:dyDescent="0.25">
      <c r="K329" s="30"/>
      <c r="L329" s="30"/>
      <c r="N329" s="4">
        <v>3</v>
      </c>
      <c r="O329" s="2" t="s">
        <v>18</v>
      </c>
      <c r="P329" s="4">
        <v>30</v>
      </c>
      <c r="Q329" s="4">
        <v>16</v>
      </c>
      <c r="R329" s="4">
        <v>6</v>
      </c>
      <c r="S329" s="4">
        <f t="shared" si="47"/>
        <v>8</v>
      </c>
      <c r="T329" s="4">
        <v>89</v>
      </c>
      <c r="U329" s="4">
        <v>53</v>
      </c>
      <c r="V329" s="5">
        <f t="shared" si="48"/>
        <v>54</v>
      </c>
    </row>
    <row r="330" spans="9:22" x14ac:dyDescent="0.25">
      <c r="K330" s="30"/>
      <c r="L330" s="30"/>
      <c r="N330" s="4">
        <v>4</v>
      </c>
      <c r="O330" s="2" t="s">
        <v>32</v>
      </c>
      <c r="P330" s="4">
        <v>30</v>
      </c>
      <c r="Q330" s="4">
        <v>13</v>
      </c>
      <c r="R330" s="4">
        <v>8</v>
      </c>
      <c r="S330" s="4">
        <f t="shared" si="47"/>
        <v>9</v>
      </c>
      <c r="T330" s="4">
        <v>63</v>
      </c>
      <c r="U330" s="4">
        <v>42</v>
      </c>
      <c r="V330" s="5">
        <f t="shared" si="48"/>
        <v>47</v>
      </c>
    </row>
    <row r="331" spans="9:22" x14ac:dyDescent="0.25">
      <c r="K331" s="30"/>
      <c r="L331" s="30"/>
      <c r="N331" s="4">
        <v>5</v>
      </c>
      <c r="O331" s="2" t="s">
        <v>27</v>
      </c>
      <c r="P331" s="4">
        <v>30</v>
      </c>
      <c r="Q331" s="4">
        <v>14</v>
      </c>
      <c r="R331" s="4">
        <v>5</v>
      </c>
      <c r="S331" s="4">
        <f t="shared" si="47"/>
        <v>11</v>
      </c>
      <c r="T331" s="4">
        <v>61</v>
      </c>
      <c r="U331" s="4">
        <v>45</v>
      </c>
      <c r="V331" s="5">
        <f t="shared" si="48"/>
        <v>47</v>
      </c>
    </row>
    <row r="332" spans="9:22" x14ac:dyDescent="0.25">
      <c r="K332" s="30"/>
      <c r="L332" s="30"/>
      <c r="N332" s="4">
        <v>6</v>
      </c>
      <c r="O332" s="2" t="s">
        <v>0</v>
      </c>
      <c r="P332" s="4">
        <v>30</v>
      </c>
      <c r="Q332" s="4">
        <v>14</v>
      </c>
      <c r="R332" s="4">
        <v>4</v>
      </c>
      <c r="S332" s="4">
        <f t="shared" si="47"/>
        <v>12</v>
      </c>
      <c r="T332" s="4">
        <v>67</v>
      </c>
      <c r="U332" s="4">
        <v>43</v>
      </c>
      <c r="V332" s="5">
        <f t="shared" si="48"/>
        <v>46</v>
      </c>
    </row>
    <row r="333" spans="9:22" x14ac:dyDescent="0.25">
      <c r="K333" s="30"/>
      <c r="L333" s="30"/>
      <c r="N333" s="4">
        <v>7</v>
      </c>
      <c r="O333" s="2" t="s">
        <v>33</v>
      </c>
      <c r="P333" s="4">
        <v>30</v>
      </c>
      <c r="Q333" s="4">
        <v>13</v>
      </c>
      <c r="R333" s="4">
        <v>6</v>
      </c>
      <c r="S333" s="4">
        <f t="shared" si="47"/>
        <v>11</v>
      </c>
      <c r="T333" s="4">
        <v>67</v>
      </c>
      <c r="U333" s="4">
        <v>47</v>
      </c>
      <c r="V333" s="5">
        <f t="shared" si="48"/>
        <v>45</v>
      </c>
    </row>
    <row r="334" spans="9:22" x14ac:dyDescent="0.25">
      <c r="K334" s="30"/>
      <c r="L334" s="30"/>
      <c r="N334" s="4">
        <v>8</v>
      </c>
      <c r="O334" s="2" t="s">
        <v>3</v>
      </c>
      <c r="P334" s="4">
        <v>30</v>
      </c>
      <c r="Q334" s="4">
        <v>11</v>
      </c>
      <c r="R334" s="4">
        <v>9</v>
      </c>
      <c r="S334" s="4">
        <f t="shared" si="47"/>
        <v>10</v>
      </c>
      <c r="T334" s="4">
        <v>54</v>
      </c>
      <c r="U334" s="4">
        <v>53</v>
      </c>
      <c r="V334" s="5">
        <f t="shared" si="48"/>
        <v>42</v>
      </c>
    </row>
    <row r="335" spans="9:22" x14ac:dyDescent="0.25">
      <c r="K335" s="30"/>
      <c r="L335" s="30"/>
      <c r="N335" s="4">
        <v>9</v>
      </c>
      <c r="O335" s="2" t="s">
        <v>28</v>
      </c>
      <c r="P335" s="4">
        <v>30</v>
      </c>
      <c r="Q335" s="4">
        <v>10</v>
      </c>
      <c r="R335" s="4">
        <v>10</v>
      </c>
      <c r="S335" s="4">
        <f t="shared" si="47"/>
        <v>10</v>
      </c>
      <c r="T335" s="4">
        <v>38</v>
      </c>
      <c r="U335" s="4">
        <v>43</v>
      </c>
      <c r="V335" s="5">
        <f t="shared" si="48"/>
        <v>40</v>
      </c>
    </row>
    <row r="336" spans="9:22" x14ac:dyDescent="0.25">
      <c r="K336" s="30"/>
      <c r="L336" s="30"/>
      <c r="N336" s="4">
        <v>10</v>
      </c>
      <c r="O336" s="2" t="s">
        <v>25</v>
      </c>
      <c r="P336" s="4">
        <v>30</v>
      </c>
      <c r="Q336" s="4">
        <v>11</v>
      </c>
      <c r="R336" s="4">
        <v>5</v>
      </c>
      <c r="S336" s="4">
        <f t="shared" si="47"/>
        <v>14</v>
      </c>
      <c r="T336" s="4">
        <v>58</v>
      </c>
      <c r="U336" s="4">
        <v>48</v>
      </c>
      <c r="V336" s="5">
        <f t="shared" si="48"/>
        <v>38</v>
      </c>
    </row>
    <row r="337" spans="9:22" x14ac:dyDescent="0.25">
      <c r="K337" s="30"/>
      <c r="L337" s="30"/>
      <c r="N337" s="4">
        <v>11</v>
      </c>
      <c r="O337" s="2" t="s">
        <v>38</v>
      </c>
      <c r="P337" s="4">
        <v>30</v>
      </c>
      <c r="Q337" s="4">
        <v>12</v>
      </c>
      <c r="R337" s="4">
        <v>1</v>
      </c>
      <c r="S337" s="4">
        <f t="shared" si="47"/>
        <v>17</v>
      </c>
      <c r="T337" s="4">
        <v>44</v>
      </c>
      <c r="U337" s="4">
        <v>57</v>
      </c>
      <c r="V337" s="5">
        <f t="shared" si="48"/>
        <v>37</v>
      </c>
    </row>
    <row r="338" spans="9:22" x14ac:dyDescent="0.25">
      <c r="K338" s="30"/>
      <c r="L338" s="30"/>
      <c r="N338" s="4">
        <v>12</v>
      </c>
      <c r="O338" s="2" t="s">
        <v>6</v>
      </c>
      <c r="P338" s="4">
        <v>30</v>
      </c>
      <c r="Q338" s="4">
        <v>9</v>
      </c>
      <c r="R338" s="4">
        <v>9</v>
      </c>
      <c r="S338" s="4">
        <f t="shared" si="47"/>
        <v>12</v>
      </c>
      <c r="T338" s="4">
        <v>48</v>
      </c>
      <c r="U338" s="4">
        <v>52</v>
      </c>
      <c r="V338" s="5">
        <f t="shared" si="48"/>
        <v>36</v>
      </c>
    </row>
    <row r="339" spans="9:22" x14ac:dyDescent="0.25">
      <c r="K339" s="30"/>
      <c r="L339" s="30"/>
      <c r="N339" s="4">
        <v>13</v>
      </c>
      <c r="O339" s="2" t="s">
        <v>4</v>
      </c>
      <c r="P339" s="4">
        <v>30</v>
      </c>
      <c r="Q339" s="4">
        <v>9</v>
      </c>
      <c r="R339" s="4">
        <v>6</v>
      </c>
      <c r="S339" s="4">
        <f t="shared" si="47"/>
        <v>15</v>
      </c>
      <c r="T339" s="4">
        <v>33</v>
      </c>
      <c r="U339" s="4">
        <v>48</v>
      </c>
      <c r="V339" s="5">
        <f t="shared" si="48"/>
        <v>33</v>
      </c>
    </row>
    <row r="340" spans="9:22" x14ac:dyDescent="0.25">
      <c r="K340" s="30"/>
      <c r="L340" s="30"/>
      <c r="N340" s="4">
        <v>14</v>
      </c>
      <c r="O340" s="2" t="s">
        <v>41</v>
      </c>
      <c r="P340" s="4">
        <v>30</v>
      </c>
      <c r="Q340" s="4">
        <v>7</v>
      </c>
      <c r="R340" s="4">
        <v>7</v>
      </c>
      <c r="S340" s="4">
        <f t="shared" si="47"/>
        <v>16</v>
      </c>
      <c r="T340" s="4">
        <v>44</v>
      </c>
      <c r="U340" s="4">
        <v>73</v>
      </c>
      <c r="V340" s="5">
        <f t="shared" si="48"/>
        <v>28</v>
      </c>
    </row>
    <row r="341" spans="9:22" x14ac:dyDescent="0.25">
      <c r="K341" s="30"/>
      <c r="L341" s="30"/>
      <c r="N341" s="4">
        <v>15</v>
      </c>
      <c r="O341" s="4" t="s">
        <v>34</v>
      </c>
      <c r="P341" s="4">
        <v>27</v>
      </c>
      <c r="Q341" s="4">
        <v>3</v>
      </c>
      <c r="R341" s="4">
        <v>0</v>
      </c>
      <c r="S341" s="4">
        <f t="shared" si="47"/>
        <v>24</v>
      </c>
      <c r="T341" s="4">
        <v>11</v>
      </c>
      <c r="U341" s="4">
        <v>167</v>
      </c>
      <c r="V341" s="5">
        <f t="shared" si="48"/>
        <v>9</v>
      </c>
    </row>
    <row r="342" spans="9:22" x14ac:dyDescent="0.25">
      <c r="K342" s="30"/>
      <c r="L342" s="30"/>
      <c r="N342" s="4">
        <v>16</v>
      </c>
      <c r="O342" s="4" t="s">
        <v>34</v>
      </c>
      <c r="P342" s="4">
        <v>0</v>
      </c>
      <c r="Q342" s="4">
        <v>0</v>
      </c>
      <c r="R342" s="4">
        <v>0</v>
      </c>
      <c r="S342" s="4">
        <f t="shared" si="47"/>
        <v>0</v>
      </c>
      <c r="T342" s="4">
        <v>0</v>
      </c>
      <c r="U342" s="4">
        <v>0</v>
      </c>
      <c r="V342" s="5">
        <f t="shared" si="48"/>
        <v>0</v>
      </c>
    </row>
    <row r="343" spans="9:22" x14ac:dyDescent="0.25">
      <c r="K343" s="30"/>
      <c r="L343" s="30"/>
      <c r="N343" s="4"/>
      <c r="O343" s="4"/>
      <c r="P343" s="4"/>
      <c r="Q343" s="4"/>
      <c r="R343" s="4"/>
      <c r="S343" s="4"/>
      <c r="T343" s="4"/>
      <c r="U343" s="4"/>
      <c r="V343" s="4"/>
    </row>
    <row r="344" spans="9:22" x14ac:dyDescent="0.25">
      <c r="K344" s="30"/>
      <c r="L344" s="30"/>
      <c r="N344" s="38" t="s">
        <v>37</v>
      </c>
      <c r="O344" s="38"/>
      <c r="P344" s="38"/>
      <c r="Q344" s="38"/>
      <c r="R344" s="38"/>
      <c r="S344" s="38"/>
      <c r="T344" s="38"/>
      <c r="U344" s="38"/>
      <c r="V344" s="38"/>
    </row>
    <row r="345" spans="9:22" x14ac:dyDescent="0.25">
      <c r="I345" s="30"/>
      <c r="J345" s="30"/>
      <c r="K345" s="30"/>
      <c r="L345" s="30"/>
      <c r="N345" s="4">
        <v>1</v>
      </c>
      <c r="O345" s="2" t="s">
        <v>6</v>
      </c>
      <c r="P345" s="4">
        <v>30</v>
      </c>
      <c r="Q345" s="4">
        <v>19</v>
      </c>
      <c r="R345" s="4">
        <v>2</v>
      </c>
      <c r="S345" s="4">
        <f>P345-Q345-R345</f>
        <v>9</v>
      </c>
      <c r="T345" s="4">
        <v>58</v>
      </c>
      <c r="U345" s="4">
        <v>43</v>
      </c>
      <c r="V345" s="5">
        <f>Q345*3+R345*1</f>
        <v>59</v>
      </c>
    </row>
    <row r="346" spans="9:22" x14ac:dyDescent="0.25">
      <c r="K346" s="30"/>
      <c r="L346" s="30"/>
      <c r="N346" s="4">
        <v>2</v>
      </c>
      <c r="O346" s="2" t="s">
        <v>0</v>
      </c>
      <c r="P346" s="4">
        <v>30</v>
      </c>
      <c r="Q346" s="4">
        <v>18</v>
      </c>
      <c r="R346" s="4">
        <v>4</v>
      </c>
      <c r="S346" s="4">
        <f t="shared" ref="S346:S360" si="49">P346-Q346-R346</f>
        <v>8</v>
      </c>
      <c r="T346" s="4">
        <v>57</v>
      </c>
      <c r="U346" s="4">
        <v>34</v>
      </c>
      <c r="V346" s="5">
        <f t="shared" ref="V346:V360" si="50">Q346*3+R346*1</f>
        <v>58</v>
      </c>
    </row>
    <row r="347" spans="9:22" x14ac:dyDescent="0.25">
      <c r="K347" s="30"/>
      <c r="L347" s="30"/>
      <c r="N347" s="4">
        <v>3</v>
      </c>
      <c r="O347" s="2" t="s">
        <v>23</v>
      </c>
      <c r="P347" s="4">
        <v>30</v>
      </c>
      <c r="Q347" s="4">
        <v>17</v>
      </c>
      <c r="R347" s="4">
        <v>7</v>
      </c>
      <c r="S347" s="4">
        <f t="shared" si="49"/>
        <v>6</v>
      </c>
      <c r="T347" s="4">
        <v>49</v>
      </c>
      <c r="U347" s="4">
        <v>30</v>
      </c>
      <c r="V347" s="5">
        <f t="shared" si="50"/>
        <v>58</v>
      </c>
    </row>
    <row r="348" spans="9:22" x14ac:dyDescent="0.25">
      <c r="K348" s="30"/>
      <c r="L348" s="30"/>
      <c r="N348" s="4">
        <v>4</v>
      </c>
      <c r="O348" s="2" t="s">
        <v>24</v>
      </c>
      <c r="P348" s="4">
        <v>30</v>
      </c>
      <c r="Q348" s="4">
        <v>16</v>
      </c>
      <c r="R348" s="4">
        <v>6</v>
      </c>
      <c r="S348" s="4">
        <f t="shared" si="49"/>
        <v>8</v>
      </c>
      <c r="T348" s="4">
        <v>61</v>
      </c>
      <c r="U348" s="4">
        <v>36</v>
      </c>
      <c r="V348" s="5">
        <f t="shared" si="50"/>
        <v>54</v>
      </c>
    </row>
    <row r="349" spans="9:22" x14ac:dyDescent="0.25">
      <c r="K349" s="30"/>
      <c r="L349" s="30"/>
      <c r="N349" s="4">
        <v>5</v>
      </c>
      <c r="O349" s="2" t="s">
        <v>4</v>
      </c>
      <c r="P349" s="4">
        <v>30</v>
      </c>
      <c r="Q349" s="4">
        <v>17</v>
      </c>
      <c r="R349" s="4">
        <v>3</v>
      </c>
      <c r="S349" s="4">
        <f t="shared" si="49"/>
        <v>10</v>
      </c>
      <c r="T349" s="4">
        <v>54</v>
      </c>
      <c r="U349" s="4">
        <v>48</v>
      </c>
      <c r="V349" s="5">
        <f t="shared" si="50"/>
        <v>54</v>
      </c>
    </row>
    <row r="350" spans="9:22" x14ac:dyDescent="0.25">
      <c r="K350" s="30"/>
      <c r="L350" s="30"/>
      <c r="N350" s="4">
        <v>6</v>
      </c>
      <c r="O350" s="2" t="s">
        <v>18</v>
      </c>
      <c r="P350" s="4">
        <v>30</v>
      </c>
      <c r="Q350" s="4">
        <v>16</v>
      </c>
      <c r="R350" s="4">
        <v>5</v>
      </c>
      <c r="S350" s="4">
        <f t="shared" si="49"/>
        <v>9</v>
      </c>
      <c r="T350" s="4">
        <v>58</v>
      </c>
      <c r="U350" s="4">
        <v>43</v>
      </c>
      <c r="V350" s="5">
        <f t="shared" si="50"/>
        <v>53</v>
      </c>
    </row>
    <row r="351" spans="9:22" x14ac:dyDescent="0.25">
      <c r="K351" s="30"/>
      <c r="L351" s="30"/>
      <c r="N351" s="4">
        <v>7</v>
      </c>
      <c r="O351" s="2" t="s">
        <v>33</v>
      </c>
      <c r="P351" s="4">
        <v>30</v>
      </c>
      <c r="Q351" s="4">
        <v>14</v>
      </c>
      <c r="R351" s="4">
        <v>6</v>
      </c>
      <c r="S351" s="4">
        <f t="shared" si="49"/>
        <v>10</v>
      </c>
      <c r="T351" s="4">
        <v>55</v>
      </c>
      <c r="U351" s="4">
        <v>51</v>
      </c>
      <c r="V351" s="5">
        <f t="shared" si="50"/>
        <v>48</v>
      </c>
    </row>
    <row r="352" spans="9:22" x14ac:dyDescent="0.25">
      <c r="K352" s="30"/>
      <c r="L352" s="30"/>
      <c r="N352" s="4">
        <v>8</v>
      </c>
      <c r="O352" s="2" t="s">
        <v>27</v>
      </c>
      <c r="P352" s="4">
        <v>30</v>
      </c>
      <c r="Q352" s="4">
        <v>14</v>
      </c>
      <c r="R352" s="4">
        <v>4</v>
      </c>
      <c r="S352" s="4">
        <f t="shared" si="49"/>
        <v>12</v>
      </c>
      <c r="T352" s="4">
        <v>42</v>
      </c>
      <c r="U352" s="4">
        <v>47</v>
      </c>
      <c r="V352" s="5">
        <f t="shared" si="50"/>
        <v>46</v>
      </c>
    </row>
    <row r="353" spans="9:22" x14ac:dyDescent="0.25">
      <c r="K353" s="30"/>
      <c r="L353" s="30"/>
      <c r="N353" s="4">
        <v>9</v>
      </c>
      <c r="O353" s="2" t="s">
        <v>32</v>
      </c>
      <c r="P353" s="4">
        <v>30</v>
      </c>
      <c r="Q353" s="4">
        <v>10</v>
      </c>
      <c r="R353" s="4">
        <v>10</v>
      </c>
      <c r="S353" s="4">
        <f t="shared" si="49"/>
        <v>10</v>
      </c>
      <c r="T353" s="4">
        <v>43</v>
      </c>
      <c r="U353" s="4">
        <v>33</v>
      </c>
      <c r="V353" s="5">
        <f t="shared" si="50"/>
        <v>40</v>
      </c>
    </row>
    <row r="354" spans="9:22" x14ac:dyDescent="0.25">
      <c r="K354" s="30"/>
      <c r="L354" s="30"/>
      <c r="N354" s="4">
        <v>10</v>
      </c>
      <c r="O354" s="2" t="s">
        <v>38</v>
      </c>
      <c r="P354" s="4">
        <v>30</v>
      </c>
      <c r="Q354" s="4">
        <v>10</v>
      </c>
      <c r="R354" s="4">
        <v>6</v>
      </c>
      <c r="S354" s="4">
        <f t="shared" si="49"/>
        <v>14</v>
      </c>
      <c r="T354" s="4">
        <v>45</v>
      </c>
      <c r="U354" s="4">
        <v>55</v>
      </c>
      <c r="V354" s="5">
        <f t="shared" si="50"/>
        <v>36</v>
      </c>
    </row>
    <row r="355" spans="9:22" x14ac:dyDescent="0.25">
      <c r="K355" s="30"/>
      <c r="L355" s="30"/>
      <c r="N355" s="4">
        <v>11</v>
      </c>
      <c r="O355" s="2" t="s">
        <v>28</v>
      </c>
      <c r="P355" s="4">
        <v>30</v>
      </c>
      <c r="Q355" s="4">
        <v>9</v>
      </c>
      <c r="R355" s="4">
        <v>6</v>
      </c>
      <c r="S355" s="4">
        <f t="shared" si="49"/>
        <v>15</v>
      </c>
      <c r="T355" s="4">
        <v>27</v>
      </c>
      <c r="U355" s="4">
        <v>44</v>
      </c>
      <c r="V355" s="5">
        <f t="shared" si="50"/>
        <v>33</v>
      </c>
    </row>
    <row r="356" spans="9:22" x14ac:dyDescent="0.25">
      <c r="K356" s="30"/>
      <c r="L356" s="30"/>
      <c r="N356" s="4">
        <v>12</v>
      </c>
      <c r="O356" s="2" t="s">
        <v>39</v>
      </c>
      <c r="P356" s="4">
        <v>30</v>
      </c>
      <c r="Q356" s="4">
        <v>8</v>
      </c>
      <c r="R356" s="4">
        <v>7</v>
      </c>
      <c r="S356" s="4">
        <f t="shared" si="49"/>
        <v>15</v>
      </c>
      <c r="T356" s="4">
        <v>44</v>
      </c>
      <c r="U356" s="4">
        <v>55</v>
      </c>
      <c r="V356" s="5">
        <f t="shared" si="50"/>
        <v>31</v>
      </c>
    </row>
    <row r="357" spans="9:22" x14ac:dyDescent="0.25">
      <c r="K357" s="30"/>
      <c r="L357" s="30"/>
      <c r="N357" s="4">
        <v>13</v>
      </c>
      <c r="O357" s="2" t="s">
        <v>1</v>
      </c>
      <c r="P357" s="4">
        <v>30</v>
      </c>
      <c r="Q357" s="4">
        <v>7</v>
      </c>
      <c r="R357" s="4">
        <v>9</v>
      </c>
      <c r="S357" s="4">
        <f t="shared" si="49"/>
        <v>14</v>
      </c>
      <c r="T357" s="4">
        <v>43</v>
      </c>
      <c r="U357" s="4">
        <v>51</v>
      </c>
      <c r="V357" s="5">
        <f t="shared" si="50"/>
        <v>30</v>
      </c>
    </row>
    <row r="358" spans="9:22" x14ac:dyDescent="0.25">
      <c r="K358" s="30"/>
      <c r="L358" s="30"/>
      <c r="N358" s="4">
        <v>14</v>
      </c>
      <c r="O358" s="2" t="s">
        <v>3</v>
      </c>
      <c r="P358" s="4">
        <v>30</v>
      </c>
      <c r="Q358" s="4">
        <v>8</v>
      </c>
      <c r="R358" s="4">
        <v>6</v>
      </c>
      <c r="S358" s="4">
        <f t="shared" si="49"/>
        <v>16</v>
      </c>
      <c r="T358" s="4">
        <v>33</v>
      </c>
      <c r="U358" s="4">
        <v>48</v>
      </c>
      <c r="V358" s="5">
        <f t="shared" si="50"/>
        <v>30</v>
      </c>
    </row>
    <row r="359" spans="9:22" x14ac:dyDescent="0.25">
      <c r="K359" s="30"/>
      <c r="L359" s="30"/>
      <c r="N359" s="4">
        <v>15</v>
      </c>
      <c r="O359" s="2" t="s">
        <v>30</v>
      </c>
      <c r="P359" s="4">
        <v>30</v>
      </c>
      <c r="Q359" s="4">
        <v>5</v>
      </c>
      <c r="R359" s="4">
        <v>7</v>
      </c>
      <c r="S359" s="4">
        <f t="shared" si="49"/>
        <v>18</v>
      </c>
      <c r="T359" s="4">
        <v>24</v>
      </c>
      <c r="U359" s="4">
        <v>50</v>
      </c>
      <c r="V359" s="5">
        <f t="shared" si="50"/>
        <v>22</v>
      </c>
    </row>
    <row r="360" spans="9:22" x14ac:dyDescent="0.25">
      <c r="K360" s="30"/>
      <c r="L360" s="30"/>
      <c r="N360" s="4">
        <v>16</v>
      </c>
      <c r="O360" s="2" t="s">
        <v>36</v>
      </c>
      <c r="P360" s="4">
        <v>30</v>
      </c>
      <c r="Q360" s="4">
        <v>3</v>
      </c>
      <c r="R360" s="4">
        <v>10</v>
      </c>
      <c r="S360" s="4">
        <f t="shared" si="49"/>
        <v>17</v>
      </c>
      <c r="T360" s="4">
        <v>35</v>
      </c>
      <c r="U360" s="4">
        <v>60</v>
      </c>
      <c r="V360" s="5">
        <f t="shared" si="50"/>
        <v>19</v>
      </c>
    </row>
    <row r="361" spans="9:22" x14ac:dyDescent="0.25">
      <c r="K361" s="30"/>
      <c r="L361" s="30"/>
      <c r="N361" s="4"/>
      <c r="O361" s="4"/>
      <c r="P361" s="4"/>
      <c r="Q361" s="4"/>
      <c r="R361" s="4"/>
      <c r="S361" s="4"/>
      <c r="T361" s="4"/>
      <c r="U361" s="4"/>
      <c r="V361" s="4"/>
    </row>
    <row r="362" spans="9:22" x14ac:dyDescent="0.25">
      <c r="K362" s="30"/>
      <c r="L362" s="30"/>
      <c r="N362" s="38" t="s">
        <v>35</v>
      </c>
      <c r="O362" s="38"/>
      <c r="P362" s="38"/>
      <c r="Q362" s="38"/>
      <c r="R362" s="38"/>
      <c r="S362" s="38"/>
      <c r="T362" s="38"/>
      <c r="U362" s="38"/>
      <c r="V362" s="38"/>
    </row>
    <row r="363" spans="9:22" x14ac:dyDescent="0.25">
      <c r="I363" s="30"/>
      <c r="J363" s="30"/>
      <c r="K363" s="30"/>
      <c r="L363" s="30"/>
      <c r="N363" s="4">
        <v>1</v>
      </c>
      <c r="O363" s="2" t="s">
        <v>4</v>
      </c>
      <c r="P363" s="4">
        <v>30</v>
      </c>
      <c r="Q363" s="4">
        <v>21</v>
      </c>
      <c r="R363" s="4">
        <v>5</v>
      </c>
      <c r="S363" s="4">
        <f>P363-Q363-R363</f>
        <v>4</v>
      </c>
      <c r="T363" s="4">
        <v>60</v>
      </c>
      <c r="U363" s="4">
        <v>28</v>
      </c>
      <c r="V363" s="5">
        <f>Q363*3+R363*1</f>
        <v>68</v>
      </c>
    </row>
    <row r="364" spans="9:22" x14ac:dyDescent="0.25">
      <c r="K364" s="30"/>
      <c r="L364" s="30"/>
      <c r="N364" s="4">
        <v>2</v>
      </c>
      <c r="O364" s="2" t="s">
        <v>0</v>
      </c>
      <c r="P364" s="4">
        <v>30</v>
      </c>
      <c r="Q364" s="4">
        <v>17</v>
      </c>
      <c r="R364" s="4">
        <v>9</v>
      </c>
      <c r="S364" s="4">
        <f t="shared" ref="S364:S378" si="51">P364-Q364-R364</f>
        <v>4</v>
      </c>
      <c r="T364" s="4">
        <v>60</v>
      </c>
      <c r="U364" s="4">
        <v>29</v>
      </c>
      <c r="V364" s="5">
        <f t="shared" ref="V364:V378" si="52">Q364*3+R364*1</f>
        <v>60</v>
      </c>
    </row>
    <row r="365" spans="9:22" x14ac:dyDescent="0.25">
      <c r="K365" s="30"/>
      <c r="L365" s="30"/>
      <c r="N365" s="4">
        <v>3</v>
      </c>
      <c r="O365" s="2" t="s">
        <v>18</v>
      </c>
      <c r="P365" s="4">
        <v>30</v>
      </c>
      <c r="Q365" s="4">
        <v>17</v>
      </c>
      <c r="R365" s="4">
        <v>9</v>
      </c>
      <c r="S365" s="4">
        <f t="shared" si="51"/>
        <v>4</v>
      </c>
      <c r="T365" s="4">
        <v>62</v>
      </c>
      <c r="U365" s="4">
        <v>35</v>
      </c>
      <c r="V365" s="5">
        <f t="shared" si="52"/>
        <v>60</v>
      </c>
    </row>
    <row r="366" spans="9:22" x14ac:dyDescent="0.25">
      <c r="K366" s="30"/>
      <c r="L366" s="30"/>
      <c r="N366" s="4">
        <v>4</v>
      </c>
      <c r="O366" s="2" t="s">
        <v>23</v>
      </c>
      <c r="P366" s="4">
        <v>30</v>
      </c>
      <c r="Q366" s="4">
        <v>15</v>
      </c>
      <c r="R366" s="4">
        <v>8</v>
      </c>
      <c r="S366" s="4">
        <f t="shared" si="51"/>
        <v>7</v>
      </c>
      <c r="T366" s="4">
        <v>51</v>
      </c>
      <c r="U366" s="4">
        <v>32</v>
      </c>
      <c r="V366" s="5">
        <f t="shared" si="52"/>
        <v>53</v>
      </c>
    </row>
    <row r="367" spans="9:22" x14ac:dyDescent="0.25">
      <c r="K367" s="30"/>
      <c r="L367" s="30"/>
      <c r="N367" s="4">
        <v>5</v>
      </c>
      <c r="O367" s="2" t="s">
        <v>33</v>
      </c>
      <c r="P367" s="4">
        <v>30</v>
      </c>
      <c r="Q367" s="4">
        <v>17</v>
      </c>
      <c r="R367" s="4">
        <v>2</v>
      </c>
      <c r="S367" s="4">
        <f t="shared" si="51"/>
        <v>11</v>
      </c>
      <c r="T367" s="4">
        <v>41</v>
      </c>
      <c r="U367" s="4">
        <v>33</v>
      </c>
      <c r="V367" s="5">
        <f t="shared" si="52"/>
        <v>53</v>
      </c>
    </row>
    <row r="368" spans="9:22" x14ac:dyDescent="0.25">
      <c r="K368" s="30"/>
      <c r="L368" s="30"/>
      <c r="N368" s="4">
        <v>6</v>
      </c>
      <c r="O368" s="2" t="s">
        <v>32</v>
      </c>
      <c r="P368" s="4">
        <v>30</v>
      </c>
      <c r="Q368" s="4">
        <v>16</v>
      </c>
      <c r="R368" s="4">
        <v>0</v>
      </c>
      <c r="S368" s="4">
        <f t="shared" si="51"/>
        <v>14</v>
      </c>
      <c r="T368" s="4">
        <v>47</v>
      </c>
      <c r="U368" s="4">
        <v>41</v>
      </c>
      <c r="V368" s="5">
        <f t="shared" si="52"/>
        <v>48</v>
      </c>
    </row>
    <row r="369" spans="9:22" x14ac:dyDescent="0.25">
      <c r="K369" s="30"/>
      <c r="L369" s="30"/>
      <c r="N369" s="4">
        <v>7</v>
      </c>
      <c r="O369" s="2" t="s">
        <v>3</v>
      </c>
      <c r="P369" s="4">
        <v>30</v>
      </c>
      <c r="Q369" s="4">
        <v>12</v>
      </c>
      <c r="R369" s="4">
        <v>10</v>
      </c>
      <c r="S369" s="4">
        <f t="shared" si="51"/>
        <v>8</v>
      </c>
      <c r="T369" s="4">
        <v>48</v>
      </c>
      <c r="U369" s="4">
        <v>42</v>
      </c>
      <c r="V369" s="5">
        <f t="shared" si="52"/>
        <v>46</v>
      </c>
    </row>
    <row r="370" spans="9:22" x14ac:dyDescent="0.25">
      <c r="K370" s="30"/>
      <c r="L370" s="30"/>
      <c r="N370" s="4">
        <v>8</v>
      </c>
      <c r="O370" s="2" t="s">
        <v>1</v>
      </c>
      <c r="P370" s="4">
        <v>30</v>
      </c>
      <c r="Q370" s="4">
        <v>10</v>
      </c>
      <c r="R370" s="4">
        <v>10</v>
      </c>
      <c r="S370" s="4">
        <f t="shared" si="51"/>
        <v>10</v>
      </c>
      <c r="T370" s="4">
        <v>46</v>
      </c>
      <c r="U370" s="4">
        <v>50</v>
      </c>
      <c r="V370" s="5">
        <f t="shared" si="52"/>
        <v>40</v>
      </c>
    </row>
    <row r="371" spans="9:22" x14ac:dyDescent="0.25">
      <c r="K371" s="30"/>
      <c r="L371" s="30"/>
      <c r="N371" s="4">
        <v>9</v>
      </c>
      <c r="O371" s="2" t="s">
        <v>24</v>
      </c>
      <c r="P371" s="4">
        <v>30</v>
      </c>
      <c r="Q371" s="4">
        <v>11</v>
      </c>
      <c r="R371" s="4">
        <v>6</v>
      </c>
      <c r="S371" s="4">
        <f t="shared" si="51"/>
        <v>13</v>
      </c>
      <c r="T371" s="4">
        <v>37</v>
      </c>
      <c r="U371" s="4">
        <v>46</v>
      </c>
      <c r="V371" s="5">
        <f t="shared" si="52"/>
        <v>39</v>
      </c>
    </row>
    <row r="372" spans="9:22" x14ac:dyDescent="0.25">
      <c r="K372" s="30"/>
      <c r="L372" s="30"/>
      <c r="N372" s="4">
        <v>10</v>
      </c>
      <c r="O372" s="2" t="s">
        <v>27</v>
      </c>
      <c r="P372" s="4">
        <v>30</v>
      </c>
      <c r="Q372" s="4">
        <v>10</v>
      </c>
      <c r="R372" s="4">
        <v>8</v>
      </c>
      <c r="S372" s="4">
        <f t="shared" si="51"/>
        <v>12</v>
      </c>
      <c r="T372" s="4">
        <v>37</v>
      </c>
      <c r="U372" s="4">
        <v>39</v>
      </c>
      <c r="V372" s="5">
        <f t="shared" si="52"/>
        <v>38</v>
      </c>
    </row>
    <row r="373" spans="9:22" x14ac:dyDescent="0.25">
      <c r="K373" s="30"/>
      <c r="L373" s="30"/>
      <c r="N373" s="4">
        <v>11</v>
      </c>
      <c r="O373" s="2" t="s">
        <v>30</v>
      </c>
      <c r="P373" s="4">
        <v>30</v>
      </c>
      <c r="Q373" s="4">
        <v>10</v>
      </c>
      <c r="R373" s="4">
        <v>6</v>
      </c>
      <c r="S373" s="4">
        <f t="shared" si="51"/>
        <v>14</v>
      </c>
      <c r="T373" s="4">
        <v>25</v>
      </c>
      <c r="U373" s="4">
        <v>36</v>
      </c>
      <c r="V373" s="5">
        <f t="shared" si="52"/>
        <v>36</v>
      </c>
    </row>
    <row r="374" spans="9:22" x14ac:dyDescent="0.25">
      <c r="K374" s="30"/>
      <c r="L374" s="30"/>
      <c r="N374" s="4">
        <v>12</v>
      </c>
      <c r="O374" s="2" t="s">
        <v>36</v>
      </c>
      <c r="P374" s="4">
        <v>30</v>
      </c>
      <c r="Q374" s="4">
        <v>10</v>
      </c>
      <c r="R374" s="4">
        <v>4</v>
      </c>
      <c r="S374" s="4">
        <f t="shared" si="51"/>
        <v>16</v>
      </c>
      <c r="T374" s="4">
        <v>43</v>
      </c>
      <c r="U374" s="4">
        <v>49</v>
      </c>
      <c r="V374" s="5">
        <f t="shared" si="52"/>
        <v>34</v>
      </c>
    </row>
    <row r="375" spans="9:22" x14ac:dyDescent="0.25">
      <c r="K375" s="30"/>
      <c r="L375" s="30"/>
      <c r="N375" s="4">
        <v>13</v>
      </c>
      <c r="O375" s="2" t="s">
        <v>6</v>
      </c>
      <c r="P375" s="4">
        <v>30</v>
      </c>
      <c r="Q375" s="4">
        <v>9</v>
      </c>
      <c r="R375" s="4">
        <v>6</v>
      </c>
      <c r="S375" s="4">
        <f t="shared" si="51"/>
        <v>15</v>
      </c>
      <c r="T375" s="4">
        <v>39</v>
      </c>
      <c r="U375" s="4">
        <v>45</v>
      </c>
      <c r="V375" s="5">
        <f t="shared" si="52"/>
        <v>33</v>
      </c>
    </row>
    <row r="376" spans="9:22" x14ac:dyDescent="0.25">
      <c r="K376" s="30"/>
      <c r="L376" s="30"/>
      <c r="N376" s="4">
        <v>14</v>
      </c>
      <c r="O376" s="2" t="s">
        <v>28</v>
      </c>
      <c r="P376" s="4">
        <v>30</v>
      </c>
      <c r="Q376" s="4">
        <v>9</v>
      </c>
      <c r="R376" s="4">
        <v>6</v>
      </c>
      <c r="S376" s="4">
        <f t="shared" si="51"/>
        <v>15</v>
      </c>
      <c r="T376" s="4">
        <v>28</v>
      </c>
      <c r="U376" s="4">
        <v>43</v>
      </c>
      <c r="V376" s="5">
        <f t="shared" si="52"/>
        <v>33</v>
      </c>
    </row>
    <row r="377" spans="9:22" x14ac:dyDescent="0.25">
      <c r="K377" s="30"/>
      <c r="L377" s="30"/>
      <c r="N377" s="4">
        <v>15</v>
      </c>
      <c r="O377" s="2" t="s">
        <v>25</v>
      </c>
      <c r="P377" s="4">
        <v>30</v>
      </c>
      <c r="Q377" s="4">
        <v>3</v>
      </c>
      <c r="R377" s="4">
        <v>9</v>
      </c>
      <c r="S377" s="4">
        <f t="shared" si="51"/>
        <v>18</v>
      </c>
      <c r="T377" s="4">
        <v>32</v>
      </c>
      <c r="U377" s="4">
        <v>63</v>
      </c>
      <c r="V377" s="5">
        <f t="shared" si="52"/>
        <v>18</v>
      </c>
    </row>
    <row r="378" spans="9:22" x14ac:dyDescent="0.25">
      <c r="K378" s="30"/>
      <c r="L378" s="30"/>
      <c r="N378" s="4">
        <v>16</v>
      </c>
      <c r="O378" s="2" t="s">
        <v>2</v>
      </c>
      <c r="P378" s="4">
        <v>30</v>
      </c>
      <c r="Q378" s="4">
        <v>1</v>
      </c>
      <c r="R378" s="4">
        <v>6</v>
      </c>
      <c r="S378" s="4">
        <f t="shared" si="51"/>
        <v>23</v>
      </c>
      <c r="T378" s="4">
        <v>23</v>
      </c>
      <c r="U378" s="4">
        <v>68</v>
      </c>
      <c r="V378" s="5">
        <f t="shared" si="52"/>
        <v>9</v>
      </c>
    </row>
    <row r="379" spans="9:22" x14ac:dyDescent="0.25">
      <c r="K379" s="30"/>
      <c r="L379" s="30"/>
      <c r="N379" s="4"/>
      <c r="O379" s="4"/>
      <c r="P379" s="4"/>
      <c r="Q379" s="4"/>
      <c r="R379" s="4"/>
      <c r="S379" s="4"/>
      <c r="T379" s="4"/>
      <c r="U379" s="4"/>
      <c r="V379" s="4"/>
    </row>
    <row r="380" spans="9:22" x14ac:dyDescent="0.25">
      <c r="K380" s="30"/>
      <c r="L380" s="30"/>
      <c r="N380" s="38" t="s">
        <v>31</v>
      </c>
      <c r="O380" s="38"/>
      <c r="P380" s="38"/>
      <c r="Q380" s="38"/>
      <c r="R380" s="38"/>
      <c r="S380" s="38"/>
      <c r="T380" s="38"/>
      <c r="U380" s="38"/>
      <c r="V380" s="38"/>
    </row>
    <row r="381" spans="9:22" x14ac:dyDescent="0.25">
      <c r="I381" s="30"/>
      <c r="J381" s="30"/>
      <c r="K381" s="30"/>
      <c r="L381" s="30"/>
      <c r="N381" s="4">
        <v>1</v>
      </c>
      <c r="O381" s="2" t="s">
        <v>4</v>
      </c>
      <c r="P381" s="4">
        <v>30</v>
      </c>
      <c r="Q381" s="4">
        <v>20</v>
      </c>
      <c r="R381" s="4">
        <v>3</v>
      </c>
      <c r="S381" s="4">
        <f>P381-Q381-R381</f>
        <v>7</v>
      </c>
      <c r="T381" s="4">
        <v>67</v>
      </c>
      <c r="U381" s="4">
        <v>29</v>
      </c>
      <c r="V381" s="5">
        <f>Q381*3+R381*1</f>
        <v>63</v>
      </c>
    </row>
    <row r="382" spans="9:22" x14ac:dyDescent="0.25">
      <c r="K382" s="30"/>
      <c r="L382" s="30"/>
      <c r="N382" s="4">
        <v>2</v>
      </c>
      <c r="O382" s="2" t="s">
        <v>24</v>
      </c>
      <c r="P382" s="4">
        <v>30</v>
      </c>
      <c r="Q382" s="4">
        <v>19</v>
      </c>
      <c r="R382" s="4">
        <v>4</v>
      </c>
      <c r="S382" s="4">
        <f t="shared" ref="S382:S396" si="53">P382-Q382-R382</f>
        <v>7</v>
      </c>
      <c r="T382" s="4">
        <v>59</v>
      </c>
      <c r="U382" s="4">
        <v>32</v>
      </c>
      <c r="V382" s="5">
        <f t="shared" ref="V382:V396" si="54">Q382*3+R382*1</f>
        <v>61</v>
      </c>
    </row>
    <row r="383" spans="9:22" x14ac:dyDescent="0.25">
      <c r="K383" s="30"/>
      <c r="L383" s="30"/>
      <c r="N383" s="4">
        <v>3</v>
      </c>
      <c r="O383" s="2" t="s">
        <v>32</v>
      </c>
      <c r="P383" s="4">
        <v>30</v>
      </c>
      <c r="Q383" s="4">
        <v>17</v>
      </c>
      <c r="R383" s="4">
        <v>8</v>
      </c>
      <c r="S383" s="4">
        <f t="shared" si="53"/>
        <v>5</v>
      </c>
      <c r="T383" s="4">
        <v>60</v>
      </c>
      <c r="U383" s="4">
        <v>26</v>
      </c>
      <c r="V383" s="5">
        <f t="shared" si="54"/>
        <v>59</v>
      </c>
    </row>
    <row r="384" spans="9:22" x14ac:dyDescent="0.25">
      <c r="K384" s="30"/>
      <c r="L384" s="30"/>
      <c r="N384" s="4">
        <v>4</v>
      </c>
      <c r="O384" s="2" t="s">
        <v>23</v>
      </c>
      <c r="P384" s="4">
        <v>30</v>
      </c>
      <c r="Q384" s="4">
        <v>16</v>
      </c>
      <c r="R384" s="4">
        <v>6</v>
      </c>
      <c r="S384" s="4">
        <f t="shared" si="53"/>
        <v>8</v>
      </c>
      <c r="T384" s="4">
        <v>61</v>
      </c>
      <c r="U384" s="4">
        <v>33</v>
      </c>
      <c r="V384" s="5">
        <f t="shared" si="54"/>
        <v>54</v>
      </c>
    </row>
    <row r="385" spans="9:22" x14ac:dyDescent="0.25">
      <c r="K385" s="30"/>
      <c r="L385" s="30"/>
      <c r="N385" s="4">
        <v>5</v>
      </c>
      <c r="O385" s="2" t="s">
        <v>0</v>
      </c>
      <c r="P385" s="4">
        <v>30</v>
      </c>
      <c r="Q385" s="4">
        <v>16</v>
      </c>
      <c r="R385" s="4">
        <v>5</v>
      </c>
      <c r="S385" s="4">
        <f t="shared" si="53"/>
        <v>9</v>
      </c>
      <c r="T385" s="4">
        <v>67</v>
      </c>
      <c r="U385" s="4">
        <v>29</v>
      </c>
      <c r="V385" s="5">
        <f t="shared" si="54"/>
        <v>53</v>
      </c>
    </row>
    <row r="386" spans="9:22" x14ac:dyDescent="0.25">
      <c r="K386" s="30"/>
      <c r="L386" s="30"/>
      <c r="N386" s="4">
        <v>6</v>
      </c>
      <c r="O386" s="2" t="s">
        <v>3</v>
      </c>
      <c r="P386" s="4">
        <v>30</v>
      </c>
      <c r="Q386" s="4">
        <v>15</v>
      </c>
      <c r="R386" s="4">
        <v>7</v>
      </c>
      <c r="S386" s="4">
        <f t="shared" si="53"/>
        <v>8</v>
      </c>
      <c r="T386" s="4">
        <v>52</v>
      </c>
      <c r="U386" s="4">
        <v>35</v>
      </c>
      <c r="V386" s="5">
        <f t="shared" si="54"/>
        <v>52</v>
      </c>
    </row>
    <row r="387" spans="9:22" x14ac:dyDescent="0.25">
      <c r="K387" s="30"/>
      <c r="L387" s="30"/>
      <c r="N387" s="4">
        <v>7</v>
      </c>
      <c r="O387" s="2" t="s">
        <v>33</v>
      </c>
      <c r="P387" s="4">
        <v>30</v>
      </c>
      <c r="Q387" s="4">
        <v>14</v>
      </c>
      <c r="R387" s="4">
        <v>6</v>
      </c>
      <c r="S387" s="4">
        <f t="shared" si="53"/>
        <v>10</v>
      </c>
      <c r="T387" s="4">
        <v>63</v>
      </c>
      <c r="U387" s="4">
        <v>34</v>
      </c>
      <c r="V387" s="5">
        <f t="shared" si="54"/>
        <v>48</v>
      </c>
    </row>
    <row r="388" spans="9:22" x14ac:dyDescent="0.25">
      <c r="K388" s="30"/>
      <c r="L388" s="30"/>
      <c r="N388" s="4">
        <v>8</v>
      </c>
      <c r="O388" s="2" t="s">
        <v>18</v>
      </c>
      <c r="P388" s="4">
        <v>30</v>
      </c>
      <c r="Q388" s="4">
        <v>13</v>
      </c>
      <c r="R388" s="4">
        <v>5</v>
      </c>
      <c r="S388" s="4">
        <f t="shared" si="53"/>
        <v>12</v>
      </c>
      <c r="T388" s="4">
        <v>52</v>
      </c>
      <c r="U388" s="4">
        <v>31</v>
      </c>
      <c r="V388" s="5">
        <f t="shared" si="54"/>
        <v>44</v>
      </c>
    </row>
    <row r="389" spans="9:22" x14ac:dyDescent="0.25">
      <c r="K389" s="30"/>
      <c r="L389" s="30"/>
      <c r="N389" s="4">
        <v>9</v>
      </c>
      <c r="O389" s="2" t="s">
        <v>27</v>
      </c>
      <c r="P389" s="4">
        <v>30</v>
      </c>
      <c r="Q389" s="4">
        <v>13</v>
      </c>
      <c r="R389" s="4">
        <v>4</v>
      </c>
      <c r="S389" s="4">
        <f t="shared" si="53"/>
        <v>13</v>
      </c>
      <c r="T389" s="4">
        <v>44</v>
      </c>
      <c r="U389" s="4">
        <v>48</v>
      </c>
      <c r="V389" s="5">
        <f t="shared" si="54"/>
        <v>43</v>
      </c>
    </row>
    <row r="390" spans="9:22" x14ac:dyDescent="0.25">
      <c r="K390" s="30"/>
      <c r="L390" s="30"/>
      <c r="N390" s="4">
        <v>10</v>
      </c>
      <c r="O390" s="2" t="s">
        <v>6</v>
      </c>
      <c r="P390" s="4">
        <v>30</v>
      </c>
      <c r="Q390" s="4">
        <v>11</v>
      </c>
      <c r="R390" s="4">
        <v>8</v>
      </c>
      <c r="S390" s="4">
        <f t="shared" si="53"/>
        <v>11</v>
      </c>
      <c r="T390" s="4">
        <v>52</v>
      </c>
      <c r="U390" s="4">
        <v>40</v>
      </c>
      <c r="V390" s="5">
        <f t="shared" si="54"/>
        <v>41</v>
      </c>
    </row>
    <row r="391" spans="9:22" x14ac:dyDescent="0.25">
      <c r="K391" s="30"/>
      <c r="L391" s="30"/>
      <c r="N391" s="4">
        <v>11</v>
      </c>
      <c r="O391" s="2" t="s">
        <v>28</v>
      </c>
      <c r="P391" s="4">
        <v>30</v>
      </c>
      <c r="Q391" s="4">
        <v>11</v>
      </c>
      <c r="R391" s="4">
        <v>7</v>
      </c>
      <c r="S391" s="4">
        <f t="shared" si="53"/>
        <v>12</v>
      </c>
      <c r="T391" s="4">
        <v>43</v>
      </c>
      <c r="U391" s="4">
        <v>42</v>
      </c>
      <c r="V391" s="5">
        <f t="shared" si="54"/>
        <v>40</v>
      </c>
    </row>
    <row r="392" spans="9:22" x14ac:dyDescent="0.25">
      <c r="K392" s="30"/>
      <c r="L392" s="30"/>
      <c r="N392" s="4">
        <v>12</v>
      </c>
      <c r="O392" s="2" t="s">
        <v>1</v>
      </c>
      <c r="P392" s="4">
        <v>30</v>
      </c>
      <c r="Q392" s="4">
        <v>10</v>
      </c>
      <c r="R392" s="4">
        <v>6</v>
      </c>
      <c r="S392" s="4">
        <f t="shared" si="53"/>
        <v>14</v>
      </c>
      <c r="T392" s="4">
        <v>47</v>
      </c>
      <c r="U392" s="4">
        <v>50</v>
      </c>
      <c r="V392" s="5">
        <f t="shared" si="54"/>
        <v>36</v>
      </c>
    </row>
    <row r="393" spans="9:22" x14ac:dyDescent="0.25">
      <c r="K393" s="30"/>
      <c r="L393" s="30"/>
      <c r="N393" s="4">
        <v>13</v>
      </c>
      <c r="O393" s="2" t="s">
        <v>25</v>
      </c>
      <c r="P393" s="4">
        <v>30</v>
      </c>
      <c r="Q393" s="4">
        <v>9</v>
      </c>
      <c r="R393" s="4">
        <v>3</v>
      </c>
      <c r="S393" s="4">
        <f t="shared" si="53"/>
        <v>18</v>
      </c>
      <c r="T393" s="4">
        <v>44</v>
      </c>
      <c r="U393" s="4">
        <v>58</v>
      </c>
      <c r="V393" s="5">
        <f t="shared" si="54"/>
        <v>30</v>
      </c>
    </row>
    <row r="394" spans="9:22" x14ac:dyDescent="0.25">
      <c r="K394" s="30"/>
      <c r="L394" s="30"/>
      <c r="N394" s="4">
        <v>14</v>
      </c>
      <c r="O394" s="2" t="s">
        <v>2</v>
      </c>
      <c r="P394" s="4">
        <v>30</v>
      </c>
      <c r="Q394" s="4">
        <v>8</v>
      </c>
      <c r="R394" s="4">
        <v>5</v>
      </c>
      <c r="S394" s="4">
        <f t="shared" si="53"/>
        <v>17</v>
      </c>
      <c r="T394" s="4">
        <v>49</v>
      </c>
      <c r="U394" s="4">
        <v>60</v>
      </c>
      <c r="V394" s="5">
        <f t="shared" si="54"/>
        <v>29</v>
      </c>
    </row>
    <row r="395" spans="9:22" x14ac:dyDescent="0.25">
      <c r="K395" s="30"/>
      <c r="L395" s="30"/>
      <c r="N395" s="4">
        <v>15</v>
      </c>
      <c r="O395" s="2" t="s">
        <v>9</v>
      </c>
      <c r="P395" s="4">
        <v>30</v>
      </c>
      <c r="Q395" s="4">
        <v>8</v>
      </c>
      <c r="R395" s="4">
        <v>3</v>
      </c>
      <c r="S395" s="4">
        <f t="shared" si="53"/>
        <v>19</v>
      </c>
      <c r="T395" s="4">
        <v>37</v>
      </c>
      <c r="U395" s="4">
        <v>58</v>
      </c>
      <c r="V395" s="5">
        <f t="shared" si="54"/>
        <v>27</v>
      </c>
    </row>
    <row r="396" spans="9:22" x14ac:dyDescent="0.25">
      <c r="K396" s="30"/>
      <c r="L396" s="30"/>
      <c r="N396" s="4">
        <v>16</v>
      </c>
      <c r="O396" s="4" t="s">
        <v>34</v>
      </c>
      <c r="P396" s="4">
        <v>30</v>
      </c>
      <c r="Q396" s="4">
        <v>0</v>
      </c>
      <c r="R396" s="4">
        <v>0</v>
      </c>
      <c r="S396" s="4">
        <f t="shared" si="53"/>
        <v>30</v>
      </c>
      <c r="T396" s="4">
        <v>4</v>
      </c>
      <c r="U396" s="4">
        <v>196</v>
      </c>
      <c r="V396" s="5">
        <f t="shared" si="54"/>
        <v>0</v>
      </c>
    </row>
    <row r="397" spans="9:22" x14ac:dyDescent="0.25">
      <c r="K397" s="30"/>
      <c r="L397" s="30"/>
      <c r="N397" s="4"/>
      <c r="O397" s="4"/>
      <c r="P397" s="4"/>
      <c r="Q397" s="4"/>
      <c r="R397" s="4"/>
      <c r="S397" s="4"/>
      <c r="T397" s="4"/>
      <c r="U397" s="4"/>
      <c r="V397" s="4"/>
    </row>
    <row r="398" spans="9:22" x14ac:dyDescent="0.25">
      <c r="K398" s="30"/>
      <c r="L398" s="30"/>
      <c r="N398" s="38" t="s">
        <v>29</v>
      </c>
      <c r="O398" s="38"/>
      <c r="P398" s="38"/>
      <c r="Q398" s="38"/>
      <c r="R398" s="38"/>
      <c r="S398" s="38"/>
      <c r="T398" s="38"/>
      <c r="U398" s="38"/>
      <c r="V398" s="38"/>
    </row>
    <row r="399" spans="9:22" x14ac:dyDescent="0.25">
      <c r="I399" s="30"/>
      <c r="J399" s="30"/>
      <c r="K399" s="30"/>
      <c r="L399" s="30"/>
      <c r="N399" s="4">
        <v>1</v>
      </c>
      <c r="O399" s="2" t="s">
        <v>4</v>
      </c>
      <c r="P399" s="4">
        <v>30</v>
      </c>
      <c r="Q399" s="4">
        <v>19</v>
      </c>
      <c r="R399" s="4">
        <v>8</v>
      </c>
      <c r="S399" s="4">
        <f>P399-Q399-R399</f>
        <v>3</v>
      </c>
      <c r="T399" s="4">
        <v>48</v>
      </c>
      <c r="U399" s="4">
        <v>24</v>
      </c>
      <c r="V399" s="5">
        <f>Q399*3+R399*1</f>
        <v>65</v>
      </c>
    </row>
    <row r="400" spans="9:22" x14ac:dyDescent="0.25">
      <c r="K400" s="30"/>
      <c r="L400" s="30"/>
      <c r="N400" s="4">
        <v>2</v>
      </c>
      <c r="O400" s="2" t="s">
        <v>0</v>
      </c>
      <c r="P400" s="4">
        <v>30</v>
      </c>
      <c r="Q400" s="4">
        <v>16</v>
      </c>
      <c r="R400" s="4">
        <v>10</v>
      </c>
      <c r="S400" s="4">
        <f t="shared" ref="S400:S414" si="55">P400-Q400-R400</f>
        <v>4</v>
      </c>
      <c r="T400" s="4">
        <v>47</v>
      </c>
      <c r="U400" s="4">
        <v>24</v>
      </c>
      <c r="V400" s="5">
        <f t="shared" ref="V400:V414" si="56">Q400*3+R400*1</f>
        <v>58</v>
      </c>
    </row>
    <row r="401" spans="11:22" x14ac:dyDescent="0.25">
      <c r="K401" s="30"/>
      <c r="L401" s="30"/>
      <c r="N401" s="4">
        <v>3</v>
      </c>
      <c r="O401" s="2" t="s">
        <v>23</v>
      </c>
      <c r="P401" s="4">
        <v>30</v>
      </c>
      <c r="Q401" s="4">
        <v>16</v>
      </c>
      <c r="R401" s="4">
        <v>7</v>
      </c>
      <c r="S401" s="4">
        <f t="shared" si="55"/>
        <v>7</v>
      </c>
      <c r="T401" s="4">
        <v>50</v>
      </c>
      <c r="U401" s="4">
        <v>33</v>
      </c>
      <c r="V401" s="5">
        <f t="shared" si="56"/>
        <v>55</v>
      </c>
    </row>
    <row r="402" spans="11:22" x14ac:dyDescent="0.25">
      <c r="K402" s="30"/>
      <c r="L402" s="30"/>
      <c r="N402" s="4">
        <v>4</v>
      </c>
      <c r="O402" s="2" t="s">
        <v>7</v>
      </c>
      <c r="P402" s="4">
        <v>30</v>
      </c>
      <c r="Q402" s="4">
        <v>13</v>
      </c>
      <c r="R402" s="4">
        <v>8</v>
      </c>
      <c r="S402" s="4">
        <f t="shared" si="55"/>
        <v>9</v>
      </c>
      <c r="T402" s="4">
        <v>42</v>
      </c>
      <c r="U402" s="4">
        <v>34</v>
      </c>
      <c r="V402" s="5">
        <f t="shared" si="56"/>
        <v>47</v>
      </c>
    </row>
    <row r="403" spans="11:22" x14ac:dyDescent="0.25">
      <c r="K403" s="30"/>
      <c r="L403" s="30"/>
      <c r="N403" s="4">
        <v>5</v>
      </c>
      <c r="O403" s="2" t="s">
        <v>18</v>
      </c>
      <c r="P403" s="4">
        <v>30</v>
      </c>
      <c r="Q403" s="4">
        <v>12</v>
      </c>
      <c r="R403" s="4">
        <v>9</v>
      </c>
      <c r="S403" s="4">
        <f t="shared" si="55"/>
        <v>9</v>
      </c>
      <c r="T403" s="4">
        <v>33</v>
      </c>
      <c r="U403" s="4">
        <v>36</v>
      </c>
      <c r="V403" s="5">
        <f t="shared" si="56"/>
        <v>45</v>
      </c>
    </row>
    <row r="404" spans="11:22" x14ac:dyDescent="0.25">
      <c r="K404" s="30"/>
      <c r="L404" s="30"/>
      <c r="N404" s="4">
        <v>6</v>
      </c>
      <c r="O404" s="2" t="s">
        <v>24</v>
      </c>
      <c r="P404" s="4">
        <v>30</v>
      </c>
      <c r="Q404" s="4">
        <v>12</v>
      </c>
      <c r="R404" s="4">
        <v>7</v>
      </c>
      <c r="S404" s="4">
        <f t="shared" si="55"/>
        <v>11</v>
      </c>
      <c r="T404" s="4">
        <v>40</v>
      </c>
      <c r="U404" s="4">
        <v>40</v>
      </c>
      <c r="V404" s="5">
        <f t="shared" si="56"/>
        <v>43</v>
      </c>
    </row>
    <row r="405" spans="11:22" x14ac:dyDescent="0.25">
      <c r="K405" s="30"/>
      <c r="L405" s="30"/>
      <c r="N405" s="4">
        <v>7</v>
      </c>
      <c r="O405" s="2" t="s">
        <v>25</v>
      </c>
      <c r="P405" s="4">
        <v>30</v>
      </c>
      <c r="Q405" s="4">
        <v>10</v>
      </c>
      <c r="R405" s="4">
        <v>11</v>
      </c>
      <c r="S405" s="4">
        <f t="shared" si="55"/>
        <v>9</v>
      </c>
      <c r="T405" s="4">
        <v>40</v>
      </c>
      <c r="U405" s="4">
        <v>41</v>
      </c>
      <c r="V405" s="5">
        <f t="shared" si="56"/>
        <v>41</v>
      </c>
    </row>
    <row r="406" spans="11:22" x14ac:dyDescent="0.25">
      <c r="K406" s="30"/>
      <c r="L406" s="30"/>
      <c r="N406" s="4">
        <v>8</v>
      </c>
      <c r="O406" s="2" t="s">
        <v>27</v>
      </c>
      <c r="P406" s="4">
        <v>30</v>
      </c>
      <c r="Q406" s="4">
        <v>10</v>
      </c>
      <c r="R406" s="4">
        <v>11</v>
      </c>
      <c r="S406" s="4">
        <f t="shared" si="55"/>
        <v>9</v>
      </c>
      <c r="T406" s="4">
        <v>41</v>
      </c>
      <c r="U406" s="4">
        <v>50</v>
      </c>
      <c r="V406" s="5">
        <f t="shared" si="56"/>
        <v>41</v>
      </c>
    </row>
    <row r="407" spans="11:22" x14ac:dyDescent="0.25">
      <c r="K407" s="30"/>
      <c r="L407" s="30"/>
      <c r="N407" s="4">
        <v>9</v>
      </c>
      <c r="O407" s="2" t="s">
        <v>3</v>
      </c>
      <c r="P407" s="4">
        <v>30</v>
      </c>
      <c r="Q407" s="4">
        <v>10</v>
      </c>
      <c r="R407" s="4">
        <v>10</v>
      </c>
      <c r="S407" s="4">
        <f t="shared" si="55"/>
        <v>10</v>
      </c>
      <c r="T407" s="4">
        <v>44</v>
      </c>
      <c r="U407" s="4">
        <v>42</v>
      </c>
      <c r="V407" s="5">
        <f t="shared" si="56"/>
        <v>40</v>
      </c>
    </row>
    <row r="408" spans="11:22" x14ac:dyDescent="0.25">
      <c r="K408" s="30"/>
      <c r="L408" s="30"/>
      <c r="N408" s="4">
        <v>10</v>
      </c>
      <c r="O408" s="2" t="s">
        <v>28</v>
      </c>
      <c r="P408" s="4">
        <v>30</v>
      </c>
      <c r="Q408" s="4">
        <v>11</v>
      </c>
      <c r="R408" s="4">
        <v>4</v>
      </c>
      <c r="S408" s="4">
        <f t="shared" si="55"/>
        <v>15</v>
      </c>
      <c r="T408" s="4">
        <v>41</v>
      </c>
      <c r="U408" s="4">
        <v>41</v>
      </c>
      <c r="V408" s="5">
        <f t="shared" si="56"/>
        <v>37</v>
      </c>
    </row>
    <row r="409" spans="11:22" x14ac:dyDescent="0.25">
      <c r="K409" s="30"/>
      <c r="L409" s="30"/>
      <c r="N409" s="4">
        <v>11</v>
      </c>
      <c r="O409" s="2" t="s">
        <v>6</v>
      </c>
      <c r="P409" s="4">
        <v>30</v>
      </c>
      <c r="Q409" s="4">
        <v>8</v>
      </c>
      <c r="R409" s="4">
        <v>10</v>
      </c>
      <c r="S409" s="4">
        <f t="shared" si="55"/>
        <v>12</v>
      </c>
      <c r="T409" s="4">
        <v>36</v>
      </c>
      <c r="U409" s="4">
        <v>44</v>
      </c>
      <c r="V409" s="5">
        <f t="shared" si="56"/>
        <v>34</v>
      </c>
    </row>
    <row r="410" spans="11:22" x14ac:dyDescent="0.25">
      <c r="K410" s="30"/>
      <c r="L410" s="30"/>
      <c r="N410" s="4">
        <v>12</v>
      </c>
      <c r="O410" s="2" t="s">
        <v>1</v>
      </c>
      <c r="P410" s="4">
        <v>30</v>
      </c>
      <c r="Q410" s="4">
        <v>9</v>
      </c>
      <c r="R410" s="4">
        <v>7</v>
      </c>
      <c r="S410" s="4">
        <f t="shared" si="55"/>
        <v>14</v>
      </c>
      <c r="T410" s="4">
        <v>34</v>
      </c>
      <c r="U410" s="4">
        <v>46</v>
      </c>
      <c r="V410" s="5">
        <f t="shared" si="56"/>
        <v>34</v>
      </c>
    </row>
    <row r="411" spans="11:22" x14ac:dyDescent="0.25">
      <c r="K411" s="30"/>
      <c r="L411" s="30"/>
      <c r="N411" s="4">
        <v>13</v>
      </c>
      <c r="O411" s="2" t="s">
        <v>2</v>
      </c>
      <c r="P411" s="4">
        <v>30</v>
      </c>
      <c r="Q411" s="4">
        <v>7</v>
      </c>
      <c r="R411" s="4">
        <v>11</v>
      </c>
      <c r="S411" s="4">
        <f t="shared" si="55"/>
        <v>12</v>
      </c>
      <c r="T411" s="4">
        <v>38</v>
      </c>
      <c r="U411" s="4">
        <v>36</v>
      </c>
      <c r="V411" s="5">
        <f t="shared" si="56"/>
        <v>32</v>
      </c>
    </row>
    <row r="412" spans="11:22" x14ac:dyDescent="0.25">
      <c r="K412" s="30"/>
      <c r="L412" s="30"/>
      <c r="N412" s="4">
        <v>14</v>
      </c>
      <c r="O412" s="2" t="s">
        <v>9</v>
      </c>
      <c r="P412" s="4">
        <v>30</v>
      </c>
      <c r="Q412" s="4">
        <v>6</v>
      </c>
      <c r="R412" s="4">
        <v>10</v>
      </c>
      <c r="S412" s="4">
        <f t="shared" si="55"/>
        <v>14</v>
      </c>
      <c r="T412" s="4">
        <v>30</v>
      </c>
      <c r="U412" s="4">
        <v>38</v>
      </c>
      <c r="V412" s="5">
        <f t="shared" si="56"/>
        <v>28</v>
      </c>
    </row>
    <row r="413" spans="11:22" x14ac:dyDescent="0.25">
      <c r="K413" s="30"/>
      <c r="L413" s="30"/>
      <c r="N413" s="4">
        <v>15</v>
      </c>
      <c r="O413" s="2" t="s">
        <v>30</v>
      </c>
      <c r="P413" s="4">
        <v>30</v>
      </c>
      <c r="Q413" s="4">
        <v>6</v>
      </c>
      <c r="R413" s="4">
        <v>8</v>
      </c>
      <c r="S413" s="4">
        <f t="shared" si="55"/>
        <v>16</v>
      </c>
      <c r="T413" s="4">
        <v>38</v>
      </c>
      <c r="U413" s="4">
        <v>47</v>
      </c>
      <c r="V413" s="5">
        <f t="shared" si="56"/>
        <v>26</v>
      </c>
    </row>
    <row r="414" spans="11:22" x14ac:dyDescent="0.25">
      <c r="K414" s="30"/>
      <c r="L414" s="30"/>
      <c r="N414" s="4">
        <v>16</v>
      </c>
      <c r="O414" s="2" t="s">
        <v>17</v>
      </c>
      <c r="P414" s="4">
        <v>30</v>
      </c>
      <c r="Q414" s="4">
        <v>5</v>
      </c>
      <c r="R414" s="4">
        <v>9</v>
      </c>
      <c r="S414" s="4">
        <f t="shared" si="55"/>
        <v>16</v>
      </c>
      <c r="T414" s="4">
        <v>28</v>
      </c>
      <c r="U414" s="4">
        <v>54</v>
      </c>
      <c r="V414" s="5">
        <f t="shared" si="56"/>
        <v>24</v>
      </c>
    </row>
    <row r="415" spans="11:22" x14ac:dyDescent="0.25">
      <c r="K415" s="30"/>
      <c r="L415" s="30"/>
      <c r="N415" s="4"/>
      <c r="O415" s="4"/>
      <c r="P415" s="4"/>
      <c r="Q415" s="4"/>
      <c r="R415" s="4"/>
      <c r="S415" s="4"/>
      <c r="T415" s="4"/>
      <c r="U415" s="4"/>
      <c r="V415" s="4"/>
    </row>
    <row r="416" spans="11:22" x14ac:dyDescent="0.25">
      <c r="K416" s="30"/>
      <c r="L416" s="30"/>
      <c r="N416" s="38" t="s">
        <v>26</v>
      </c>
      <c r="O416" s="38"/>
      <c r="P416" s="38"/>
      <c r="Q416" s="38"/>
      <c r="R416" s="38"/>
      <c r="S416" s="38"/>
      <c r="T416" s="38"/>
      <c r="U416" s="38"/>
      <c r="V416" s="38"/>
    </row>
    <row r="417" spans="9:22" x14ac:dyDescent="0.25">
      <c r="I417" s="30"/>
      <c r="J417" s="30"/>
      <c r="K417" s="30"/>
      <c r="L417" s="30"/>
      <c r="N417" s="4">
        <v>1</v>
      </c>
      <c r="O417" s="2" t="s">
        <v>3</v>
      </c>
      <c r="P417" s="4">
        <v>30</v>
      </c>
      <c r="Q417" s="4">
        <v>19</v>
      </c>
      <c r="R417" s="4">
        <v>4</v>
      </c>
      <c r="S417" s="4">
        <f>P417-Q417-R417</f>
        <v>7</v>
      </c>
      <c r="T417" s="4">
        <v>54</v>
      </c>
      <c r="U417" s="4">
        <v>28</v>
      </c>
      <c r="V417" s="5">
        <f>Q417*3+R417*1</f>
        <v>61</v>
      </c>
    </row>
    <row r="418" spans="9:22" x14ac:dyDescent="0.25">
      <c r="K418" s="30"/>
      <c r="L418" s="30"/>
      <c r="N418" s="4">
        <v>2</v>
      </c>
      <c r="O418" s="2" t="s">
        <v>24</v>
      </c>
      <c r="P418" s="4">
        <v>30</v>
      </c>
      <c r="Q418" s="4">
        <v>15</v>
      </c>
      <c r="R418" s="4">
        <v>10</v>
      </c>
      <c r="S418" s="4">
        <f t="shared" ref="S418:S432" si="57">P418-Q418-R418</f>
        <v>5</v>
      </c>
      <c r="T418" s="4">
        <v>39</v>
      </c>
      <c r="U418" s="4">
        <v>26</v>
      </c>
      <c r="V418" s="5">
        <f t="shared" ref="V418:V432" si="58">Q418*3+R418*1</f>
        <v>55</v>
      </c>
    </row>
    <row r="419" spans="9:22" x14ac:dyDescent="0.25">
      <c r="K419" s="30"/>
      <c r="L419" s="30"/>
      <c r="N419" s="4">
        <v>3</v>
      </c>
      <c r="O419" s="2" t="s">
        <v>23</v>
      </c>
      <c r="P419" s="4">
        <v>30</v>
      </c>
      <c r="Q419" s="4">
        <v>16</v>
      </c>
      <c r="R419" s="4">
        <v>7</v>
      </c>
      <c r="S419" s="4">
        <f t="shared" si="57"/>
        <v>7</v>
      </c>
      <c r="T419" s="4">
        <v>37</v>
      </c>
      <c r="U419" s="4">
        <v>27</v>
      </c>
      <c r="V419" s="5">
        <f t="shared" si="58"/>
        <v>55</v>
      </c>
    </row>
    <row r="420" spans="9:22" x14ac:dyDescent="0.25">
      <c r="K420" s="30"/>
      <c r="L420" s="30"/>
      <c r="N420" s="4">
        <v>4</v>
      </c>
      <c r="O420" s="2" t="s">
        <v>27</v>
      </c>
      <c r="P420" s="4">
        <v>30</v>
      </c>
      <c r="Q420" s="4">
        <v>16</v>
      </c>
      <c r="R420" s="4">
        <v>6</v>
      </c>
      <c r="S420" s="4">
        <f t="shared" si="57"/>
        <v>8</v>
      </c>
      <c r="T420" s="4">
        <v>56</v>
      </c>
      <c r="U420" s="4">
        <v>36</v>
      </c>
      <c r="V420" s="5">
        <f t="shared" si="58"/>
        <v>54</v>
      </c>
    </row>
    <row r="421" spans="9:22" x14ac:dyDescent="0.25">
      <c r="K421" s="30"/>
      <c r="L421" s="30"/>
      <c r="N421" s="4">
        <v>5</v>
      </c>
      <c r="O421" s="2" t="s">
        <v>4</v>
      </c>
      <c r="P421" s="4">
        <v>30</v>
      </c>
      <c r="Q421" s="4">
        <v>14</v>
      </c>
      <c r="R421" s="4">
        <v>11</v>
      </c>
      <c r="S421" s="4">
        <f t="shared" si="57"/>
        <v>5</v>
      </c>
      <c r="T421" s="4">
        <v>50</v>
      </c>
      <c r="U421" s="4">
        <v>34</v>
      </c>
      <c r="V421" s="5">
        <f t="shared" si="58"/>
        <v>53</v>
      </c>
    </row>
    <row r="422" spans="9:22" x14ac:dyDescent="0.25">
      <c r="K422" s="30"/>
      <c r="L422" s="30"/>
      <c r="N422" s="4">
        <v>6</v>
      </c>
      <c r="O422" s="2" t="s">
        <v>6</v>
      </c>
      <c r="P422" s="4">
        <v>30</v>
      </c>
      <c r="Q422" s="4">
        <v>14</v>
      </c>
      <c r="R422" s="4">
        <v>8</v>
      </c>
      <c r="S422" s="4">
        <f t="shared" si="57"/>
        <v>8</v>
      </c>
      <c r="T422" s="4">
        <v>44</v>
      </c>
      <c r="U422" s="4">
        <v>35</v>
      </c>
      <c r="V422" s="5">
        <f t="shared" si="58"/>
        <v>50</v>
      </c>
    </row>
    <row r="423" spans="9:22" x14ac:dyDescent="0.25">
      <c r="K423" s="30"/>
      <c r="L423" s="30"/>
      <c r="N423" s="4">
        <v>7</v>
      </c>
      <c r="O423" s="2" t="s">
        <v>25</v>
      </c>
      <c r="P423" s="4">
        <v>30</v>
      </c>
      <c r="Q423" s="4">
        <v>13</v>
      </c>
      <c r="R423" s="4">
        <v>8</v>
      </c>
      <c r="S423" s="4">
        <f t="shared" si="57"/>
        <v>9</v>
      </c>
      <c r="T423" s="4">
        <v>42</v>
      </c>
      <c r="U423" s="4">
        <v>37</v>
      </c>
      <c r="V423" s="5">
        <f t="shared" si="58"/>
        <v>47</v>
      </c>
    </row>
    <row r="424" spans="9:22" x14ac:dyDescent="0.25">
      <c r="K424" s="30"/>
      <c r="L424" s="30"/>
      <c r="N424" s="4">
        <v>8</v>
      </c>
      <c r="O424" s="2" t="s">
        <v>28</v>
      </c>
      <c r="P424" s="4">
        <v>30</v>
      </c>
      <c r="Q424" s="4">
        <v>14</v>
      </c>
      <c r="R424" s="4">
        <v>4</v>
      </c>
      <c r="S424" s="4">
        <f t="shared" si="57"/>
        <v>12</v>
      </c>
      <c r="T424" s="4">
        <v>45</v>
      </c>
      <c r="U424" s="4">
        <v>41</v>
      </c>
      <c r="V424" s="5">
        <f t="shared" si="58"/>
        <v>46</v>
      </c>
    </row>
    <row r="425" spans="9:22" x14ac:dyDescent="0.25">
      <c r="K425" s="30"/>
      <c r="L425" s="30"/>
      <c r="N425" s="4">
        <v>9</v>
      </c>
      <c r="O425" s="2" t="s">
        <v>0</v>
      </c>
      <c r="P425" s="4">
        <v>30</v>
      </c>
      <c r="Q425" s="4">
        <v>13</v>
      </c>
      <c r="R425" s="4">
        <v>6</v>
      </c>
      <c r="S425" s="4">
        <f t="shared" si="57"/>
        <v>11</v>
      </c>
      <c r="T425" s="4">
        <v>49</v>
      </c>
      <c r="U425" s="4">
        <v>38</v>
      </c>
      <c r="V425" s="5">
        <f t="shared" si="58"/>
        <v>45</v>
      </c>
    </row>
    <row r="426" spans="9:22" x14ac:dyDescent="0.25">
      <c r="K426" s="30"/>
      <c r="L426" s="30"/>
      <c r="N426" s="4">
        <v>10</v>
      </c>
      <c r="O426" s="2" t="s">
        <v>1</v>
      </c>
      <c r="P426" s="4">
        <v>30</v>
      </c>
      <c r="Q426" s="4">
        <v>10</v>
      </c>
      <c r="R426" s="4">
        <v>11</v>
      </c>
      <c r="S426" s="4">
        <f t="shared" si="57"/>
        <v>9</v>
      </c>
      <c r="T426" s="4">
        <v>37</v>
      </c>
      <c r="U426" s="4">
        <v>30</v>
      </c>
      <c r="V426" s="5">
        <f t="shared" si="58"/>
        <v>41</v>
      </c>
    </row>
    <row r="427" spans="9:22" x14ac:dyDescent="0.25">
      <c r="K427" s="30"/>
      <c r="L427" s="30"/>
      <c r="N427" s="4">
        <v>11</v>
      </c>
      <c r="O427" s="2" t="s">
        <v>18</v>
      </c>
      <c r="P427" s="4">
        <v>30</v>
      </c>
      <c r="Q427" s="4">
        <v>11</v>
      </c>
      <c r="R427" s="4">
        <v>5</v>
      </c>
      <c r="S427" s="4">
        <f t="shared" si="57"/>
        <v>14</v>
      </c>
      <c r="T427" s="4">
        <v>33</v>
      </c>
      <c r="U427" s="4">
        <v>35</v>
      </c>
      <c r="V427" s="5">
        <f t="shared" si="58"/>
        <v>38</v>
      </c>
    </row>
    <row r="428" spans="9:22" x14ac:dyDescent="0.25">
      <c r="K428" s="30"/>
      <c r="L428" s="30"/>
      <c r="N428" s="4">
        <v>12</v>
      </c>
      <c r="O428" s="2" t="s">
        <v>7</v>
      </c>
      <c r="P428" s="4">
        <v>30</v>
      </c>
      <c r="Q428" s="4">
        <v>8</v>
      </c>
      <c r="R428" s="4">
        <v>8</v>
      </c>
      <c r="S428" s="4">
        <f t="shared" si="57"/>
        <v>14</v>
      </c>
      <c r="T428" s="4">
        <v>30</v>
      </c>
      <c r="U428" s="4">
        <v>39</v>
      </c>
      <c r="V428" s="5">
        <f t="shared" si="58"/>
        <v>32</v>
      </c>
    </row>
    <row r="429" spans="9:22" x14ac:dyDescent="0.25">
      <c r="K429" s="30"/>
      <c r="L429" s="30"/>
      <c r="N429" s="4">
        <v>13</v>
      </c>
      <c r="O429" s="2" t="s">
        <v>9</v>
      </c>
      <c r="P429" s="4">
        <v>30</v>
      </c>
      <c r="Q429" s="4">
        <v>5</v>
      </c>
      <c r="R429" s="4">
        <v>9</v>
      </c>
      <c r="S429" s="4">
        <f t="shared" si="57"/>
        <v>16</v>
      </c>
      <c r="T429" s="4">
        <v>23</v>
      </c>
      <c r="U429" s="4">
        <v>47</v>
      </c>
      <c r="V429" s="5">
        <f t="shared" si="58"/>
        <v>24</v>
      </c>
    </row>
    <row r="430" spans="9:22" x14ac:dyDescent="0.25">
      <c r="K430" s="30"/>
      <c r="L430" s="30"/>
      <c r="N430" s="4">
        <v>14</v>
      </c>
      <c r="O430" s="2" t="s">
        <v>17</v>
      </c>
      <c r="P430" s="4">
        <v>30</v>
      </c>
      <c r="Q430" s="4">
        <v>5</v>
      </c>
      <c r="R430" s="4">
        <v>7</v>
      </c>
      <c r="S430" s="4">
        <f t="shared" si="57"/>
        <v>18</v>
      </c>
      <c r="T430" s="4">
        <v>19</v>
      </c>
      <c r="U430" s="4">
        <v>48</v>
      </c>
      <c r="V430" s="5">
        <f t="shared" si="58"/>
        <v>22</v>
      </c>
    </row>
    <row r="431" spans="9:22" x14ac:dyDescent="0.25">
      <c r="K431" s="30"/>
      <c r="L431" s="30"/>
      <c r="N431" s="4">
        <v>15</v>
      </c>
      <c r="O431" s="2" t="s">
        <v>5</v>
      </c>
      <c r="P431" s="4">
        <v>30</v>
      </c>
      <c r="Q431" s="4">
        <v>5</v>
      </c>
      <c r="R431" s="4">
        <v>5</v>
      </c>
      <c r="S431" s="4">
        <f t="shared" si="57"/>
        <v>20</v>
      </c>
      <c r="T431" s="4">
        <v>22</v>
      </c>
      <c r="U431" s="4">
        <v>55</v>
      </c>
      <c r="V431" s="5">
        <f t="shared" si="58"/>
        <v>20</v>
      </c>
    </row>
    <row r="432" spans="9:22" x14ac:dyDescent="0.25">
      <c r="K432" s="30"/>
      <c r="L432" s="30"/>
      <c r="N432" s="4">
        <v>16</v>
      </c>
      <c r="O432" s="2" t="s">
        <v>13</v>
      </c>
      <c r="P432" s="4">
        <v>30</v>
      </c>
      <c r="Q432" s="4">
        <v>4</v>
      </c>
      <c r="R432" s="4">
        <v>7</v>
      </c>
      <c r="S432" s="4">
        <f t="shared" si="57"/>
        <v>19</v>
      </c>
      <c r="T432" s="4">
        <v>21</v>
      </c>
      <c r="U432" s="4">
        <v>45</v>
      </c>
      <c r="V432" s="5">
        <f t="shared" si="58"/>
        <v>19</v>
      </c>
    </row>
    <row r="433" spans="9:22" x14ac:dyDescent="0.25">
      <c r="K433" s="30"/>
      <c r="L433" s="30"/>
      <c r="N433" s="4"/>
      <c r="O433" s="4"/>
      <c r="P433" s="4"/>
      <c r="Q433" s="4"/>
      <c r="R433" s="4"/>
      <c r="S433" s="4"/>
      <c r="T433" s="4"/>
      <c r="U433" s="4"/>
      <c r="V433" s="4"/>
    </row>
    <row r="434" spans="9:22" x14ac:dyDescent="0.25">
      <c r="K434" s="30"/>
      <c r="L434" s="30"/>
      <c r="N434" s="38" t="s">
        <v>22</v>
      </c>
      <c r="O434" s="38"/>
      <c r="P434" s="38"/>
      <c r="Q434" s="38"/>
      <c r="R434" s="38"/>
      <c r="S434" s="38"/>
      <c r="T434" s="38"/>
      <c r="U434" s="38"/>
      <c r="V434" s="38"/>
    </row>
    <row r="435" spans="9:22" x14ac:dyDescent="0.25">
      <c r="I435" s="30"/>
      <c r="J435" s="30"/>
      <c r="K435" s="30"/>
      <c r="L435" s="30"/>
      <c r="N435" s="4">
        <v>1</v>
      </c>
      <c r="O435" s="2" t="s">
        <v>1</v>
      </c>
      <c r="P435" s="4">
        <f>Q435+R435+S435</f>
        <v>30</v>
      </c>
      <c r="Q435" s="4">
        <v>19</v>
      </c>
      <c r="R435" s="4">
        <v>8</v>
      </c>
      <c r="S435" s="4">
        <v>3</v>
      </c>
      <c r="T435" s="4">
        <v>51</v>
      </c>
      <c r="U435" s="4">
        <v>22</v>
      </c>
      <c r="V435" s="5">
        <f>Q435*3+R435*1</f>
        <v>65</v>
      </c>
    </row>
    <row r="436" spans="9:22" x14ac:dyDescent="0.25">
      <c r="K436" s="30"/>
      <c r="L436" s="30"/>
      <c r="N436" s="4">
        <v>2</v>
      </c>
      <c r="O436" s="2" t="s">
        <v>0</v>
      </c>
      <c r="P436" s="4">
        <f t="shared" ref="P436:P450" si="59">Q436+R436+S436</f>
        <v>30</v>
      </c>
      <c r="Q436" s="4">
        <v>16</v>
      </c>
      <c r="R436" s="4">
        <v>8</v>
      </c>
      <c r="S436" s="4">
        <v>6</v>
      </c>
      <c r="T436" s="4">
        <v>64</v>
      </c>
      <c r="U436" s="4">
        <v>32</v>
      </c>
      <c r="V436" s="5">
        <f t="shared" ref="V436:V450" si="60">Q436*3+R436*1</f>
        <v>56</v>
      </c>
    </row>
    <row r="437" spans="9:22" x14ac:dyDescent="0.25">
      <c r="K437" s="30"/>
      <c r="L437" s="30"/>
      <c r="N437" s="4">
        <v>3</v>
      </c>
      <c r="O437" s="2" t="s">
        <v>4</v>
      </c>
      <c r="P437" s="4">
        <f t="shared" si="59"/>
        <v>30</v>
      </c>
      <c r="Q437" s="4">
        <v>16</v>
      </c>
      <c r="R437" s="4">
        <v>6</v>
      </c>
      <c r="S437" s="4">
        <v>8</v>
      </c>
      <c r="T437" s="4">
        <v>44</v>
      </c>
      <c r="U437" s="4">
        <v>28</v>
      </c>
      <c r="V437" s="5">
        <f t="shared" si="60"/>
        <v>54</v>
      </c>
    </row>
    <row r="438" spans="9:22" x14ac:dyDescent="0.25">
      <c r="K438" s="30"/>
      <c r="L438" s="30"/>
      <c r="N438" s="4">
        <v>4</v>
      </c>
      <c r="O438" s="2" t="s">
        <v>3</v>
      </c>
      <c r="P438" s="4">
        <f t="shared" si="59"/>
        <v>30</v>
      </c>
      <c r="Q438" s="4">
        <v>14</v>
      </c>
      <c r="R438" s="4">
        <v>11</v>
      </c>
      <c r="S438" s="4">
        <v>5</v>
      </c>
      <c r="T438" s="4">
        <v>37</v>
      </c>
      <c r="U438" s="4">
        <v>19</v>
      </c>
      <c r="V438" s="5">
        <f t="shared" si="60"/>
        <v>53</v>
      </c>
    </row>
    <row r="439" spans="9:22" x14ac:dyDescent="0.25">
      <c r="K439" s="30"/>
      <c r="L439" s="30"/>
      <c r="N439" s="4">
        <v>5</v>
      </c>
      <c r="O439" s="2" t="s">
        <v>23</v>
      </c>
      <c r="P439" s="4">
        <f t="shared" si="59"/>
        <v>30</v>
      </c>
      <c r="Q439" s="4">
        <v>15</v>
      </c>
      <c r="R439" s="4">
        <v>6</v>
      </c>
      <c r="S439" s="4">
        <v>9</v>
      </c>
      <c r="T439" s="4">
        <v>34</v>
      </c>
      <c r="U439" s="4">
        <v>28</v>
      </c>
      <c r="V439" s="5">
        <f t="shared" si="60"/>
        <v>51</v>
      </c>
    </row>
    <row r="440" spans="9:22" x14ac:dyDescent="0.25">
      <c r="K440" s="30"/>
      <c r="L440" s="30"/>
      <c r="N440" s="4">
        <v>6</v>
      </c>
      <c r="O440" s="2" t="s">
        <v>6</v>
      </c>
      <c r="P440" s="4">
        <f t="shared" si="59"/>
        <v>30</v>
      </c>
      <c r="Q440" s="4">
        <v>13</v>
      </c>
      <c r="R440" s="4">
        <v>7</v>
      </c>
      <c r="S440" s="4">
        <v>10</v>
      </c>
      <c r="T440" s="4">
        <v>37</v>
      </c>
      <c r="U440" s="4">
        <v>35</v>
      </c>
      <c r="V440" s="5">
        <f t="shared" si="60"/>
        <v>46</v>
      </c>
    </row>
    <row r="441" spans="9:22" x14ac:dyDescent="0.25">
      <c r="K441" s="30"/>
      <c r="L441" s="30"/>
      <c r="N441" s="4">
        <v>7</v>
      </c>
      <c r="O441" s="2" t="s">
        <v>24</v>
      </c>
      <c r="P441" s="4">
        <f t="shared" si="59"/>
        <v>30</v>
      </c>
      <c r="Q441" s="4">
        <v>12</v>
      </c>
      <c r="R441" s="4">
        <v>6</v>
      </c>
      <c r="S441" s="4">
        <v>12</v>
      </c>
      <c r="T441" s="4">
        <v>39</v>
      </c>
      <c r="U441" s="4">
        <v>36</v>
      </c>
      <c r="V441" s="5">
        <f t="shared" si="60"/>
        <v>42</v>
      </c>
    </row>
    <row r="442" spans="9:22" x14ac:dyDescent="0.25">
      <c r="K442" s="30"/>
      <c r="L442" s="30"/>
      <c r="N442" s="4">
        <v>8</v>
      </c>
      <c r="O442" s="2" t="s">
        <v>17</v>
      </c>
      <c r="P442" s="4">
        <f t="shared" si="59"/>
        <v>30</v>
      </c>
      <c r="Q442" s="4">
        <v>11</v>
      </c>
      <c r="R442" s="4">
        <v>7</v>
      </c>
      <c r="S442" s="4">
        <v>12</v>
      </c>
      <c r="T442" s="4">
        <v>29</v>
      </c>
      <c r="U442" s="4">
        <v>40</v>
      </c>
      <c r="V442" s="5">
        <f t="shared" si="60"/>
        <v>40</v>
      </c>
    </row>
    <row r="443" spans="9:22" x14ac:dyDescent="0.25">
      <c r="K443" s="30"/>
      <c r="L443" s="30"/>
      <c r="N443" s="4">
        <v>9</v>
      </c>
      <c r="O443" s="2" t="s">
        <v>25</v>
      </c>
      <c r="P443" s="4">
        <f t="shared" si="59"/>
        <v>30</v>
      </c>
      <c r="Q443" s="4">
        <v>9</v>
      </c>
      <c r="R443" s="4">
        <v>10</v>
      </c>
      <c r="S443" s="4">
        <v>11</v>
      </c>
      <c r="T443" s="4">
        <v>37</v>
      </c>
      <c r="U443" s="4">
        <v>39</v>
      </c>
      <c r="V443" s="5">
        <f t="shared" si="60"/>
        <v>37</v>
      </c>
    </row>
    <row r="444" spans="9:22" x14ac:dyDescent="0.25">
      <c r="K444" s="30"/>
      <c r="L444" s="30"/>
      <c r="N444" s="4">
        <v>10</v>
      </c>
      <c r="O444" s="2" t="s">
        <v>7</v>
      </c>
      <c r="P444" s="4">
        <f t="shared" si="59"/>
        <v>30</v>
      </c>
      <c r="Q444" s="4">
        <v>10</v>
      </c>
      <c r="R444" s="4">
        <v>7</v>
      </c>
      <c r="S444" s="4">
        <v>13</v>
      </c>
      <c r="T444" s="4">
        <v>32</v>
      </c>
      <c r="U444" s="4">
        <v>40</v>
      </c>
      <c r="V444" s="5">
        <f t="shared" si="60"/>
        <v>37</v>
      </c>
    </row>
    <row r="445" spans="9:22" x14ac:dyDescent="0.25">
      <c r="K445" s="30"/>
      <c r="L445" s="30"/>
      <c r="N445" s="4">
        <v>11</v>
      </c>
      <c r="O445" s="2" t="s">
        <v>9</v>
      </c>
      <c r="P445" s="4">
        <f t="shared" si="59"/>
        <v>30</v>
      </c>
      <c r="Q445" s="4">
        <v>9</v>
      </c>
      <c r="R445" s="4">
        <v>9</v>
      </c>
      <c r="S445" s="4">
        <v>12</v>
      </c>
      <c r="T445" s="4">
        <v>30</v>
      </c>
      <c r="U445" s="4">
        <v>35</v>
      </c>
      <c r="V445" s="5">
        <f t="shared" si="60"/>
        <v>36</v>
      </c>
    </row>
    <row r="446" spans="9:22" x14ac:dyDescent="0.25">
      <c r="K446" s="30"/>
      <c r="L446" s="30"/>
      <c r="N446" s="4">
        <v>12</v>
      </c>
      <c r="O446" s="2" t="s">
        <v>18</v>
      </c>
      <c r="P446" s="4">
        <f t="shared" si="59"/>
        <v>30</v>
      </c>
      <c r="Q446" s="4">
        <v>9</v>
      </c>
      <c r="R446" s="4">
        <v>8</v>
      </c>
      <c r="S446" s="4">
        <v>13</v>
      </c>
      <c r="T446" s="4">
        <v>29</v>
      </c>
      <c r="U446" s="4">
        <v>35</v>
      </c>
      <c r="V446" s="5">
        <f t="shared" si="60"/>
        <v>35</v>
      </c>
    </row>
    <row r="447" spans="9:22" x14ac:dyDescent="0.25">
      <c r="K447" s="30"/>
      <c r="L447" s="30"/>
      <c r="N447" s="4">
        <v>13</v>
      </c>
      <c r="O447" s="2" t="s">
        <v>5</v>
      </c>
      <c r="P447" s="4">
        <f t="shared" si="59"/>
        <v>30</v>
      </c>
      <c r="Q447" s="4">
        <v>7</v>
      </c>
      <c r="R447" s="4">
        <v>10</v>
      </c>
      <c r="S447" s="4">
        <v>13</v>
      </c>
      <c r="T447" s="4">
        <v>25</v>
      </c>
      <c r="U447" s="4">
        <v>44</v>
      </c>
      <c r="V447" s="5">
        <f t="shared" si="60"/>
        <v>31</v>
      </c>
    </row>
    <row r="448" spans="9:22" x14ac:dyDescent="0.25">
      <c r="K448" s="30"/>
      <c r="L448" s="30"/>
      <c r="N448" s="4">
        <v>14</v>
      </c>
      <c r="O448" s="2" t="s">
        <v>13</v>
      </c>
      <c r="P448" s="4">
        <f t="shared" si="59"/>
        <v>30</v>
      </c>
      <c r="Q448" s="4">
        <v>6</v>
      </c>
      <c r="R448" s="4">
        <v>7</v>
      </c>
      <c r="S448" s="4">
        <v>17</v>
      </c>
      <c r="T448" s="4">
        <v>23</v>
      </c>
      <c r="U448" s="4">
        <v>39</v>
      </c>
      <c r="V448" s="5">
        <f t="shared" si="60"/>
        <v>25</v>
      </c>
    </row>
    <row r="449" spans="9:22" x14ac:dyDescent="0.25">
      <c r="K449" s="30"/>
      <c r="L449" s="30"/>
      <c r="N449" s="4">
        <v>15</v>
      </c>
      <c r="O449" s="2" t="s">
        <v>2</v>
      </c>
      <c r="P449" s="4">
        <f t="shared" si="59"/>
        <v>30</v>
      </c>
      <c r="Q449" s="4">
        <v>4</v>
      </c>
      <c r="R449" s="4">
        <v>12</v>
      </c>
      <c r="S449" s="4">
        <v>14</v>
      </c>
      <c r="T449" s="4">
        <v>25</v>
      </c>
      <c r="U449" s="4">
        <v>43</v>
      </c>
      <c r="V449" s="5">
        <f t="shared" si="60"/>
        <v>24</v>
      </c>
    </row>
    <row r="450" spans="9:22" x14ac:dyDescent="0.25">
      <c r="K450" s="30"/>
      <c r="L450" s="30"/>
      <c r="N450" s="4">
        <v>16</v>
      </c>
      <c r="O450" s="2" t="s">
        <v>10</v>
      </c>
      <c r="P450" s="4">
        <f t="shared" si="59"/>
        <v>30</v>
      </c>
      <c r="Q450" s="4">
        <v>5</v>
      </c>
      <c r="R450" s="4">
        <v>8</v>
      </c>
      <c r="S450" s="4">
        <v>17</v>
      </c>
      <c r="T450" s="4">
        <v>28</v>
      </c>
      <c r="U450" s="4">
        <v>49</v>
      </c>
      <c r="V450" s="5">
        <f t="shared" si="60"/>
        <v>23</v>
      </c>
    </row>
    <row r="451" spans="9:22" x14ac:dyDescent="0.25">
      <c r="K451" s="30"/>
      <c r="L451" s="30"/>
      <c r="N451" s="4"/>
      <c r="O451" s="4"/>
      <c r="P451" s="4"/>
      <c r="Q451" s="4"/>
      <c r="R451" s="4"/>
      <c r="S451" s="4"/>
      <c r="T451" s="4"/>
      <c r="U451" s="4"/>
      <c r="V451" s="4"/>
    </row>
    <row r="452" spans="9:22" x14ac:dyDescent="0.25">
      <c r="K452" s="30"/>
      <c r="L452" s="30"/>
      <c r="N452" s="38" t="s">
        <v>16</v>
      </c>
      <c r="O452" s="38"/>
      <c r="P452" s="38"/>
      <c r="Q452" s="38"/>
      <c r="R452" s="38"/>
      <c r="S452" s="38"/>
      <c r="T452" s="38"/>
      <c r="U452" s="38"/>
      <c r="V452" s="38"/>
    </row>
    <row r="453" spans="9:22" x14ac:dyDescent="0.25">
      <c r="I453" s="30"/>
      <c r="J453" s="30"/>
      <c r="K453" s="30"/>
      <c r="L453" s="30"/>
      <c r="N453" s="4">
        <v>1</v>
      </c>
      <c r="O453" s="2" t="s">
        <v>0</v>
      </c>
      <c r="P453" s="4">
        <f>Q453+R453+S453</f>
        <v>30</v>
      </c>
      <c r="Q453" s="4">
        <v>19</v>
      </c>
      <c r="R453" s="4">
        <v>8</v>
      </c>
      <c r="S453" s="4">
        <v>3</v>
      </c>
      <c r="T453" s="4">
        <v>64</v>
      </c>
      <c r="U453" s="4">
        <v>30</v>
      </c>
      <c r="V453" s="5">
        <f>Q453*3+R453*1</f>
        <v>65</v>
      </c>
    </row>
    <row r="454" spans="9:22" x14ac:dyDescent="0.25">
      <c r="L454" s="30"/>
      <c r="N454" s="4">
        <v>2</v>
      </c>
      <c r="O454" s="2" t="s">
        <v>1</v>
      </c>
      <c r="P454" s="4">
        <f t="shared" ref="P454:P468" si="61">Q454+R454+S454</f>
        <v>30</v>
      </c>
      <c r="Q454" s="4">
        <v>17</v>
      </c>
      <c r="R454" s="4">
        <v>8</v>
      </c>
      <c r="S454" s="4">
        <v>5</v>
      </c>
      <c r="T454" s="4">
        <v>55</v>
      </c>
      <c r="U454" s="4">
        <v>23</v>
      </c>
      <c r="V454" s="5">
        <f t="shared" ref="V454:V468" si="62">Q454*3+R454*1</f>
        <v>59</v>
      </c>
    </row>
    <row r="455" spans="9:22" x14ac:dyDescent="0.25">
      <c r="L455" s="30"/>
      <c r="N455" s="4">
        <v>3</v>
      </c>
      <c r="O455" s="2" t="s">
        <v>3</v>
      </c>
      <c r="P455" s="4">
        <f t="shared" si="61"/>
        <v>30</v>
      </c>
      <c r="Q455" s="4">
        <v>17</v>
      </c>
      <c r="R455" s="4">
        <v>4</v>
      </c>
      <c r="S455" s="4">
        <v>9</v>
      </c>
      <c r="T455" s="4">
        <v>50</v>
      </c>
      <c r="U455" s="4">
        <v>31</v>
      </c>
      <c r="V455" s="5">
        <f t="shared" si="62"/>
        <v>55</v>
      </c>
    </row>
    <row r="456" spans="9:22" x14ac:dyDescent="0.25">
      <c r="L456" s="30"/>
      <c r="N456" s="4">
        <v>4</v>
      </c>
      <c r="O456" s="2" t="s">
        <v>6</v>
      </c>
      <c r="P456" s="4">
        <f t="shared" si="61"/>
        <v>30</v>
      </c>
      <c r="Q456" s="4">
        <v>14</v>
      </c>
      <c r="R456" s="4">
        <v>12</v>
      </c>
      <c r="S456" s="4">
        <v>4</v>
      </c>
      <c r="T456" s="4">
        <v>47</v>
      </c>
      <c r="U456" s="4">
        <v>22</v>
      </c>
      <c r="V456" s="5">
        <f t="shared" si="62"/>
        <v>54</v>
      </c>
    </row>
    <row r="457" spans="9:22" x14ac:dyDescent="0.25">
      <c r="L457" s="30"/>
      <c r="N457" s="4">
        <v>5</v>
      </c>
      <c r="O457" s="2" t="s">
        <v>17</v>
      </c>
      <c r="P457" s="4">
        <f t="shared" si="61"/>
        <v>30</v>
      </c>
      <c r="Q457" s="4">
        <v>14</v>
      </c>
      <c r="R457" s="4">
        <v>11</v>
      </c>
      <c r="S457" s="4">
        <v>5</v>
      </c>
      <c r="T457" s="4">
        <v>47</v>
      </c>
      <c r="U457" s="4">
        <v>27</v>
      </c>
      <c r="V457" s="5">
        <f t="shared" si="62"/>
        <v>53</v>
      </c>
    </row>
    <row r="458" spans="9:22" x14ac:dyDescent="0.25">
      <c r="L458" s="30"/>
      <c r="N458" s="4">
        <v>6</v>
      </c>
      <c r="O458" s="2" t="s">
        <v>9</v>
      </c>
      <c r="P458" s="4">
        <f t="shared" si="61"/>
        <v>30</v>
      </c>
      <c r="Q458" s="4">
        <v>15</v>
      </c>
      <c r="R458" s="4">
        <v>4</v>
      </c>
      <c r="S458" s="4">
        <v>11</v>
      </c>
      <c r="T458" s="4">
        <v>49</v>
      </c>
      <c r="U458" s="4">
        <v>40</v>
      </c>
      <c r="V458" s="5">
        <f t="shared" si="62"/>
        <v>49</v>
      </c>
    </row>
    <row r="459" spans="9:22" x14ac:dyDescent="0.25">
      <c r="L459" s="30"/>
      <c r="N459" s="4">
        <v>7</v>
      </c>
      <c r="O459" s="2" t="s">
        <v>18</v>
      </c>
      <c r="P459" s="4">
        <f t="shared" si="61"/>
        <v>30</v>
      </c>
      <c r="Q459" s="4">
        <v>14</v>
      </c>
      <c r="R459" s="4">
        <v>6</v>
      </c>
      <c r="S459" s="4">
        <v>10</v>
      </c>
      <c r="T459" s="4">
        <v>49</v>
      </c>
      <c r="U459" s="4">
        <v>33</v>
      </c>
      <c r="V459" s="5">
        <f t="shared" si="62"/>
        <v>48</v>
      </c>
    </row>
    <row r="460" spans="9:22" x14ac:dyDescent="0.25">
      <c r="L460" s="30"/>
      <c r="N460" s="4">
        <v>8</v>
      </c>
      <c r="O460" s="2" t="s">
        <v>7</v>
      </c>
      <c r="P460" s="4">
        <f t="shared" si="61"/>
        <v>30</v>
      </c>
      <c r="Q460" s="4">
        <v>14</v>
      </c>
      <c r="R460" s="4">
        <v>5</v>
      </c>
      <c r="S460" s="4">
        <v>11</v>
      </c>
      <c r="T460" s="4">
        <v>52</v>
      </c>
      <c r="U460" s="4">
        <v>35</v>
      </c>
      <c r="V460" s="5">
        <f t="shared" si="62"/>
        <v>47</v>
      </c>
    </row>
    <row r="461" spans="9:22" x14ac:dyDescent="0.25">
      <c r="L461" s="30"/>
      <c r="N461" s="4">
        <v>9</v>
      </c>
      <c r="O461" s="2" t="s">
        <v>2</v>
      </c>
      <c r="P461" s="4">
        <f t="shared" si="61"/>
        <v>30</v>
      </c>
      <c r="Q461" s="4">
        <v>13</v>
      </c>
      <c r="R461" s="4">
        <v>8</v>
      </c>
      <c r="S461" s="4">
        <v>9</v>
      </c>
      <c r="T461" s="4">
        <v>54</v>
      </c>
      <c r="U461" s="4">
        <v>41</v>
      </c>
      <c r="V461" s="5">
        <f t="shared" si="62"/>
        <v>47</v>
      </c>
    </row>
    <row r="462" spans="9:22" x14ac:dyDescent="0.25">
      <c r="L462" s="30"/>
      <c r="N462" s="4">
        <v>10</v>
      </c>
      <c r="O462" s="2" t="s">
        <v>5</v>
      </c>
      <c r="P462" s="4">
        <f t="shared" si="61"/>
        <v>30</v>
      </c>
      <c r="Q462" s="4">
        <v>12</v>
      </c>
      <c r="R462" s="4">
        <v>7</v>
      </c>
      <c r="S462" s="4">
        <v>11</v>
      </c>
      <c r="T462" s="4">
        <v>38</v>
      </c>
      <c r="U462" s="4">
        <v>32</v>
      </c>
      <c r="V462" s="5">
        <f t="shared" si="62"/>
        <v>43</v>
      </c>
    </row>
    <row r="463" spans="9:22" x14ac:dyDescent="0.25">
      <c r="L463" s="30"/>
      <c r="N463" s="4">
        <v>11</v>
      </c>
      <c r="O463" s="2" t="s">
        <v>4</v>
      </c>
      <c r="P463" s="4">
        <f t="shared" si="61"/>
        <v>30</v>
      </c>
      <c r="Q463" s="4">
        <v>10</v>
      </c>
      <c r="R463" s="4">
        <v>8</v>
      </c>
      <c r="S463" s="4">
        <v>12</v>
      </c>
      <c r="T463" s="4">
        <v>48</v>
      </c>
      <c r="U463" s="4">
        <v>32</v>
      </c>
      <c r="V463" s="5">
        <f t="shared" si="62"/>
        <v>38</v>
      </c>
    </row>
    <row r="464" spans="9:22" x14ac:dyDescent="0.25">
      <c r="L464" s="30"/>
      <c r="N464" s="4">
        <v>12</v>
      </c>
      <c r="O464" s="2" t="s">
        <v>10</v>
      </c>
      <c r="P464" s="4">
        <f t="shared" si="61"/>
        <v>30</v>
      </c>
      <c r="Q464" s="4">
        <v>8</v>
      </c>
      <c r="R464" s="4">
        <v>8</v>
      </c>
      <c r="S464" s="4">
        <v>14</v>
      </c>
      <c r="T464" s="4">
        <v>32</v>
      </c>
      <c r="U464" s="4">
        <v>45</v>
      </c>
      <c r="V464" s="5">
        <f t="shared" si="62"/>
        <v>32</v>
      </c>
    </row>
    <row r="465" spans="9:22" x14ac:dyDescent="0.25">
      <c r="L465" s="30"/>
      <c r="N465" s="4">
        <v>13</v>
      </c>
      <c r="O465" s="2" t="s">
        <v>13</v>
      </c>
      <c r="P465" s="4">
        <f t="shared" si="61"/>
        <v>30</v>
      </c>
      <c r="Q465" s="4">
        <v>8</v>
      </c>
      <c r="R465" s="4">
        <v>7</v>
      </c>
      <c r="S465" s="4">
        <v>15</v>
      </c>
      <c r="T465" s="4">
        <v>35</v>
      </c>
      <c r="U465" s="4">
        <v>49</v>
      </c>
      <c r="V465" s="5">
        <f t="shared" si="62"/>
        <v>31</v>
      </c>
    </row>
    <row r="466" spans="9:22" x14ac:dyDescent="0.25">
      <c r="L466" s="30"/>
      <c r="N466" s="4">
        <v>14</v>
      </c>
      <c r="O466" s="2" t="s">
        <v>19</v>
      </c>
      <c r="P466" s="4">
        <f t="shared" si="61"/>
        <v>24</v>
      </c>
      <c r="Q466" s="4">
        <v>4</v>
      </c>
      <c r="R466" s="4">
        <v>1</v>
      </c>
      <c r="S466" s="4">
        <v>19</v>
      </c>
      <c r="T466" s="4">
        <v>23</v>
      </c>
      <c r="U466" s="4">
        <v>73</v>
      </c>
      <c r="V466" s="5">
        <f t="shared" si="62"/>
        <v>13</v>
      </c>
    </row>
    <row r="467" spans="9:22" x14ac:dyDescent="0.25">
      <c r="L467" s="30"/>
      <c r="N467" s="4">
        <v>15</v>
      </c>
      <c r="O467" s="2" t="s">
        <v>20</v>
      </c>
      <c r="P467" s="4">
        <f t="shared" si="61"/>
        <v>14</v>
      </c>
      <c r="Q467" s="4">
        <v>2</v>
      </c>
      <c r="R467" s="4">
        <v>1</v>
      </c>
      <c r="S467" s="4">
        <v>11</v>
      </c>
      <c r="T467" s="4">
        <v>13</v>
      </c>
      <c r="U467" s="4">
        <v>48</v>
      </c>
      <c r="V467" s="5">
        <f t="shared" si="62"/>
        <v>7</v>
      </c>
    </row>
    <row r="468" spans="9:22" x14ac:dyDescent="0.25">
      <c r="L468" s="30"/>
      <c r="N468" s="4">
        <v>16</v>
      </c>
      <c r="O468" s="2" t="s">
        <v>21</v>
      </c>
      <c r="P468" s="4">
        <f t="shared" si="61"/>
        <v>27</v>
      </c>
      <c r="Q468" s="4">
        <v>2</v>
      </c>
      <c r="R468" s="4">
        <v>1</v>
      </c>
      <c r="S468" s="4">
        <v>24</v>
      </c>
      <c r="T468" s="4">
        <v>14</v>
      </c>
      <c r="U468" s="4">
        <v>82</v>
      </c>
      <c r="V468" s="5">
        <f t="shared" si="62"/>
        <v>7</v>
      </c>
    </row>
    <row r="469" spans="9:22" x14ac:dyDescent="0.25">
      <c r="L469" s="30"/>
      <c r="N469" s="4"/>
      <c r="O469" s="4"/>
      <c r="P469" s="4"/>
      <c r="Q469" s="4"/>
      <c r="R469" s="4"/>
      <c r="S469" s="4"/>
      <c r="T469" s="4"/>
      <c r="U469" s="4"/>
      <c r="V469" s="4"/>
    </row>
    <row r="470" spans="9:22" x14ac:dyDescent="0.25">
      <c r="L470" s="30"/>
      <c r="N470" s="38" t="s">
        <v>15</v>
      </c>
      <c r="O470" s="38"/>
      <c r="P470" s="38"/>
      <c r="Q470" s="38"/>
      <c r="R470" s="38"/>
      <c r="S470" s="38"/>
      <c r="T470" s="38"/>
      <c r="U470" s="38"/>
      <c r="V470" s="38"/>
    </row>
    <row r="471" spans="9:22" x14ac:dyDescent="0.25">
      <c r="I471" s="30"/>
      <c r="J471" s="30"/>
      <c r="K471" s="30"/>
      <c r="L471" s="30"/>
      <c r="N471" s="4">
        <v>1</v>
      </c>
      <c r="O471" s="2" t="s">
        <v>0</v>
      </c>
      <c r="P471" s="4">
        <f>Q471+R471+S471</f>
        <v>30</v>
      </c>
      <c r="Q471" s="4">
        <v>22</v>
      </c>
      <c r="R471" s="4">
        <v>2</v>
      </c>
      <c r="S471" s="4">
        <v>6</v>
      </c>
      <c r="T471" s="4">
        <v>57</v>
      </c>
      <c r="U471" s="4">
        <v>25</v>
      </c>
      <c r="V471" s="5">
        <f>Q471*3+R471*1</f>
        <v>68</v>
      </c>
    </row>
    <row r="472" spans="9:22" x14ac:dyDescent="0.25">
      <c r="K472" s="30"/>
      <c r="L472" s="30"/>
      <c r="N472" s="4">
        <v>2</v>
      </c>
      <c r="O472" s="2" t="s">
        <v>1</v>
      </c>
      <c r="P472" s="4">
        <f t="shared" ref="P472:P486" si="63">Q472+R472+S472</f>
        <v>30</v>
      </c>
      <c r="Q472" s="4">
        <v>18</v>
      </c>
      <c r="R472" s="4">
        <v>4</v>
      </c>
      <c r="S472" s="4">
        <v>8</v>
      </c>
      <c r="T472" s="4">
        <v>60</v>
      </c>
      <c r="U472" s="4">
        <v>44</v>
      </c>
      <c r="V472" s="5">
        <f t="shared" ref="V472:V486" si="64">Q472*3+R472*1</f>
        <v>58</v>
      </c>
    </row>
    <row r="473" spans="9:22" x14ac:dyDescent="0.25">
      <c r="N473" s="4">
        <v>3</v>
      </c>
      <c r="O473" s="2" t="s">
        <v>2</v>
      </c>
      <c r="P473" s="4">
        <f t="shared" si="63"/>
        <v>30</v>
      </c>
      <c r="Q473" s="4">
        <v>16</v>
      </c>
      <c r="R473" s="4">
        <v>4</v>
      </c>
      <c r="S473" s="4">
        <v>10</v>
      </c>
      <c r="T473" s="4">
        <v>61</v>
      </c>
      <c r="U473" s="4">
        <v>38</v>
      </c>
      <c r="V473" s="5">
        <f t="shared" si="64"/>
        <v>52</v>
      </c>
    </row>
    <row r="474" spans="9:22" x14ac:dyDescent="0.25">
      <c r="N474" s="4">
        <v>4</v>
      </c>
      <c r="O474" s="2" t="s">
        <v>3</v>
      </c>
      <c r="P474" s="4">
        <f t="shared" si="63"/>
        <v>30</v>
      </c>
      <c r="Q474" s="4">
        <v>15</v>
      </c>
      <c r="R474" s="4">
        <v>6</v>
      </c>
      <c r="S474" s="4">
        <v>9</v>
      </c>
      <c r="T474" s="4">
        <v>58</v>
      </c>
      <c r="U474" s="4">
        <v>33</v>
      </c>
      <c r="V474" s="5">
        <f t="shared" si="64"/>
        <v>51</v>
      </c>
    </row>
    <row r="475" spans="9:22" x14ac:dyDescent="0.25">
      <c r="N475" s="4">
        <v>5</v>
      </c>
      <c r="O475" s="2" t="s">
        <v>4</v>
      </c>
      <c r="P475" s="4">
        <f t="shared" si="63"/>
        <v>30</v>
      </c>
      <c r="Q475" s="4">
        <v>16</v>
      </c>
      <c r="R475" s="4">
        <v>3</v>
      </c>
      <c r="S475" s="4">
        <v>11</v>
      </c>
      <c r="T475" s="4">
        <v>50</v>
      </c>
      <c r="U475" s="4">
        <v>31</v>
      </c>
      <c r="V475" s="5">
        <f t="shared" si="64"/>
        <v>51</v>
      </c>
    </row>
    <row r="476" spans="9:22" x14ac:dyDescent="0.25">
      <c r="N476" s="4">
        <v>6</v>
      </c>
      <c r="O476" s="2" t="s">
        <v>5</v>
      </c>
      <c r="P476" s="4">
        <f t="shared" si="63"/>
        <v>30</v>
      </c>
      <c r="Q476" s="4">
        <v>15</v>
      </c>
      <c r="R476" s="4">
        <v>5</v>
      </c>
      <c r="S476" s="4">
        <v>10</v>
      </c>
      <c r="T476" s="4">
        <v>51</v>
      </c>
      <c r="U476" s="4">
        <v>37</v>
      </c>
      <c r="V476" s="5">
        <f t="shared" si="64"/>
        <v>50</v>
      </c>
    </row>
    <row r="477" spans="9:22" x14ac:dyDescent="0.25">
      <c r="N477" s="4">
        <v>7</v>
      </c>
      <c r="O477" s="2" t="s">
        <v>6</v>
      </c>
      <c r="P477" s="4">
        <f t="shared" si="63"/>
        <v>30</v>
      </c>
      <c r="Q477" s="4">
        <v>14</v>
      </c>
      <c r="R477" s="4">
        <v>7</v>
      </c>
      <c r="S477" s="4">
        <v>9</v>
      </c>
      <c r="T477" s="4">
        <v>52</v>
      </c>
      <c r="U477" s="4">
        <v>38</v>
      </c>
      <c r="V477" s="5">
        <f t="shared" si="64"/>
        <v>49</v>
      </c>
    </row>
    <row r="478" spans="9:22" x14ac:dyDescent="0.25">
      <c r="N478" s="4">
        <v>8</v>
      </c>
      <c r="O478" s="2" t="s">
        <v>7</v>
      </c>
      <c r="P478" s="4">
        <f t="shared" si="63"/>
        <v>30</v>
      </c>
      <c r="Q478" s="4">
        <v>14</v>
      </c>
      <c r="R478" s="4">
        <v>4</v>
      </c>
      <c r="S478" s="4">
        <v>12</v>
      </c>
      <c r="T478" s="4">
        <v>50</v>
      </c>
      <c r="U478" s="4">
        <v>37</v>
      </c>
      <c r="V478" s="5">
        <f t="shared" si="64"/>
        <v>46</v>
      </c>
    </row>
    <row r="479" spans="9:22" x14ac:dyDescent="0.25">
      <c r="N479" s="4">
        <v>9</v>
      </c>
      <c r="O479" s="2" t="s">
        <v>8</v>
      </c>
      <c r="P479" s="4">
        <f t="shared" si="63"/>
        <v>30</v>
      </c>
      <c r="Q479" s="4">
        <v>12</v>
      </c>
      <c r="R479" s="4">
        <v>3</v>
      </c>
      <c r="S479" s="4">
        <v>15</v>
      </c>
      <c r="T479" s="4">
        <v>45</v>
      </c>
      <c r="U479" s="4">
        <v>43</v>
      </c>
      <c r="V479" s="5">
        <f t="shared" si="64"/>
        <v>39</v>
      </c>
    </row>
    <row r="480" spans="9:22" x14ac:dyDescent="0.25">
      <c r="N480" s="4">
        <v>10</v>
      </c>
      <c r="O480" s="2" t="s">
        <v>9</v>
      </c>
      <c r="P480" s="4">
        <f t="shared" si="63"/>
        <v>30</v>
      </c>
      <c r="Q480" s="4">
        <v>10</v>
      </c>
      <c r="R480" s="4">
        <v>7</v>
      </c>
      <c r="S480" s="4">
        <v>13</v>
      </c>
      <c r="T480" s="4">
        <v>38</v>
      </c>
      <c r="U480" s="4">
        <v>45</v>
      </c>
      <c r="V480" s="5">
        <f t="shared" si="64"/>
        <v>37</v>
      </c>
    </row>
    <row r="481" spans="3:22" x14ac:dyDescent="0.25">
      <c r="N481" s="4">
        <v>11</v>
      </c>
      <c r="O481" s="2" t="s">
        <v>10</v>
      </c>
      <c r="P481" s="4">
        <f t="shared" si="63"/>
        <v>30</v>
      </c>
      <c r="Q481" s="4">
        <v>10</v>
      </c>
      <c r="R481" s="4">
        <v>6</v>
      </c>
      <c r="S481" s="4">
        <v>14</v>
      </c>
      <c r="T481" s="4">
        <v>38</v>
      </c>
      <c r="U481" s="4">
        <v>49</v>
      </c>
      <c r="V481" s="5">
        <f t="shared" si="64"/>
        <v>36</v>
      </c>
    </row>
    <row r="482" spans="3:22" x14ac:dyDescent="0.25">
      <c r="N482" s="4">
        <v>12</v>
      </c>
      <c r="O482" s="2" t="s">
        <v>11</v>
      </c>
      <c r="P482" s="4">
        <f t="shared" si="63"/>
        <v>30</v>
      </c>
      <c r="Q482" s="4">
        <v>10</v>
      </c>
      <c r="R482" s="4">
        <v>5</v>
      </c>
      <c r="S482" s="4">
        <v>15</v>
      </c>
      <c r="T482" s="4">
        <v>53</v>
      </c>
      <c r="U482" s="4">
        <v>57</v>
      </c>
      <c r="V482" s="5">
        <f t="shared" si="64"/>
        <v>35</v>
      </c>
    </row>
    <row r="483" spans="3:22" x14ac:dyDescent="0.25">
      <c r="N483" s="4">
        <v>13</v>
      </c>
      <c r="O483" s="2" t="s">
        <v>12</v>
      </c>
      <c r="P483" s="4">
        <f t="shared" si="63"/>
        <v>30</v>
      </c>
      <c r="Q483" s="4">
        <v>10</v>
      </c>
      <c r="R483" s="4">
        <v>5</v>
      </c>
      <c r="S483" s="4">
        <v>15</v>
      </c>
      <c r="T483" s="4">
        <v>27</v>
      </c>
      <c r="U483" s="4">
        <v>50</v>
      </c>
      <c r="V483" s="5">
        <f t="shared" si="64"/>
        <v>35</v>
      </c>
    </row>
    <row r="484" spans="3:22" x14ac:dyDescent="0.25">
      <c r="N484" s="4">
        <v>14</v>
      </c>
      <c r="O484" s="2" t="s">
        <v>13</v>
      </c>
      <c r="P484" s="4">
        <f t="shared" si="63"/>
        <v>30</v>
      </c>
      <c r="Q484" s="4">
        <v>6</v>
      </c>
      <c r="R484" s="4">
        <v>9</v>
      </c>
      <c r="S484" s="4">
        <v>15</v>
      </c>
      <c r="T484" s="4">
        <v>39</v>
      </c>
      <c r="U484" s="4">
        <v>57</v>
      </c>
      <c r="V484" s="5">
        <f t="shared" si="64"/>
        <v>27</v>
      </c>
    </row>
    <row r="485" spans="3:22" x14ac:dyDescent="0.25">
      <c r="N485" s="4">
        <v>15</v>
      </c>
      <c r="O485" s="4" t="s">
        <v>14</v>
      </c>
      <c r="P485" s="4">
        <f t="shared" si="63"/>
        <v>0</v>
      </c>
      <c r="Q485" s="4"/>
      <c r="R485" s="4"/>
      <c r="S485" s="4"/>
      <c r="T485" s="4"/>
      <c r="U485" s="4"/>
      <c r="V485" s="5">
        <f t="shared" si="64"/>
        <v>0</v>
      </c>
    </row>
    <row r="486" spans="3:22" x14ac:dyDescent="0.25">
      <c r="N486" s="4">
        <v>16</v>
      </c>
      <c r="O486" s="4" t="s">
        <v>14</v>
      </c>
      <c r="P486" s="4">
        <f t="shared" si="63"/>
        <v>0</v>
      </c>
      <c r="Q486" s="4"/>
      <c r="R486" s="4"/>
      <c r="S486" s="4"/>
      <c r="T486" s="4"/>
      <c r="U486" s="4"/>
      <c r="V486" s="5">
        <f t="shared" si="64"/>
        <v>0</v>
      </c>
    </row>
    <row r="489" spans="3:22" x14ac:dyDescent="0.25">
      <c r="C489" s="5"/>
      <c r="I489" s="30"/>
      <c r="J489" s="30"/>
      <c r="K489" s="30"/>
      <c r="L489" s="30"/>
    </row>
    <row r="490" spans="3:22" x14ac:dyDescent="0.25">
      <c r="I490" s="30"/>
      <c r="J490" s="30"/>
      <c r="K490" s="30"/>
      <c r="L490" s="30"/>
    </row>
    <row r="491" spans="3:22" x14ac:dyDescent="0.25">
      <c r="I491" s="30"/>
      <c r="J491" s="30"/>
      <c r="K491" s="30"/>
      <c r="L491" s="30"/>
    </row>
    <row r="492" spans="3:22" x14ac:dyDescent="0.25">
      <c r="I492" s="30"/>
      <c r="J492" s="30"/>
      <c r="K492" s="30"/>
      <c r="L492" s="30"/>
    </row>
  </sheetData>
  <mergeCells count="24">
    <mergeCell ref="N272:V272"/>
    <mergeCell ref="N470:V470"/>
    <mergeCell ref="N452:V452"/>
    <mergeCell ref="N434:V434"/>
    <mergeCell ref="N416:V416"/>
    <mergeCell ref="N398:V398"/>
    <mergeCell ref="N380:V380"/>
    <mergeCell ref="N362:V362"/>
    <mergeCell ref="N344:V344"/>
    <mergeCell ref="N326:V326"/>
    <mergeCell ref="N308:V308"/>
    <mergeCell ref="N290:V290"/>
    <mergeCell ref="N56:V56"/>
    <mergeCell ref="N254:V254"/>
    <mergeCell ref="N236:V236"/>
    <mergeCell ref="N218:V218"/>
    <mergeCell ref="N200:V200"/>
    <mergeCell ref="N182:V182"/>
    <mergeCell ref="N164:V164"/>
    <mergeCell ref="N146:V146"/>
    <mergeCell ref="N128:V128"/>
    <mergeCell ref="N110:V110"/>
    <mergeCell ref="N92:V92"/>
    <mergeCell ref="N74:V74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G40"/>
  <sheetViews>
    <sheetView workbookViewId="0">
      <selection activeCell="X39" sqref="X39"/>
    </sheetView>
  </sheetViews>
  <sheetFormatPr defaultRowHeight="15" x14ac:dyDescent="0.25"/>
  <cols>
    <col min="1" max="1" width="3.42578125" customWidth="1"/>
    <col min="2" max="2" width="3.7109375" style="35" customWidth="1"/>
    <col min="3" max="3" width="24" bestFit="1" customWidth="1"/>
    <col min="4" max="10" width="4.42578125" customWidth="1"/>
    <col min="12" max="12" width="3.7109375" style="35" customWidth="1"/>
    <col min="13" max="13" width="21" bestFit="1" customWidth="1"/>
    <col min="14" max="20" width="4.42578125" customWidth="1"/>
    <col min="22" max="22" width="3.7109375" style="35" customWidth="1"/>
    <col min="23" max="23" width="21" bestFit="1" customWidth="1"/>
    <col min="24" max="30" width="4.42578125" customWidth="1"/>
    <col min="32" max="32" width="16" bestFit="1" customWidth="1"/>
    <col min="33" max="33" width="32.28515625" bestFit="1" customWidth="1"/>
  </cols>
  <sheetData>
    <row r="2" spans="2:33" x14ac:dyDescent="0.25">
      <c r="B2" s="38" t="s">
        <v>15</v>
      </c>
      <c r="C2" s="38"/>
      <c r="D2" s="38"/>
      <c r="E2" s="38"/>
      <c r="F2" s="38"/>
      <c r="G2" s="38"/>
      <c r="H2" s="38"/>
      <c r="I2" s="38"/>
      <c r="J2" s="38"/>
      <c r="L2" s="38" t="s">
        <v>42</v>
      </c>
      <c r="M2" s="38"/>
      <c r="N2" s="38"/>
      <c r="O2" s="38"/>
      <c r="P2" s="38"/>
      <c r="Q2" s="38"/>
      <c r="R2" s="38"/>
      <c r="S2" s="38"/>
      <c r="T2" s="38"/>
      <c r="V2" s="38" t="s">
        <v>69</v>
      </c>
      <c r="W2" s="38"/>
      <c r="X2" s="38"/>
      <c r="Y2" s="38"/>
      <c r="Z2" s="38"/>
      <c r="AA2" s="38"/>
      <c r="AB2" s="38"/>
      <c r="AC2" s="38"/>
      <c r="AD2" s="38"/>
    </row>
    <row r="3" spans="2:33" x14ac:dyDescent="0.25">
      <c r="B3" s="34">
        <v>1</v>
      </c>
      <c r="C3" s="2" t="s">
        <v>0</v>
      </c>
      <c r="D3" s="4">
        <f>E3+F3+G3</f>
        <v>30</v>
      </c>
      <c r="E3" s="4">
        <v>22</v>
      </c>
      <c r="F3" s="4">
        <v>2</v>
      </c>
      <c r="G3" s="4">
        <v>6</v>
      </c>
      <c r="H3" s="4">
        <v>57</v>
      </c>
      <c r="I3" s="4">
        <v>25</v>
      </c>
      <c r="J3" s="5">
        <f>E3*3+F3*1</f>
        <v>68</v>
      </c>
      <c r="L3" s="34">
        <v>1</v>
      </c>
      <c r="M3" s="2" t="s">
        <v>43</v>
      </c>
      <c r="N3" s="4">
        <v>30</v>
      </c>
      <c r="O3" s="4">
        <v>21</v>
      </c>
      <c r="P3" s="4">
        <v>7</v>
      </c>
      <c r="Q3" s="4">
        <f>N3-O3-P3</f>
        <v>2</v>
      </c>
      <c r="R3" s="4">
        <v>73</v>
      </c>
      <c r="S3" s="4">
        <v>21</v>
      </c>
      <c r="T3" s="5">
        <f>O3*3+P3*1</f>
        <v>70</v>
      </c>
      <c r="V3" s="34">
        <v>1</v>
      </c>
      <c r="W3" s="2" t="s">
        <v>32</v>
      </c>
      <c r="X3" s="4">
        <v>30</v>
      </c>
      <c r="Y3" s="4">
        <v>26</v>
      </c>
      <c r="Z3" s="4">
        <v>2</v>
      </c>
      <c r="AA3" s="4">
        <f>X3-Y3-Z3</f>
        <v>2</v>
      </c>
      <c r="AB3" s="4">
        <v>121</v>
      </c>
      <c r="AC3" s="4">
        <v>12</v>
      </c>
      <c r="AD3" s="5">
        <f>Y3*3+Z3*1</f>
        <v>80</v>
      </c>
      <c r="AF3" t="s">
        <v>117</v>
      </c>
      <c r="AG3" t="s">
        <v>115</v>
      </c>
    </row>
    <row r="4" spans="2:33" x14ac:dyDescent="0.25">
      <c r="B4" s="34">
        <v>2</v>
      </c>
      <c r="C4" s="2" t="s">
        <v>1</v>
      </c>
      <c r="D4" s="4">
        <f t="shared" ref="D4:D5" si="0">E4+F4+G4</f>
        <v>30</v>
      </c>
      <c r="E4" s="4">
        <v>18</v>
      </c>
      <c r="F4" s="4">
        <v>4</v>
      </c>
      <c r="G4" s="4">
        <v>8</v>
      </c>
      <c r="H4" s="4">
        <v>60</v>
      </c>
      <c r="I4" s="4">
        <v>44</v>
      </c>
      <c r="J4" s="5">
        <f t="shared" ref="J4:J5" si="1">E4*3+F4*1</f>
        <v>58</v>
      </c>
      <c r="L4" s="34">
        <v>2</v>
      </c>
      <c r="M4" s="2" t="s">
        <v>24</v>
      </c>
      <c r="N4" s="4">
        <v>30</v>
      </c>
      <c r="O4" s="4">
        <v>21</v>
      </c>
      <c r="P4" s="4">
        <v>6</v>
      </c>
      <c r="Q4" s="4">
        <f t="shared" ref="Q4:Q5" si="2">N4-O4-P4</f>
        <v>3</v>
      </c>
      <c r="R4" s="4">
        <v>69</v>
      </c>
      <c r="S4" s="4">
        <v>17</v>
      </c>
      <c r="T4" s="5">
        <f t="shared" ref="T4:T5" si="3">O4*3+P4*1</f>
        <v>69</v>
      </c>
      <c r="V4" s="34">
        <v>2</v>
      </c>
      <c r="W4" s="2" t="s">
        <v>18</v>
      </c>
      <c r="X4" s="4">
        <v>30</v>
      </c>
      <c r="Y4" s="4">
        <v>26</v>
      </c>
      <c r="Z4" s="4">
        <v>1</v>
      </c>
      <c r="AA4" s="4">
        <f t="shared" ref="AA4:AA5" si="4">X4-Y4-Z4</f>
        <v>3</v>
      </c>
      <c r="AB4" s="4">
        <v>115</v>
      </c>
      <c r="AC4" s="4">
        <v>16</v>
      </c>
      <c r="AD4" s="5">
        <f t="shared" ref="AD4:AD5" si="5">Y4*3+Z4*1</f>
        <v>79</v>
      </c>
      <c r="AF4" t="s">
        <v>116</v>
      </c>
      <c r="AG4" t="s">
        <v>118</v>
      </c>
    </row>
    <row r="5" spans="2:33" x14ac:dyDescent="0.25">
      <c r="B5" s="34">
        <v>3</v>
      </c>
      <c r="C5" s="2" t="s">
        <v>2</v>
      </c>
      <c r="D5" s="4">
        <f t="shared" si="0"/>
        <v>30</v>
      </c>
      <c r="E5" s="4">
        <v>16</v>
      </c>
      <c r="F5" s="4">
        <v>4</v>
      </c>
      <c r="G5" s="4">
        <v>10</v>
      </c>
      <c r="H5" s="4">
        <v>61</v>
      </c>
      <c r="I5" s="4">
        <v>38</v>
      </c>
      <c r="J5" s="5">
        <f t="shared" si="1"/>
        <v>52</v>
      </c>
      <c r="L5" s="34">
        <v>3</v>
      </c>
      <c r="M5" s="2" t="s">
        <v>18</v>
      </c>
      <c r="N5" s="4">
        <v>30</v>
      </c>
      <c r="O5" s="4">
        <v>21</v>
      </c>
      <c r="P5" s="4">
        <v>4</v>
      </c>
      <c r="Q5" s="4">
        <f t="shared" si="2"/>
        <v>5</v>
      </c>
      <c r="R5" s="4">
        <v>92</v>
      </c>
      <c r="S5" s="4">
        <v>32</v>
      </c>
      <c r="T5" s="5">
        <f t="shared" si="3"/>
        <v>67</v>
      </c>
      <c r="V5" s="34">
        <v>3</v>
      </c>
      <c r="W5" s="2" t="s">
        <v>33</v>
      </c>
      <c r="X5" s="4">
        <v>30</v>
      </c>
      <c r="Y5" s="4">
        <v>24</v>
      </c>
      <c r="Z5" s="4">
        <v>2</v>
      </c>
      <c r="AA5" s="4">
        <f t="shared" si="4"/>
        <v>4</v>
      </c>
      <c r="AB5" s="4">
        <v>91</v>
      </c>
      <c r="AC5" s="4">
        <v>21</v>
      </c>
      <c r="AD5" s="5">
        <f t="shared" si="5"/>
        <v>74</v>
      </c>
      <c r="AF5" t="s">
        <v>119</v>
      </c>
      <c r="AG5" t="s">
        <v>120</v>
      </c>
    </row>
    <row r="6" spans="2:33" x14ac:dyDescent="0.25">
      <c r="B6" s="38" t="s">
        <v>16</v>
      </c>
      <c r="C6" s="38"/>
      <c r="D6" s="38"/>
      <c r="E6" s="38"/>
      <c r="F6" s="38"/>
      <c r="G6" s="38"/>
      <c r="H6" s="38"/>
      <c r="I6" s="38"/>
      <c r="J6" s="38"/>
      <c r="L6" s="38" t="s">
        <v>44</v>
      </c>
      <c r="M6" s="38"/>
      <c r="N6" s="38"/>
      <c r="O6" s="38"/>
      <c r="P6" s="38"/>
      <c r="Q6" s="38"/>
      <c r="R6" s="38"/>
      <c r="S6" s="38"/>
      <c r="T6" s="38"/>
      <c r="V6" s="38" t="s">
        <v>74</v>
      </c>
      <c r="W6" s="38"/>
      <c r="X6" s="38"/>
      <c r="Y6" s="38"/>
      <c r="Z6" s="38"/>
      <c r="AA6" s="38"/>
      <c r="AB6" s="38"/>
      <c r="AC6" s="38"/>
      <c r="AD6" s="38"/>
      <c r="AF6" t="s">
        <v>121</v>
      </c>
      <c r="AG6" t="s">
        <v>122</v>
      </c>
    </row>
    <row r="7" spans="2:33" x14ac:dyDescent="0.25">
      <c r="B7" s="34">
        <v>1</v>
      </c>
      <c r="C7" s="2" t="s">
        <v>0</v>
      </c>
      <c r="D7" s="4">
        <f>E7+F7+G7</f>
        <v>30</v>
      </c>
      <c r="E7" s="4">
        <v>19</v>
      </c>
      <c r="F7" s="4">
        <v>8</v>
      </c>
      <c r="G7" s="4">
        <v>3</v>
      </c>
      <c r="H7" s="4">
        <v>64</v>
      </c>
      <c r="I7" s="4">
        <v>30</v>
      </c>
      <c r="J7" s="5">
        <f>E7*3+F7*1</f>
        <v>65</v>
      </c>
      <c r="L7" s="34">
        <v>1</v>
      </c>
      <c r="M7" s="2" t="s">
        <v>24</v>
      </c>
      <c r="N7" s="4">
        <v>30</v>
      </c>
      <c r="O7" s="4">
        <v>24</v>
      </c>
      <c r="P7" s="4">
        <v>4</v>
      </c>
      <c r="Q7" s="4">
        <f>N7-O7-P7</f>
        <v>2</v>
      </c>
      <c r="R7" s="4">
        <v>83</v>
      </c>
      <c r="S7" s="4">
        <v>15</v>
      </c>
      <c r="T7" s="5">
        <f>O7*3+P7*1</f>
        <v>76</v>
      </c>
      <c r="V7" s="34">
        <v>1</v>
      </c>
      <c r="W7" s="2" t="s">
        <v>32</v>
      </c>
      <c r="X7" s="4">
        <v>30</v>
      </c>
      <c r="Y7" s="4">
        <v>27</v>
      </c>
      <c r="Z7" s="4">
        <v>2</v>
      </c>
      <c r="AA7" s="4">
        <f>X7-Y7-Z7</f>
        <v>1</v>
      </c>
      <c r="AB7" s="4">
        <v>121</v>
      </c>
      <c r="AC7" s="4">
        <v>12</v>
      </c>
      <c r="AD7" s="5">
        <f>Y7*3+Z7*1</f>
        <v>83</v>
      </c>
    </row>
    <row r="8" spans="2:33" x14ac:dyDescent="0.25">
      <c r="B8" s="34">
        <v>2</v>
      </c>
      <c r="C8" s="2" t="s">
        <v>1</v>
      </c>
      <c r="D8" s="4">
        <f t="shared" ref="D8:D9" si="6">E8+F8+G8</f>
        <v>30</v>
      </c>
      <c r="E8" s="4">
        <v>17</v>
      </c>
      <c r="F8" s="4">
        <v>8</v>
      </c>
      <c r="G8" s="4">
        <v>5</v>
      </c>
      <c r="H8" s="4">
        <v>55</v>
      </c>
      <c r="I8" s="4">
        <v>23</v>
      </c>
      <c r="J8" s="5">
        <f t="shared" ref="J8:J9" si="7">E8*3+F8*1</f>
        <v>59</v>
      </c>
      <c r="L8" s="34">
        <v>2</v>
      </c>
      <c r="M8" s="2" t="s">
        <v>23</v>
      </c>
      <c r="N8" s="4">
        <v>30</v>
      </c>
      <c r="O8" s="4">
        <v>23</v>
      </c>
      <c r="P8" s="4">
        <v>4</v>
      </c>
      <c r="Q8" s="4">
        <f t="shared" ref="Q8:Q9" si="8">N8-O8-P8</f>
        <v>3</v>
      </c>
      <c r="R8" s="4">
        <v>106</v>
      </c>
      <c r="S8" s="4">
        <v>18</v>
      </c>
      <c r="T8" s="5">
        <f t="shared" ref="T8:T9" si="9">O8*3+P8*1</f>
        <v>73</v>
      </c>
      <c r="V8" s="34">
        <v>2</v>
      </c>
      <c r="W8" s="2" t="s">
        <v>18</v>
      </c>
      <c r="X8" s="4">
        <v>30</v>
      </c>
      <c r="Y8" s="4">
        <v>26</v>
      </c>
      <c r="Z8" s="4">
        <v>0</v>
      </c>
      <c r="AA8" s="4">
        <f t="shared" ref="AA8:AA9" si="10">X8-Y8-Z8</f>
        <v>4</v>
      </c>
      <c r="AB8" s="4">
        <v>115</v>
      </c>
      <c r="AC8" s="4">
        <v>16</v>
      </c>
      <c r="AD8" s="5">
        <f t="shared" ref="AD8:AD9" si="11">Y8*3+Z8*1</f>
        <v>78</v>
      </c>
    </row>
    <row r="9" spans="2:33" x14ac:dyDescent="0.25">
      <c r="B9" s="34">
        <v>3</v>
      </c>
      <c r="C9" s="2" t="s">
        <v>3</v>
      </c>
      <c r="D9" s="4">
        <f t="shared" si="6"/>
        <v>30</v>
      </c>
      <c r="E9" s="4">
        <v>17</v>
      </c>
      <c r="F9" s="4">
        <v>4</v>
      </c>
      <c r="G9" s="4">
        <v>9</v>
      </c>
      <c r="H9" s="4">
        <v>50</v>
      </c>
      <c r="I9" s="4">
        <v>31</v>
      </c>
      <c r="J9" s="5">
        <f t="shared" si="7"/>
        <v>55</v>
      </c>
      <c r="L9" s="34">
        <v>3</v>
      </c>
      <c r="M9" s="2" t="s">
        <v>18</v>
      </c>
      <c r="N9" s="4">
        <v>30</v>
      </c>
      <c r="O9" s="4">
        <v>21</v>
      </c>
      <c r="P9" s="4">
        <v>3</v>
      </c>
      <c r="Q9" s="4">
        <f t="shared" si="8"/>
        <v>6</v>
      </c>
      <c r="R9" s="4">
        <v>104</v>
      </c>
      <c r="S9" s="4">
        <v>30</v>
      </c>
      <c r="T9" s="5">
        <f t="shared" si="9"/>
        <v>66</v>
      </c>
      <c r="V9" s="34">
        <v>3</v>
      </c>
      <c r="W9" s="2" t="s">
        <v>51</v>
      </c>
      <c r="X9" s="4">
        <v>30</v>
      </c>
      <c r="Y9" s="4">
        <v>21</v>
      </c>
      <c r="Z9" s="4">
        <v>3</v>
      </c>
      <c r="AA9" s="4">
        <f t="shared" si="10"/>
        <v>6</v>
      </c>
      <c r="AB9" s="4">
        <v>91</v>
      </c>
      <c r="AC9" s="4">
        <v>21</v>
      </c>
      <c r="AD9" s="5">
        <f t="shared" si="11"/>
        <v>66</v>
      </c>
    </row>
    <row r="10" spans="2:33" x14ac:dyDescent="0.25">
      <c r="B10" s="38" t="s">
        <v>22</v>
      </c>
      <c r="C10" s="38"/>
      <c r="D10" s="38"/>
      <c r="E10" s="38"/>
      <c r="F10" s="38"/>
      <c r="G10" s="38"/>
      <c r="H10" s="38"/>
      <c r="I10" s="38"/>
      <c r="J10" s="38"/>
      <c r="L10" s="38" t="s">
        <v>46</v>
      </c>
      <c r="M10" s="38"/>
      <c r="N10" s="38"/>
      <c r="O10" s="38"/>
      <c r="P10" s="38"/>
      <c r="Q10" s="38"/>
      <c r="R10" s="38"/>
      <c r="S10" s="38"/>
      <c r="T10" s="38"/>
      <c r="V10" s="38" t="s">
        <v>75</v>
      </c>
      <c r="W10" s="38"/>
      <c r="X10" s="38"/>
      <c r="Y10" s="38"/>
      <c r="Z10" s="38"/>
      <c r="AA10" s="38"/>
      <c r="AB10" s="38"/>
      <c r="AC10" s="38"/>
      <c r="AD10" s="38"/>
    </row>
    <row r="11" spans="2:33" x14ac:dyDescent="0.25">
      <c r="B11" s="34">
        <v>1</v>
      </c>
      <c r="C11" s="2" t="s">
        <v>1</v>
      </c>
      <c r="D11" s="4">
        <f>E11+F11+G11</f>
        <v>30</v>
      </c>
      <c r="E11" s="4">
        <v>19</v>
      </c>
      <c r="F11" s="4">
        <v>8</v>
      </c>
      <c r="G11" s="4">
        <v>3</v>
      </c>
      <c r="H11" s="4">
        <v>51</v>
      </c>
      <c r="I11" s="4">
        <v>22</v>
      </c>
      <c r="J11" s="5">
        <f>E11*3+F11*1</f>
        <v>65</v>
      </c>
      <c r="L11" s="34">
        <v>1</v>
      </c>
      <c r="M11" s="2" t="s">
        <v>24</v>
      </c>
      <c r="N11" s="4">
        <v>30</v>
      </c>
      <c r="O11" s="4">
        <v>27</v>
      </c>
      <c r="P11" s="4">
        <v>3</v>
      </c>
      <c r="Q11" s="4">
        <f>N11-O11-P11</f>
        <v>0</v>
      </c>
      <c r="R11" s="4">
        <v>115</v>
      </c>
      <c r="S11" s="4">
        <v>8</v>
      </c>
      <c r="T11" s="5">
        <f>O11*3+P11*1</f>
        <v>84</v>
      </c>
      <c r="V11" s="34">
        <v>1</v>
      </c>
      <c r="W11" s="2" t="s">
        <v>18</v>
      </c>
      <c r="X11" s="4">
        <v>30</v>
      </c>
      <c r="Y11" s="4">
        <v>27</v>
      </c>
      <c r="Z11" s="4">
        <v>3</v>
      </c>
      <c r="AA11" s="4">
        <f>X11-Y11-Z11</f>
        <v>0</v>
      </c>
      <c r="AB11" s="4">
        <v>112</v>
      </c>
      <c r="AC11" s="4">
        <v>14</v>
      </c>
      <c r="AD11" s="5">
        <f>Y11*3+Z11*1</f>
        <v>84</v>
      </c>
    </row>
    <row r="12" spans="2:33" x14ac:dyDescent="0.25">
      <c r="B12" s="34">
        <v>2</v>
      </c>
      <c r="C12" s="2" t="s">
        <v>0</v>
      </c>
      <c r="D12" s="4">
        <f t="shared" ref="D12:D13" si="12">E12+F12+G12</f>
        <v>30</v>
      </c>
      <c r="E12" s="4">
        <v>16</v>
      </c>
      <c r="F12" s="4">
        <v>8</v>
      </c>
      <c r="G12" s="4">
        <v>6</v>
      </c>
      <c r="H12" s="4">
        <v>64</v>
      </c>
      <c r="I12" s="4">
        <v>32</v>
      </c>
      <c r="J12" s="5">
        <f t="shared" ref="J12:J13" si="13">E12*3+F12*1</f>
        <v>56</v>
      </c>
      <c r="L12" s="34">
        <v>2</v>
      </c>
      <c r="M12" s="2" t="s">
        <v>18</v>
      </c>
      <c r="N12" s="4">
        <v>30</v>
      </c>
      <c r="O12" s="4">
        <v>21</v>
      </c>
      <c r="P12" s="4">
        <v>5</v>
      </c>
      <c r="Q12" s="4">
        <f t="shared" ref="Q12:Q13" si="14">N12-O12-P12</f>
        <v>4</v>
      </c>
      <c r="R12" s="4">
        <v>142</v>
      </c>
      <c r="S12" s="4">
        <v>28</v>
      </c>
      <c r="T12" s="5">
        <f t="shared" ref="T12:T13" si="15">O12*3+P12*1</f>
        <v>68</v>
      </c>
      <c r="V12" s="34">
        <v>2</v>
      </c>
      <c r="W12" s="2" t="s">
        <v>32</v>
      </c>
      <c r="X12" s="4">
        <v>30</v>
      </c>
      <c r="Y12" s="4">
        <v>27</v>
      </c>
      <c r="Z12" s="4">
        <v>0</v>
      </c>
      <c r="AA12" s="4">
        <f t="shared" ref="AA12:AA13" si="16">X12-Y12-Z12</f>
        <v>3</v>
      </c>
      <c r="AB12" s="4">
        <v>119</v>
      </c>
      <c r="AC12" s="4">
        <v>19</v>
      </c>
      <c r="AD12" s="5">
        <f t="shared" ref="AD12:AD13" si="17">Y12*3+Z12*1</f>
        <v>81</v>
      </c>
    </row>
    <row r="13" spans="2:33" x14ac:dyDescent="0.25">
      <c r="B13" s="34">
        <v>3</v>
      </c>
      <c r="C13" s="2" t="s">
        <v>4</v>
      </c>
      <c r="D13" s="4">
        <f t="shared" si="12"/>
        <v>30</v>
      </c>
      <c r="E13" s="4">
        <v>16</v>
      </c>
      <c r="F13" s="4">
        <v>6</v>
      </c>
      <c r="G13" s="4">
        <v>8</v>
      </c>
      <c r="H13" s="4">
        <v>44</v>
      </c>
      <c r="I13" s="4">
        <v>28</v>
      </c>
      <c r="J13" s="5">
        <f t="shared" si="13"/>
        <v>54</v>
      </c>
      <c r="L13" s="34">
        <v>3</v>
      </c>
      <c r="M13" s="2" t="s">
        <v>33</v>
      </c>
      <c r="N13" s="4">
        <v>30</v>
      </c>
      <c r="O13" s="4">
        <v>21</v>
      </c>
      <c r="P13" s="4">
        <v>3</v>
      </c>
      <c r="Q13" s="4">
        <f t="shared" si="14"/>
        <v>6</v>
      </c>
      <c r="R13" s="4">
        <v>121</v>
      </c>
      <c r="S13" s="4">
        <v>25</v>
      </c>
      <c r="T13" s="5">
        <f t="shared" si="15"/>
        <v>66</v>
      </c>
      <c r="V13" s="34">
        <v>3</v>
      </c>
      <c r="W13" s="2" t="s">
        <v>33</v>
      </c>
      <c r="X13" s="4">
        <v>30</v>
      </c>
      <c r="Y13" s="4">
        <v>21</v>
      </c>
      <c r="Z13" s="4">
        <v>2</v>
      </c>
      <c r="AA13" s="4">
        <f t="shared" si="16"/>
        <v>7</v>
      </c>
      <c r="AB13" s="4">
        <v>71</v>
      </c>
      <c r="AC13" s="4">
        <v>26</v>
      </c>
      <c r="AD13" s="5">
        <f t="shared" si="17"/>
        <v>65</v>
      </c>
    </row>
    <row r="14" spans="2:33" x14ac:dyDescent="0.25">
      <c r="B14" s="38" t="s">
        <v>26</v>
      </c>
      <c r="C14" s="38"/>
      <c r="D14" s="38"/>
      <c r="E14" s="38"/>
      <c r="F14" s="38"/>
      <c r="G14" s="38"/>
      <c r="H14" s="38"/>
      <c r="I14" s="38"/>
      <c r="J14" s="38"/>
      <c r="L14" s="38" t="s">
        <v>49</v>
      </c>
      <c r="M14" s="38"/>
      <c r="N14" s="38"/>
      <c r="O14" s="38"/>
      <c r="P14" s="38"/>
      <c r="Q14" s="38"/>
      <c r="R14" s="38"/>
      <c r="S14" s="38"/>
      <c r="T14" s="38"/>
      <c r="V14" s="38" t="s">
        <v>77</v>
      </c>
      <c r="W14" s="38"/>
      <c r="X14" s="38"/>
      <c r="Y14" s="38"/>
      <c r="Z14" s="38"/>
      <c r="AA14" s="38"/>
      <c r="AB14" s="38"/>
      <c r="AC14" s="38"/>
      <c r="AD14" s="38"/>
    </row>
    <row r="15" spans="2:33" x14ac:dyDescent="0.25">
      <c r="B15" s="34">
        <v>1</v>
      </c>
      <c r="C15" s="2" t="s">
        <v>3</v>
      </c>
      <c r="D15" s="4">
        <v>30</v>
      </c>
      <c r="E15" s="4">
        <v>19</v>
      </c>
      <c r="F15" s="4">
        <v>4</v>
      </c>
      <c r="G15" s="4">
        <f>D15-E15-F15</f>
        <v>7</v>
      </c>
      <c r="H15" s="4">
        <v>54</v>
      </c>
      <c r="I15" s="4">
        <v>28</v>
      </c>
      <c r="J15" s="5">
        <f>E15*3+F15*1</f>
        <v>61</v>
      </c>
      <c r="L15" s="34">
        <v>1</v>
      </c>
      <c r="M15" s="2" t="s">
        <v>43</v>
      </c>
      <c r="N15" s="4">
        <v>30</v>
      </c>
      <c r="O15" s="4">
        <v>25</v>
      </c>
      <c r="P15" s="4">
        <v>3</v>
      </c>
      <c r="Q15" s="4">
        <f>N15-O15-P15</f>
        <v>2</v>
      </c>
      <c r="R15" s="4">
        <v>104</v>
      </c>
      <c r="S15" s="4">
        <v>15</v>
      </c>
      <c r="T15" s="5">
        <f>O15*3+P15*1</f>
        <v>78</v>
      </c>
      <c r="V15" s="34">
        <v>1</v>
      </c>
      <c r="W15" s="2" t="s">
        <v>64</v>
      </c>
      <c r="X15" s="4">
        <v>30</v>
      </c>
      <c r="Y15" s="4">
        <v>26</v>
      </c>
      <c r="Z15" s="4">
        <v>2</v>
      </c>
      <c r="AA15" s="4">
        <f>X15-Y15-Z15</f>
        <v>2</v>
      </c>
      <c r="AB15" s="4">
        <v>103</v>
      </c>
      <c r="AC15" s="4">
        <v>16</v>
      </c>
      <c r="AD15" s="5">
        <f>Y15*3+Z15*1</f>
        <v>80</v>
      </c>
    </row>
    <row r="16" spans="2:33" x14ac:dyDescent="0.25">
      <c r="B16" s="34">
        <v>2</v>
      </c>
      <c r="C16" s="2" t="s">
        <v>24</v>
      </c>
      <c r="D16" s="4">
        <v>30</v>
      </c>
      <c r="E16" s="4">
        <v>15</v>
      </c>
      <c r="F16" s="4">
        <v>10</v>
      </c>
      <c r="G16" s="4">
        <f>D16-E16-F16</f>
        <v>5</v>
      </c>
      <c r="H16" s="4">
        <v>39</v>
      </c>
      <c r="I16" s="4">
        <v>26</v>
      </c>
      <c r="J16" s="5">
        <f t="shared" ref="J16:J17" si="18">E16*3+F16*1</f>
        <v>55</v>
      </c>
      <c r="L16" s="34">
        <v>2</v>
      </c>
      <c r="M16" s="2" t="s">
        <v>24</v>
      </c>
      <c r="N16" s="4">
        <v>30</v>
      </c>
      <c r="O16" s="4">
        <v>24</v>
      </c>
      <c r="P16" s="4">
        <v>3</v>
      </c>
      <c r="Q16" s="4">
        <f t="shared" ref="Q16:Q17" si="19">N16-O16-P16</f>
        <v>3</v>
      </c>
      <c r="R16" s="4">
        <v>103</v>
      </c>
      <c r="S16" s="4">
        <v>26</v>
      </c>
      <c r="T16" s="5">
        <f t="shared" ref="T16:T17" si="20">O16*3+P16*1</f>
        <v>75</v>
      </c>
      <c r="V16" s="34">
        <v>2</v>
      </c>
      <c r="W16" s="2" t="s">
        <v>18</v>
      </c>
      <c r="X16" s="4">
        <v>30</v>
      </c>
      <c r="Y16" s="4">
        <v>25</v>
      </c>
      <c r="Z16" s="4">
        <v>3</v>
      </c>
      <c r="AA16" s="4">
        <f t="shared" ref="AA16:AA17" si="21">X16-Y16-Z16</f>
        <v>2</v>
      </c>
      <c r="AB16" s="4">
        <v>106</v>
      </c>
      <c r="AC16" s="4">
        <v>19</v>
      </c>
      <c r="AD16" s="5">
        <f t="shared" ref="AD16:AD17" si="22">Y16*3+Z16*1</f>
        <v>78</v>
      </c>
    </row>
    <row r="17" spans="2:30" x14ac:dyDescent="0.25">
      <c r="B17" s="34">
        <v>3</v>
      </c>
      <c r="C17" s="2" t="s">
        <v>23</v>
      </c>
      <c r="D17" s="4">
        <v>30</v>
      </c>
      <c r="E17" s="4">
        <v>16</v>
      </c>
      <c r="F17" s="4">
        <v>7</v>
      </c>
      <c r="G17" s="4">
        <f>D17-E17-F17</f>
        <v>7</v>
      </c>
      <c r="H17" s="4">
        <v>37</v>
      </c>
      <c r="I17" s="4">
        <v>27</v>
      </c>
      <c r="J17" s="5">
        <f t="shared" si="18"/>
        <v>55</v>
      </c>
      <c r="L17" s="34">
        <v>3</v>
      </c>
      <c r="M17" s="2" t="s">
        <v>18</v>
      </c>
      <c r="N17" s="4">
        <v>30</v>
      </c>
      <c r="O17" s="4">
        <v>22</v>
      </c>
      <c r="P17" s="4">
        <v>4</v>
      </c>
      <c r="Q17" s="4">
        <f t="shared" si="19"/>
        <v>4</v>
      </c>
      <c r="R17" s="4">
        <v>120</v>
      </c>
      <c r="S17" s="4">
        <v>27</v>
      </c>
      <c r="T17" s="5">
        <f t="shared" si="20"/>
        <v>70</v>
      </c>
      <c r="V17" s="34">
        <v>3</v>
      </c>
      <c r="W17" s="2" t="s">
        <v>32</v>
      </c>
      <c r="X17" s="4">
        <v>30</v>
      </c>
      <c r="Y17" s="4">
        <v>25</v>
      </c>
      <c r="Z17" s="4">
        <v>2</v>
      </c>
      <c r="AA17" s="4">
        <f t="shared" si="21"/>
        <v>3</v>
      </c>
      <c r="AB17" s="4">
        <v>81</v>
      </c>
      <c r="AC17" s="4">
        <v>22</v>
      </c>
      <c r="AD17" s="5">
        <f t="shared" si="22"/>
        <v>77</v>
      </c>
    </row>
    <row r="18" spans="2:30" x14ac:dyDescent="0.25">
      <c r="B18" s="38" t="s">
        <v>29</v>
      </c>
      <c r="C18" s="38"/>
      <c r="D18" s="38"/>
      <c r="E18" s="38"/>
      <c r="F18" s="38"/>
      <c r="G18" s="38"/>
      <c r="H18" s="38"/>
      <c r="I18" s="38"/>
      <c r="J18" s="38"/>
      <c r="L18" s="38" t="s">
        <v>54</v>
      </c>
      <c r="M18" s="38"/>
      <c r="N18" s="38"/>
      <c r="O18" s="38"/>
      <c r="P18" s="38"/>
      <c r="Q18" s="38"/>
      <c r="R18" s="38"/>
      <c r="S18" s="38"/>
      <c r="T18" s="38"/>
      <c r="V18" s="38" t="s">
        <v>91</v>
      </c>
      <c r="W18" s="38"/>
      <c r="X18" s="38"/>
      <c r="Y18" s="38"/>
      <c r="Z18" s="38"/>
      <c r="AA18" s="38"/>
      <c r="AB18" s="38"/>
      <c r="AC18" s="38"/>
      <c r="AD18" s="38"/>
    </row>
    <row r="19" spans="2:30" x14ac:dyDescent="0.25">
      <c r="B19" s="34">
        <v>1</v>
      </c>
      <c r="C19" s="2" t="s">
        <v>4</v>
      </c>
      <c r="D19" s="4">
        <v>30</v>
      </c>
      <c r="E19" s="4">
        <v>19</v>
      </c>
      <c r="F19" s="4">
        <v>8</v>
      </c>
      <c r="G19" s="4">
        <f>D19-E19-F19</f>
        <v>3</v>
      </c>
      <c r="H19" s="4">
        <v>48</v>
      </c>
      <c r="I19" s="4">
        <v>24</v>
      </c>
      <c r="J19" s="5">
        <f>E19*3+F19*1</f>
        <v>65</v>
      </c>
      <c r="L19" s="34">
        <v>1</v>
      </c>
      <c r="M19" s="2" t="s">
        <v>18</v>
      </c>
      <c r="N19" s="4">
        <v>30</v>
      </c>
      <c r="O19" s="4">
        <v>27</v>
      </c>
      <c r="P19" s="4">
        <v>1</v>
      </c>
      <c r="Q19" s="4">
        <f>N19-O19-P19</f>
        <v>2</v>
      </c>
      <c r="R19" s="4">
        <v>163</v>
      </c>
      <c r="S19" s="4">
        <v>16</v>
      </c>
      <c r="T19" s="5">
        <f>O19*3+P19*1</f>
        <v>82</v>
      </c>
      <c r="V19" s="34">
        <v>1</v>
      </c>
      <c r="W19" s="2" t="s">
        <v>18</v>
      </c>
      <c r="X19" s="4">
        <v>30</v>
      </c>
      <c r="Y19" s="4">
        <v>25</v>
      </c>
      <c r="Z19" s="4">
        <v>2</v>
      </c>
      <c r="AA19" s="4">
        <f>X19-Y19-Z19</f>
        <v>3</v>
      </c>
      <c r="AB19" s="4">
        <v>97</v>
      </c>
      <c r="AC19" s="4">
        <v>17</v>
      </c>
      <c r="AD19" s="5">
        <f>Y19*3+Z19*1</f>
        <v>77</v>
      </c>
    </row>
    <row r="20" spans="2:30" x14ac:dyDescent="0.25">
      <c r="B20" s="34">
        <v>2</v>
      </c>
      <c r="C20" s="2" t="s">
        <v>0</v>
      </c>
      <c r="D20" s="4">
        <v>30</v>
      </c>
      <c r="E20" s="4">
        <v>16</v>
      </c>
      <c r="F20" s="4">
        <v>10</v>
      </c>
      <c r="G20" s="4">
        <f>D20-E20-F20</f>
        <v>4</v>
      </c>
      <c r="H20" s="4">
        <v>47</v>
      </c>
      <c r="I20" s="4">
        <v>24</v>
      </c>
      <c r="J20" s="5">
        <f t="shared" ref="J20:J21" si="23">E20*3+F20*1</f>
        <v>58</v>
      </c>
      <c r="L20" s="34">
        <v>2</v>
      </c>
      <c r="M20" s="2" t="s">
        <v>43</v>
      </c>
      <c r="N20" s="4">
        <v>30</v>
      </c>
      <c r="O20" s="4">
        <v>25</v>
      </c>
      <c r="P20" s="4">
        <v>2</v>
      </c>
      <c r="Q20" s="4">
        <f t="shared" ref="Q20:Q21" si="24">N20-O20-P20</f>
        <v>3</v>
      </c>
      <c r="R20" s="4">
        <v>108</v>
      </c>
      <c r="S20" s="4">
        <v>17</v>
      </c>
      <c r="T20" s="5">
        <f t="shared" ref="T20:T21" si="25">O20*3+P20*1</f>
        <v>77</v>
      </c>
      <c r="V20" s="34">
        <v>2</v>
      </c>
      <c r="W20" s="2" t="s">
        <v>32</v>
      </c>
      <c r="X20" s="4">
        <v>30</v>
      </c>
      <c r="Y20" s="4">
        <v>25</v>
      </c>
      <c r="Z20" s="4">
        <v>1</v>
      </c>
      <c r="AA20" s="4">
        <f t="shared" ref="AA20:AA21" si="26">X20-Y20-Z20</f>
        <v>4</v>
      </c>
      <c r="AB20" s="4">
        <v>109</v>
      </c>
      <c r="AC20" s="4">
        <v>32</v>
      </c>
      <c r="AD20" s="5">
        <f t="shared" ref="AD20:AD21" si="27">Y20*3+Z20*1</f>
        <v>76</v>
      </c>
    </row>
    <row r="21" spans="2:30" x14ac:dyDescent="0.25">
      <c r="B21" s="34">
        <v>3</v>
      </c>
      <c r="C21" s="2" t="s">
        <v>23</v>
      </c>
      <c r="D21" s="4">
        <v>30</v>
      </c>
      <c r="E21" s="4">
        <v>16</v>
      </c>
      <c r="F21" s="4">
        <v>7</v>
      </c>
      <c r="G21" s="4">
        <f>D21-E21-F21</f>
        <v>7</v>
      </c>
      <c r="H21" s="4">
        <v>50</v>
      </c>
      <c r="I21" s="4">
        <v>33</v>
      </c>
      <c r="J21" s="5">
        <f t="shared" si="23"/>
        <v>55</v>
      </c>
      <c r="L21" s="34">
        <v>3</v>
      </c>
      <c r="M21" s="2" t="s">
        <v>32</v>
      </c>
      <c r="N21" s="4">
        <v>30</v>
      </c>
      <c r="O21" s="4">
        <v>21</v>
      </c>
      <c r="P21" s="4">
        <v>7</v>
      </c>
      <c r="Q21" s="4">
        <f t="shared" si="24"/>
        <v>2</v>
      </c>
      <c r="R21" s="4">
        <v>104</v>
      </c>
      <c r="S21" s="4">
        <v>17</v>
      </c>
      <c r="T21" s="5">
        <f t="shared" si="25"/>
        <v>70</v>
      </c>
      <c r="V21" s="34">
        <v>3</v>
      </c>
      <c r="W21" s="2" t="s">
        <v>64</v>
      </c>
      <c r="X21" s="4">
        <v>30</v>
      </c>
      <c r="Y21" s="4">
        <v>24</v>
      </c>
      <c r="Z21" s="4">
        <v>2</v>
      </c>
      <c r="AA21" s="4">
        <f t="shared" si="26"/>
        <v>4</v>
      </c>
      <c r="AB21" s="4">
        <v>108</v>
      </c>
      <c r="AC21" s="4">
        <v>25</v>
      </c>
      <c r="AD21" s="5">
        <f t="shared" si="27"/>
        <v>74</v>
      </c>
    </row>
    <row r="22" spans="2:30" x14ac:dyDescent="0.25">
      <c r="B22" s="38" t="s">
        <v>31</v>
      </c>
      <c r="C22" s="38"/>
      <c r="D22" s="38"/>
      <c r="E22" s="38"/>
      <c r="F22" s="38"/>
      <c r="G22" s="38"/>
      <c r="H22" s="38"/>
      <c r="I22" s="38"/>
      <c r="J22" s="38"/>
      <c r="L22" s="38" t="s">
        <v>57</v>
      </c>
      <c r="M22" s="38"/>
      <c r="N22" s="38"/>
      <c r="O22" s="38"/>
      <c r="P22" s="38"/>
      <c r="Q22" s="38"/>
      <c r="R22" s="38"/>
      <c r="S22" s="38"/>
      <c r="T22" s="38"/>
      <c r="V22" s="38" t="s">
        <v>106</v>
      </c>
      <c r="W22" s="38"/>
      <c r="X22" s="38"/>
      <c r="Y22" s="38"/>
      <c r="Z22" s="38"/>
      <c r="AA22" s="38"/>
      <c r="AB22" s="38"/>
      <c r="AC22" s="38"/>
      <c r="AD22" s="38"/>
    </row>
    <row r="23" spans="2:30" x14ac:dyDescent="0.25">
      <c r="B23" s="34">
        <v>1</v>
      </c>
      <c r="C23" s="2" t="s">
        <v>4</v>
      </c>
      <c r="D23" s="4">
        <v>30</v>
      </c>
      <c r="E23" s="4">
        <v>20</v>
      </c>
      <c r="F23" s="4">
        <v>3</v>
      </c>
      <c r="G23" s="4">
        <f>D23-E23-F23</f>
        <v>7</v>
      </c>
      <c r="H23" s="4">
        <v>67</v>
      </c>
      <c r="I23" s="4">
        <v>29</v>
      </c>
      <c r="J23" s="5">
        <f>E23*3+F23*1</f>
        <v>63</v>
      </c>
      <c r="L23" s="34">
        <v>1</v>
      </c>
      <c r="M23" s="2" t="s">
        <v>18</v>
      </c>
      <c r="N23" s="4">
        <v>30</v>
      </c>
      <c r="O23" s="4">
        <v>23</v>
      </c>
      <c r="P23" s="4">
        <v>4</v>
      </c>
      <c r="Q23" s="4">
        <f>N23-O23-P23</f>
        <v>3</v>
      </c>
      <c r="R23" s="4">
        <v>144</v>
      </c>
      <c r="S23" s="4">
        <v>23</v>
      </c>
      <c r="T23" s="5">
        <f>O23*3+P23*1</f>
        <v>73</v>
      </c>
      <c r="V23" s="34">
        <v>1</v>
      </c>
      <c r="W23" s="2" t="s">
        <v>70</v>
      </c>
      <c r="X23" s="4">
        <v>30</v>
      </c>
      <c r="Y23" s="4">
        <v>25</v>
      </c>
      <c r="Z23" s="4">
        <v>0</v>
      </c>
      <c r="AA23" s="4">
        <f>X23-Y23-Z23</f>
        <v>5</v>
      </c>
      <c r="AB23" s="4">
        <v>118</v>
      </c>
      <c r="AC23" s="4">
        <v>18</v>
      </c>
      <c r="AD23" s="5">
        <f>Y23*3+Z23*1</f>
        <v>75</v>
      </c>
    </row>
    <row r="24" spans="2:30" x14ac:dyDescent="0.25">
      <c r="B24" s="34">
        <v>2</v>
      </c>
      <c r="C24" s="2" t="s">
        <v>24</v>
      </c>
      <c r="D24" s="4">
        <v>30</v>
      </c>
      <c r="E24" s="4">
        <v>19</v>
      </c>
      <c r="F24" s="4">
        <v>4</v>
      </c>
      <c r="G24" s="4">
        <f>D24-E24-F24</f>
        <v>7</v>
      </c>
      <c r="H24" s="4">
        <v>59</v>
      </c>
      <c r="I24" s="4">
        <v>32</v>
      </c>
      <c r="J24" s="5">
        <f t="shared" ref="J24:J25" si="28">E24*3+F24*1</f>
        <v>61</v>
      </c>
      <c r="L24" s="34">
        <v>2</v>
      </c>
      <c r="M24" s="2" t="s">
        <v>33</v>
      </c>
      <c r="N24" s="4">
        <v>30</v>
      </c>
      <c r="O24" s="4">
        <v>22</v>
      </c>
      <c r="P24" s="4">
        <v>5</v>
      </c>
      <c r="Q24" s="4">
        <f t="shared" ref="Q24:Q25" si="29">N24-O24-P24</f>
        <v>3</v>
      </c>
      <c r="R24" s="4">
        <v>107</v>
      </c>
      <c r="S24" s="4">
        <v>19</v>
      </c>
      <c r="T24" s="5">
        <f t="shared" ref="T24:T25" si="30">O24*3+P24*1</f>
        <v>71</v>
      </c>
      <c r="V24" s="34">
        <v>2</v>
      </c>
      <c r="W24" s="2" t="s">
        <v>43</v>
      </c>
      <c r="X24" s="4">
        <v>30</v>
      </c>
      <c r="Y24" s="4">
        <v>25</v>
      </c>
      <c r="Z24" s="4">
        <v>0</v>
      </c>
      <c r="AA24" s="4">
        <f t="shared" ref="AA24:AA25" si="31">X24-Y24-Z24</f>
        <v>5</v>
      </c>
      <c r="AB24" s="4">
        <v>110</v>
      </c>
      <c r="AC24" s="4">
        <v>20</v>
      </c>
      <c r="AD24" s="5">
        <f t="shared" ref="AD24:AD25" si="32">Y24*3+Z24*1</f>
        <v>75</v>
      </c>
    </row>
    <row r="25" spans="2:30" x14ac:dyDescent="0.25">
      <c r="B25" s="34">
        <v>3</v>
      </c>
      <c r="C25" s="2" t="s">
        <v>32</v>
      </c>
      <c r="D25" s="4">
        <v>30</v>
      </c>
      <c r="E25" s="4">
        <v>17</v>
      </c>
      <c r="F25" s="4">
        <v>8</v>
      </c>
      <c r="G25" s="4">
        <f>D25-E25-F25</f>
        <v>5</v>
      </c>
      <c r="H25" s="4">
        <v>60</v>
      </c>
      <c r="I25" s="4">
        <v>26</v>
      </c>
      <c r="J25" s="5">
        <f t="shared" si="28"/>
        <v>59</v>
      </c>
      <c r="L25" s="34">
        <v>3</v>
      </c>
      <c r="M25" s="2" t="s">
        <v>32</v>
      </c>
      <c r="N25" s="4">
        <v>30</v>
      </c>
      <c r="O25" s="4">
        <v>20</v>
      </c>
      <c r="P25" s="4">
        <v>9</v>
      </c>
      <c r="Q25" s="4">
        <f t="shared" si="29"/>
        <v>1</v>
      </c>
      <c r="R25" s="4">
        <v>121</v>
      </c>
      <c r="S25" s="4">
        <v>19</v>
      </c>
      <c r="T25" s="5">
        <f t="shared" si="30"/>
        <v>69</v>
      </c>
      <c r="V25" s="34">
        <v>3</v>
      </c>
      <c r="W25" s="2" t="s">
        <v>64</v>
      </c>
      <c r="X25" s="4">
        <v>30</v>
      </c>
      <c r="Y25" s="4">
        <v>24</v>
      </c>
      <c r="Z25" s="4">
        <v>2</v>
      </c>
      <c r="AA25" s="4">
        <f t="shared" si="31"/>
        <v>4</v>
      </c>
      <c r="AB25" s="4">
        <v>138</v>
      </c>
      <c r="AC25" s="4">
        <v>21</v>
      </c>
      <c r="AD25" s="5">
        <f t="shared" si="32"/>
        <v>74</v>
      </c>
    </row>
    <row r="26" spans="2:30" x14ac:dyDescent="0.25">
      <c r="B26" s="38" t="s">
        <v>35</v>
      </c>
      <c r="C26" s="38"/>
      <c r="D26" s="38"/>
      <c r="E26" s="38"/>
      <c r="F26" s="38"/>
      <c r="G26" s="38"/>
      <c r="H26" s="38"/>
      <c r="I26" s="38"/>
      <c r="J26" s="38"/>
      <c r="L26" s="38" t="s">
        <v>60</v>
      </c>
      <c r="M26" s="38"/>
      <c r="N26" s="38"/>
      <c r="O26" s="38"/>
      <c r="P26" s="38"/>
      <c r="Q26" s="38"/>
      <c r="R26" s="38"/>
      <c r="S26" s="38"/>
      <c r="T26" s="38"/>
    </row>
    <row r="27" spans="2:30" x14ac:dyDescent="0.25">
      <c r="B27" s="34">
        <v>1</v>
      </c>
      <c r="C27" s="2" t="s">
        <v>4</v>
      </c>
      <c r="D27" s="4">
        <v>30</v>
      </c>
      <c r="E27" s="4">
        <v>21</v>
      </c>
      <c r="F27" s="4">
        <v>5</v>
      </c>
      <c r="G27" s="4">
        <f>D27-E27-F27</f>
        <v>4</v>
      </c>
      <c r="H27" s="4">
        <v>60</v>
      </c>
      <c r="I27" s="4">
        <v>28</v>
      </c>
      <c r="J27" s="5">
        <f>E27*3+F27*1</f>
        <v>68</v>
      </c>
      <c r="L27" s="34">
        <v>1</v>
      </c>
      <c r="M27" s="2" t="s">
        <v>33</v>
      </c>
      <c r="N27" s="4">
        <v>30</v>
      </c>
      <c r="O27" s="4">
        <v>28</v>
      </c>
      <c r="P27" s="4">
        <v>1</v>
      </c>
      <c r="Q27" s="4">
        <f>N27-O27-P27</f>
        <v>1</v>
      </c>
      <c r="R27" s="4">
        <v>121</v>
      </c>
      <c r="S27" s="4">
        <v>13</v>
      </c>
      <c r="T27" s="5">
        <f>O27*3+P27*1</f>
        <v>85</v>
      </c>
      <c r="V27" s="40" t="s">
        <v>114</v>
      </c>
      <c r="W27" s="40"/>
      <c r="X27" s="40"/>
      <c r="Y27" s="40"/>
      <c r="Z27" s="40"/>
      <c r="AA27" s="40"/>
      <c r="AB27" s="40"/>
      <c r="AC27" s="40"/>
      <c r="AD27" s="40"/>
    </row>
    <row r="28" spans="2:30" x14ac:dyDescent="0.25">
      <c r="B28" s="34">
        <v>2</v>
      </c>
      <c r="C28" s="2" t="s">
        <v>0</v>
      </c>
      <c r="D28" s="4">
        <v>30</v>
      </c>
      <c r="E28" s="4">
        <v>17</v>
      </c>
      <c r="F28" s="4">
        <v>9</v>
      </c>
      <c r="G28" s="4">
        <f>D28-E28-F28</f>
        <v>4</v>
      </c>
      <c r="H28" s="4">
        <v>60</v>
      </c>
      <c r="I28" s="4">
        <v>29</v>
      </c>
      <c r="J28" s="5">
        <f t="shared" ref="J28:J29" si="33">E28*3+F28*1</f>
        <v>60</v>
      </c>
      <c r="L28" s="34">
        <v>2</v>
      </c>
      <c r="M28" s="2" t="s">
        <v>18</v>
      </c>
      <c r="N28" s="4">
        <v>30</v>
      </c>
      <c r="O28" s="4">
        <v>25</v>
      </c>
      <c r="P28" s="4">
        <v>3</v>
      </c>
      <c r="Q28" s="4">
        <f t="shared" ref="Q28:Q29" si="34">N28-O28-P28</f>
        <v>2</v>
      </c>
      <c r="R28" s="4">
        <v>128</v>
      </c>
      <c r="S28" s="4">
        <v>20</v>
      </c>
      <c r="T28" s="5">
        <f t="shared" ref="T28:T29" si="35">O28*3+P28*1</f>
        <v>78</v>
      </c>
      <c r="V28" s="35">
        <v>1</v>
      </c>
      <c r="W28" s="2" t="s">
        <v>18</v>
      </c>
      <c r="X28" s="36">
        <v>16</v>
      </c>
      <c r="Y28">
        <v>17</v>
      </c>
      <c r="Z28">
        <v>19</v>
      </c>
      <c r="AA28">
        <v>20</v>
      </c>
      <c r="AB28">
        <v>23</v>
      </c>
      <c r="AC28">
        <v>25</v>
      </c>
    </row>
    <row r="29" spans="2:30" x14ac:dyDescent="0.25">
      <c r="B29" s="34">
        <v>3</v>
      </c>
      <c r="C29" s="2" t="s">
        <v>18</v>
      </c>
      <c r="D29" s="4">
        <v>30</v>
      </c>
      <c r="E29" s="4">
        <v>17</v>
      </c>
      <c r="F29" s="4">
        <v>9</v>
      </c>
      <c r="G29" s="4">
        <f>D29-E29-F29</f>
        <v>4</v>
      </c>
      <c r="H29" s="4">
        <v>62</v>
      </c>
      <c r="I29" s="4">
        <v>35</v>
      </c>
      <c r="J29" s="5">
        <f t="shared" si="33"/>
        <v>60</v>
      </c>
      <c r="L29" s="34">
        <v>3</v>
      </c>
      <c r="M29" s="2" t="s">
        <v>32</v>
      </c>
      <c r="N29" s="4">
        <v>30</v>
      </c>
      <c r="O29" s="4">
        <v>23</v>
      </c>
      <c r="P29" s="4">
        <v>2</v>
      </c>
      <c r="Q29" s="4">
        <f t="shared" si="34"/>
        <v>5</v>
      </c>
      <c r="R29" s="4">
        <v>105</v>
      </c>
      <c r="S29" s="4">
        <v>23</v>
      </c>
      <c r="T29" s="5">
        <f t="shared" si="35"/>
        <v>71</v>
      </c>
      <c r="V29" s="35">
        <v>2</v>
      </c>
      <c r="W29" s="2" t="s">
        <v>4</v>
      </c>
      <c r="X29" s="36">
        <v>7</v>
      </c>
      <c r="Y29">
        <v>8</v>
      </c>
      <c r="Z29">
        <v>9</v>
      </c>
    </row>
    <row r="30" spans="2:30" x14ac:dyDescent="0.25">
      <c r="B30" s="38" t="s">
        <v>37</v>
      </c>
      <c r="C30" s="38"/>
      <c r="D30" s="38"/>
      <c r="E30" s="38"/>
      <c r="F30" s="38"/>
      <c r="G30" s="38"/>
      <c r="H30" s="38"/>
      <c r="I30" s="38"/>
      <c r="J30" s="38"/>
      <c r="L30" s="38" t="s">
        <v>63</v>
      </c>
      <c r="M30" s="38"/>
      <c r="N30" s="38"/>
      <c r="O30" s="38"/>
      <c r="P30" s="38"/>
      <c r="Q30" s="38"/>
      <c r="R30" s="38"/>
      <c r="S30" s="38"/>
      <c r="T30" s="38"/>
      <c r="V30" s="35">
        <v>3</v>
      </c>
      <c r="W30" s="2" t="s">
        <v>0</v>
      </c>
      <c r="X30" s="36">
        <v>3</v>
      </c>
      <c r="Y30" s="36">
        <v>4</v>
      </c>
    </row>
    <row r="31" spans="2:30" x14ac:dyDescent="0.25">
      <c r="B31" s="34">
        <v>1</v>
      </c>
      <c r="C31" s="2" t="s">
        <v>6</v>
      </c>
      <c r="D31" s="4">
        <v>30</v>
      </c>
      <c r="E31" s="4">
        <v>19</v>
      </c>
      <c r="F31" s="4">
        <v>2</v>
      </c>
      <c r="G31" s="4">
        <f>D31-E31-F31</f>
        <v>9</v>
      </c>
      <c r="H31" s="4">
        <v>58</v>
      </c>
      <c r="I31" s="4">
        <v>43</v>
      </c>
      <c r="J31" s="5">
        <f>E31*3+F31*1</f>
        <v>59</v>
      </c>
      <c r="L31" s="34">
        <v>1</v>
      </c>
      <c r="M31" s="2" t="s">
        <v>18</v>
      </c>
      <c r="N31" s="4">
        <v>30</v>
      </c>
      <c r="O31" s="4">
        <v>26</v>
      </c>
      <c r="P31" s="4">
        <v>2</v>
      </c>
      <c r="Q31" s="4">
        <f>N31-O31-P31</f>
        <v>2</v>
      </c>
      <c r="R31" s="4">
        <v>136</v>
      </c>
      <c r="S31" s="4">
        <v>14</v>
      </c>
      <c r="T31" s="5">
        <f>O31*3+P31*1</f>
        <v>80</v>
      </c>
      <c r="V31" s="35">
        <v>4</v>
      </c>
      <c r="W31" s="2" t="s">
        <v>43</v>
      </c>
      <c r="X31" s="36">
        <v>12</v>
      </c>
      <c r="Y31">
        <v>15</v>
      </c>
    </row>
    <row r="32" spans="2:30" x14ac:dyDescent="0.25">
      <c r="B32" s="34">
        <v>2</v>
      </c>
      <c r="C32" s="2" t="s">
        <v>0</v>
      </c>
      <c r="D32" s="4">
        <v>30</v>
      </c>
      <c r="E32" s="4">
        <v>18</v>
      </c>
      <c r="F32" s="4">
        <v>4</v>
      </c>
      <c r="G32" s="4">
        <f>D32-E32-F32</f>
        <v>8</v>
      </c>
      <c r="H32" s="4">
        <v>57</v>
      </c>
      <c r="I32" s="4">
        <v>34</v>
      </c>
      <c r="J32" s="5">
        <f t="shared" ref="J32:J33" si="36">E32*3+F32*1</f>
        <v>58</v>
      </c>
      <c r="L32" s="34">
        <v>2</v>
      </c>
      <c r="M32" s="2" t="s">
        <v>32</v>
      </c>
      <c r="N32" s="4">
        <v>30</v>
      </c>
      <c r="O32" s="4">
        <v>26</v>
      </c>
      <c r="P32" s="4">
        <v>2</v>
      </c>
      <c r="Q32" s="4">
        <f t="shared" ref="Q32:Q33" si="37">N32-O32-P32</f>
        <v>2</v>
      </c>
      <c r="R32" s="4">
        <v>137</v>
      </c>
      <c r="S32" s="4">
        <v>16</v>
      </c>
      <c r="T32" s="5">
        <f t="shared" ref="T32:T33" si="38">O32*3+P32*1</f>
        <v>80</v>
      </c>
      <c r="V32" s="35">
        <v>5</v>
      </c>
      <c r="W32" s="2" t="s">
        <v>24</v>
      </c>
      <c r="X32" s="36">
        <v>13</v>
      </c>
      <c r="Y32">
        <v>14</v>
      </c>
    </row>
    <row r="33" spans="2:25" x14ac:dyDescent="0.25">
      <c r="B33" s="34">
        <v>3</v>
      </c>
      <c r="C33" s="2" t="s">
        <v>23</v>
      </c>
      <c r="D33" s="4">
        <v>30</v>
      </c>
      <c r="E33" s="4">
        <v>17</v>
      </c>
      <c r="F33" s="4">
        <v>7</v>
      </c>
      <c r="G33" s="4">
        <f>D33-E33-F33</f>
        <v>6</v>
      </c>
      <c r="H33" s="4">
        <v>49</v>
      </c>
      <c r="I33" s="4">
        <v>30</v>
      </c>
      <c r="J33" s="5">
        <f t="shared" si="36"/>
        <v>58</v>
      </c>
      <c r="L33" s="34">
        <v>3</v>
      </c>
      <c r="M33" s="2" t="s">
        <v>33</v>
      </c>
      <c r="N33" s="4">
        <v>30</v>
      </c>
      <c r="O33" s="4">
        <v>23</v>
      </c>
      <c r="P33" s="4">
        <v>3</v>
      </c>
      <c r="Q33" s="4">
        <f t="shared" si="37"/>
        <v>4</v>
      </c>
      <c r="R33" s="4">
        <v>136</v>
      </c>
      <c r="S33" s="4">
        <v>23</v>
      </c>
      <c r="T33" s="5">
        <f t="shared" si="38"/>
        <v>72</v>
      </c>
      <c r="V33" s="35">
        <v>6</v>
      </c>
      <c r="W33" s="2" t="s">
        <v>32</v>
      </c>
      <c r="X33" s="36">
        <v>21</v>
      </c>
      <c r="Y33">
        <v>22</v>
      </c>
    </row>
    <row r="34" spans="2:25" x14ac:dyDescent="0.25">
      <c r="B34" s="38" t="s">
        <v>40</v>
      </c>
      <c r="C34" s="38"/>
      <c r="D34" s="38"/>
      <c r="E34" s="38"/>
      <c r="F34" s="38"/>
      <c r="G34" s="38"/>
      <c r="H34" s="38"/>
      <c r="I34" s="38"/>
      <c r="J34" s="38"/>
      <c r="L34" s="38" t="s">
        <v>66</v>
      </c>
      <c r="M34" s="38"/>
      <c r="N34" s="38"/>
      <c r="O34" s="38"/>
      <c r="P34" s="38"/>
      <c r="Q34" s="38"/>
      <c r="R34" s="38"/>
      <c r="S34" s="38"/>
      <c r="T34" s="38"/>
      <c r="V34" s="35">
        <v>7</v>
      </c>
      <c r="W34" s="2" t="s">
        <v>1</v>
      </c>
      <c r="X34" s="36">
        <v>5</v>
      </c>
    </row>
    <row r="35" spans="2:25" x14ac:dyDescent="0.25">
      <c r="B35" s="34">
        <v>1</v>
      </c>
      <c r="C35" s="2" t="s">
        <v>23</v>
      </c>
      <c r="D35" s="4">
        <v>30</v>
      </c>
      <c r="E35" s="4">
        <v>21</v>
      </c>
      <c r="F35" s="4">
        <v>3</v>
      </c>
      <c r="G35" s="4">
        <f>D35-E35-F35</f>
        <v>6</v>
      </c>
      <c r="H35" s="4">
        <v>86</v>
      </c>
      <c r="I35" s="4">
        <v>34</v>
      </c>
      <c r="J35" s="5">
        <f>E35*3+F35*1</f>
        <v>66</v>
      </c>
      <c r="L35" s="34">
        <v>1</v>
      </c>
      <c r="M35" s="2" t="s">
        <v>18</v>
      </c>
      <c r="N35" s="4">
        <v>30</v>
      </c>
      <c r="O35" s="4">
        <v>27</v>
      </c>
      <c r="P35" s="4">
        <v>2</v>
      </c>
      <c r="Q35" s="4">
        <f>N35-O35-P35</f>
        <v>1</v>
      </c>
      <c r="R35" s="4">
        <v>101</v>
      </c>
      <c r="S35" s="4">
        <v>17</v>
      </c>
      <c r="T35" s="5">
        <f>O35*3+P35*1</f>
        <v>83</v>
      </c>
      <c r="V35" s="35">
        <v>8</v>
      </c>
      <c r="W35" s="2" t="s">
        <v>3</v>
      </c>
      <c r="X35" s="36">
        <v>6</v>
      </c>
    </row>
    <row r="36" spans="2:25" x14ac:dyDescent="0.25">
      <c r="B36" s="34">
        <v>2</v>
      </c>
      <c r="C36" s="2" t="s">
        <v>24</v>
      </c>
      <c r="D36" s="4">
        <v>30</v>
      </c>
      <c r="E36" s="4">
        <v>19</v>
      </c>
      <c r="F36" s="4">
        <v>5</v>
      </c>
      <c r="G36" s="4">
        <f>D36-E36-F36</f>
        <v>6</v>
      </c>
      <c r="H36" s="4">
        <v>70</v>
      </c>
      <c r="I36" s="4">
        <v>33</v>
      </c>
      <c r="J36" s="5">
        <f t="shared" ref="J36:J37" si="39">E36*3+F36*1</f>
        <v>62</v>
      </c>
      <c r="L36" s="34">
        <v>2</v>
      </c>
      <c r="M36" s="2" t="s">
        <v>32</v>
      </c>
      <c r="N36" s="4">
        <v>30</v>
      </c>
      <c r="O36" s="4">
        <v>27</v>
      </c>
      <c r="P36" s="4">
        <v>1</v>
      </c>
      <c r="Q36" s="4">
        <f t="shared" ref="Q36:Q37" si="40">N36-O36-P36</f>
        <v>2</v>
      </c>
      <c r="R36" s="4">
        <v>122</v>
      </c>
      <c r="S36" s="4">
        <v>13</v>
      </c>
      <c r="T36" s="5">
        <f t="shared" ref="T36:T37" si="41">O36*3+P36*1</f>
        <v>82</v>
      </c>
      <c r="V36" s="35">
        <v>9</v>
      </c>
      <c r="W36" s="2" t="s">
        <v>6</v>
      </c>
      <c r="X36" s="36">
        <v>10</v>
      </c>
    </row>
    <row r="37" spans="2:25" x14ac:dyDescent="0.25">
      <c r="B37" s="34">
        <v>3</v>
      </c>
      <c r="C37" s="2" t="s">
        <v>18</v>
      </c>
      <c r="D37" s="4">
        <v>30</v>
      </c>
      <c r="E37" s="4">
        <v>16</v>
      </c>
      <c r="F37" s="4">
        <v>6</v>
      </c>
      <c r="G37" s="4">
        <f>D37-E37-F37</f>
        <v>8</v>
      </c>
      <c r="H37" s="4">
        <v>89</v>
      </c>
      <c r="I37" s="4">
        <v>53</v>
      </c>
      <c r="J37" s="5">
        <f t="shared" si="39"/>
        <v>54</v>
      </c>
      <c r="L37" s="34">
        <v>3</v>
      </c>
      <c r="M37" s="2" t="s">
        <v>33</v>
      </c>
      <c r="N37" s="4">
        <v>30</v>
      </c>
      <c r="O37" s="4">
        <v>26</v>
      </c>
      <c r="P37" s="4">
        <v>3</v>
      </c>
      <c r="Q37" s="4">
        <f t="shared" si="40"/>
        <v>1</v>
      </c>
      <c r="R37" s="4">
        <v>106</v>
      </c>
      <c r="S37" s="4">
        <v>11</v>
      </c>
      <c r="T37" s="5">
        <f t="shared" si="41"/>
        <v>81</v>
      </c>
      <c r="V37" s="35">
        <v>10</v>
      </c>
      <c r="W37" s="2" t="s">
        <v>23</v>
      </c>
      <c r="X37" s="36">
        <v>11</v>
      </c>
    </row>
    <row r="38" spans="2:25" x14ac:dyDescent="0.25">
      <c r="V38" s="35">
        <v>11</v>
      </c>
      <c r="W38" s="2" t="s">
        <v>33</v>
      </c>
      <c r="X38" s="36">
        <v>18</v>
      </c>
    </row>
    <row r="39" spans="2:25" x14ac:dyDescent="0.25">
      <c r="V39" s="35">
        <v>12</v>
      </c>
      <c r="W39" s="2" t="s">
        <v>64</v>
      </c>
      <c r="X39" s="36">
        <v>24</v>
      </c>
    </row>
    <row r="40" spans="2:25" x14ac:dyDescent="0.25">
      <c r="V40" s="35">
        <v>13</v>
      </c>
      <c r="W40" s="2" t="s">
        <v>70</v>
      </c>
      <c r="X40" s="36">
        <v>26</v>
      </c>
    </row>
  </sheetData>
  <mergeCells count="25">
    <mergeCell ref="B34:J34"/>
    <mergeCell ref="V27:AD27"/>
    <mergeCell ref="B10:J10"/>
    <mergeCell ref="B14:J14"/>
    <mergeCell ref="B18:J18"/>
    <mergeCell ref="B22:J22"/>
    <mergeCell ref="B26:J26"/>
    <mergeCell ref="B30:J30"/>
    <mergeCell ref="L30:T30"/>
    <mergeCell ref="L34:T34"/>
    <mergeCell ref="V22:AD22"/>
    <mergeCell ref="L22:T22"/>
    <mergeCell ref="L26:T26"/>
    <mergeCell ref="L14:T14"/>
    <mergeCell ref="L18:T18"/>
    <mergeCell ref="V2:AD2"/>
    <mergeCell ref="V6:AD6"/>
    <mergeCell ref="V10:AD10"/>
    <mergeCell ref="V14:AD14"/>
    <mergeCell ref="V18:AD18"/>
    <mergeCell ref="B2:J2"/>
    <mergeCell ref="B6:J6"/>
    <mergeCell ref="L2:T2"/>
    <mergeCell ref="L6:T6"/>
    <mergeCell ref="L10:T10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4"/>
  <sheetViews>
    <sheetView topLeftCell="A16" workbookViewId="0">
      <selection activeCell="I24" sqref="I24"/>
    </sheetView>
  </sheetViews>
  <sheetFormatPr defaultRowHeight="15" x14ac:dyDescent="0.25"/>
  <cols>
    <col min="2" max="8" width="9.140625" style="45"/>
    <col min="9" max="9" width="11.5703125" style="45" bestFit="1" customWidth="1"/>
    <col min="10" max="16" width="9.140625" style="45"/>
  </cols>
  <sheetData>
    <row r="3" spans="2:11" ht="30" x14ac:dyDescent="0.25">
      <c r="B3" s="42" t="s">
        <v>136</v>
      </c>
      <c r="C3" s="42" t="s">
        <v>137</v>
      </c>
      <c r="D3" s="43">
        <v>3</v>
      </c>
      <c r="E3" s="42">
        <v>30</v>
      </c>
      <c r="F3" s="42">
        <v>17</v>
      </c>
      <c r="G3" s="42">
        <v>8</v>
      </c>
      <c r="H3" s="42">
        <v>5</v>
      </c>
      <c r="I3" s="47">
        <v>60</v>
      </c>
      <c r="J3" s="44">
        <v>2.5180555555555553</v>
      </c>
      <c r="K3" s="42">
        <v>59</v>
      </c>
    </row>
    <row r="4" spans="2:11" ht="30" x14ac:dyDescent="0.25">
      <c r="B4" s="42" t="s">
        <v>138</v>
      </c>
      <c r="C4" s="42" t="s">
        <v>137</v>
      </c>
      <c r="D4" s="43">
        <v>6</v>
      </c>
      <c r="E4" s="42">
        <v>30</v>
      </c>
      <c r="F4" s="42">
        <v>16</v>
      </c>
      <c r="G4" s="42">
        <v>0</v>
      </c>
      <c r="H4" s="42">
        <v>14</v>
      </c>
      <c r="I4" s="47">
        <v>47</v>
      </c>
      <c r="J4" s="44">
        <v>1.9868055555555555</v>
      </c>
      <c r="K4" s="42">
        <v>48</v>
      </c>
    </row>
    <row r="5" spans="2:11" ht="30" x14ac:dyDescent="0.25">
      <c r="B5" s="42" t="s">
        <v>139</v>
      </c>
      <c r="C5" s="42" t="s">
        <v>137</v>
      </c>
      <c r="D5" s="43">
        <v>9</v>
      </c>
      <c r="E5" s="42">
        <v>30</v>
      </c>
      <c r="F5" s="42">
        <v>10</v>
      </c>
      <c r="G5" s="42">
        <v>10</v>
      </c>
      <c r="H5" s="42">
        <v>10</v>
      </c>
      <c r="I5" s="47">
        <v>43</v>
      </c>
      <c r="J5" s="44">
        <v>1.8145833333333332</v>
      </c>
      <c r="K5" s="42">
        <v>40</v>
      </c>
    </row>
    <row r="6" spans="2:11" ht="30" x14ac:dyDescent="0.25">
      <c r="B6" s="42" t="s">
        <v>140</v>
      </c>
      <c r="C6" s="42" t="s">
        <v>137</v>
      </c>
      <c r="D6" s="43">
        <v>4</v>
      </c>
      <c r="E6" s="42">
        <v>30</v>
      </c>
      <c r="F6" s="42">
        <v>13</v>
      </c>
      <c r="G6" s="42">
        <v>8</v>
      </c>
      <c r="H6" s="42">
        <v>9</v>
      </c>
      <c r="I6" s="47">
        <v>63</v>
      </c>
      <c r="J6" s="44">
        <v>2.6541666666666668</v>
      </c>
      <c r="K6" s="42">
        <v>47</v>
      </c>
    </row>
    <row r="7" spans="2:11" ht="30" x14ac:dyDescent="0.25">
      <c r="B7" s="42" t="s">
        <v>141</v>
      </c>
      <c r="C7" s="42" t="s">
        <v>137</v>
      </c>
      <c r="D7" s="43">
        <v>9</v>
      </c>
      <c r="E7" s="42">
        <v>30</v>
      </c>
      <c r="F7" s="42">
        <v>11</v>
      </c>
      <c r="G7" s="42">
        <v>7</v>
      </c>
      <c r="H7" s="42">
        <v>12</v>
      </c>
      <c r="I7" s="47">
        <v>50</v>
      </c>
      <c r="J7" s="44">
        <v>2.1125000000000003</v>
      </c>
      <c r="K7" s="42">
        <v>40</v>
      </c>
    </row>
    <row r="8" spans="2:11" ht="30" x14ac:dyDescent="0.25">
      <c r="B8" s="42" t="s">
        <v>142</v>
      </c>
      <c r="C8" s="42" t="s">
        <v>137</v>
      </c>
      <c r="D8" s="43">
        <v>4</v>
      </c>
      <c r="E8" s="42">
        <v>30</v>
      </c>
      <c r="F8" s="42">
        <v>19</v>
      </c>
      <c r="G8" s="42">
        <v>6</v>
      </c>
      <c r="H8" s="42">
        <v>5</v>
      </c>
      <c r="I8" s="47">
        <v>83</v>
      </c>
      <c r="J8" s="44">
        <v>3.473611111111111</v>
      </c>
      <c r="K8" s="42">
        <v>63</v>
      </c>
    </row>
    <row r="9" spans="2:11" ht="30" x14ac:dyDescent="0.25">
      <c r="B9" s="42" t="s">
        <v>143</v>
      </c>
      <c r="C9" s="42" t="s">
        <v>137</v>
      </c>
      <c r="D9" s="43">
        <v>5</v>
      </c>
      <c r="E9" s="42">
        <v>30</v>
      </c>
      <c r="F9" s="42">
        <v>20</v>
      </c>
      <c r="G9" s="42">
        <v>4</v>
      </c>
      <c r="H9" s="42">
        <v>6</v>
      </c>
      <c r="I9" s="47">
        <v>92</v>
      </c>
      <c r="J9" s="44">
        <v>3.848611111111111</v>
      </c>
      <c r="K9" s="42">
        <v>64</v>
      </c>
    </row>
    <row r="10" spans="2:11" ht="30" x14ac:dyDescent="0.25">
      <c r="B10" s="42" t="s">
        <v>144</v>
      </c>
      <c r="C10" s="42" t="s">
        <v>137</v>
      </c>
      <c r="D10" s="43">
        <v>5</v>
      </c>
      <c r="E10" s="42">
        <v>30</v>
      </c>
      <c r="F10" s="42">
        <v>20</v>
      </c>
      <c r="G10" s="42">
        <v>3</v>
      </c>
      <c r="H10" s="42">
        <v>7</v>
      </c>
      <c r="I10" s="47">
        <v>72</v>
      </c>
      <c r="J10" s="44">
        <v>3.0152777777777775</v>
      </c>
      <c r="K10" s="42">
        <v>63</v>
      </c>
    </row>
    <row r="11" spans="2:11" ht="30" x14ac:dyDescent="0.25">
      <c r="B11" s="42" t="s">
        <v>145</v>
      </c>
      <c r="C11" s="42" t="s">
        <v>137</v>
      </c>
      <c r="D11" s="43">
        <v>3</v>
      </c>
      <c r="E11" s="42">
        <v>30</v>
      </c>
      <c r="F11" s="42">
        <v>21</v>
      </c>
      <c r="G11" s="42">
        <v>7</v>
      </c>
      <c r="H11" s="42">
        <v>2</v>
      </c>
      <c r="I11" s="47">
        <v>104</v>
      </c>
      <c r="J11" s="44">
        <v>4.3451388888888891</v>
      </c>
      <c r="K11" s="42">
        <v>70</v>
      </c>
    </row>
    <row r="12" spans="2:11" ht="30" x14ac:dyDescent="0.25">
      <c r="B12" s="42" t="s">
        <v>146</v>
      </c>
      <c r="C12" s="42" t="s">
        <v>137</v>
      </c>
      <c r="D12" s="43">
        <v>3</v>
      </c>
      <c r="E12" s="42">
        <v>30</v>
      </c>
      <c r="F12" s="42">
        <v>20</v>
      </c>
      <c r="G12" s="42">
        <v>9</v>
      </c>
      <c r="H12" s="42">
        <v>1</v>
      </c>
      <c r="I12" s="47">
        <v>121</v>
      </c>
      <c r="J12" s="44">
        <v>5.0548611111111112</v>
      </c>
      <c r="K12" s="42">
        <v>69</v>
      </c>
    </row>
    <row r="13" spans="2:11" ht="30" x14ac:dyDescent="0.25">
      <c r="B13" s="42" t="s">
        <v>147</v>
      </c>
      <c r="C13" s="42" t="s">
        <v>137</v>
      </c>
      <c r="D13" s="43">
        <v>3</v>
      </c>
      <c r="E13" s="42">
        <v>30</v>
      </c>
      <c r="F13" s="42">
        <v>23</v>
      </c>
      <c r="G13" s="42">
        <v>2</v>
      </c>
      <c r="H13" s="42">
        <v>5</v>
      </c>
      <c r="I13" s="47">
        <v>105</v>
      </c>
      <c r="J13" s="44">
        <v>4.3909722222222225</v>
      </c>
      <c r="K13" s="42">
        <v>71</v>
      </c>
    </row>
    <row r="14" spans="2:11" ht="30" x14ac:dyDescent="0.25">
      <c r="B14" s="42" t="s">
        <v>148</v>
      </c>
      <c r="C14" s="42" t="s">
        <v>137</v>
      </c>
      <c r="D14" s="43">
        <v>2</v>
      </c>
      <c r="E14" s="42">
        <v>30</v>
      </c>
      <c r="F14" s="42">
        <v>26</v>
      </c>
      <c r="G14" s="42">
        <v>2</v>
      </c>
      <c r="H14" s="42">
        <v>2</v>
      </c>
      <c r="I14" s="47">
        <v>137</v>
      </c>
      <c r="J14" s="44">
        <v>5.719444444444445</v>
      </c>
      <c r="K14" s="42">
        <v>80</v>
      </c>
    </row>
    <row r="15" spans="2:11" ht="30" x14ac:dyDescent="0.25">
      <c r="B15" s="42" t="s">
        <v>149</v>
      </c>
      <c r="C15" s="42" t="s">
        <v>137</v>
      </c>
      <c r="D15" s="43">
        <v>2</v>
      </c>
      <c r="E15" s="42">
        <v>30</v>
      </c>
      <c r="F15" s="42">
        <v>27</v>
      </c>
      <c r="G15" s="42">
        <v>1</v>
      </c>
      <c r="H15" s="42">
        <v>2</v>
      </c>
      <c r="I15" s="47">
        <v>122</v>
      </c>
      <c r="J15" s="44">
        <v>5.0923611111111109</v>
      </c>
      <c r="K15" s="42">
        <v>82</v>
      </c>
    </row>
    <row r="16" spans="2:11" ht="30" x14ac:dyDescent="0.25">
      <c r="B16" s="42" t="s">
        <v>150</v>
      </c>
      <c r="C16" s="42" t="s">
        <v>137</v>
      </c>
      <c r="D16" s="43">
        <v>1</v>
      </c>
      <c r="E16" s="42">
        <v>30</v>
      </c>
      <c r="F16" s="42">
        <v>26</v>
      </c>
      <c r="G16" s="42">
        <v>2</v>
      </c>
      <c r="H16" s="42">
        <v>2</v>
      </c>
      <c r="I16" s="47">
        <v>121</v>
      </c>
      <c r="J16" s="44">
        <v>5.05</v>
      </c>
      <c r="K16" s="42">
        <v>80</v>
      </c>
    </row>
    <row r="17" spans="2:11" ht="30" x14ac:dyDescent="0.25">
      <c r="B17" s="42" t="s">
        <v>151</v>
      </c>
      <c r="C17" s="42" t="s">
        <v>137</v>
      </c>
      <c r="D17" s="43">
        <v>1</v>
      </c>
      <c r="E17" s="42">
        <v>30</v>
      </c>
      <c r="F17" s="42">
        <v>27</v>
      </c>
      <c r="G17" s="42">
        <v>2</v>
      </c>
      <c r="H17" s="42">
        <v>1</v>
      </c>
      <c r="I17" s="47">
        <v>112</v>
      </c>
      <c r="J17" s="44">
        <v>4.677083333333333</v>
      </c>
      <c r="K17" s="42">
        <v>83</v>
      </c>
    </row>
    <row r="18" spans="2:11" ht="30" x14ac:dyDescent="0.25">
      <c r="B18" s="42" t="s">
        <v>152</v>
      </c>
      <c r="C18" s="42" t="s">
        <v>137</v>
      </c>
      <c r="D18" s="43">
        <v>2</v>
      </c>
      <c r="E18" s="42">
        <v>30</v>
      </c>
      <c r="F18" s="42">
        <v>27</v>
      </c>
      <c r="G18" s="42">
        <v>0</v>
      </c>
      <c r="H18" s="42">
        <v>3</v>
      </c>
      <c r="I18" s="47">
        <v>119</v>
      </c>
      <c r="J18" s="44">
        <v>4.9715277777777773</v>
      </c>
      <c r="K18" s="42">
        <v>81</v>
      </c>
    </row>
    <row r="19" spans="2:11" ht="30" x14ac:dyDescent="0.25">
      <c r="B19" s="42" t="s">
        <v>153</v>
      </c>
      <c r="C19" s="42" t="s">
        <v>137</v>
      </c>
      <c r="D19" s="43">
        <v>3</v>
      </c>
      <c r="E19" s="42">
        <v>30</v>
      </c>
      <c r="F19" s="42">
        <v>25</v>
      </c>
      <c r="G19" s="42">
        <v>2</v>
      </c>
      <c r="H19" s="42">
        <v>3</v>
      </c>
      <c r="I19" s="47">
        <v>81</v>
      </c>
      <c r="J19" s="44">
        <v>3.3902777777777775</v>
      </c>
      <c r="K19" s="42">
        <v>77</v>
      </c>
    </row>
    <row r="20" spans="2:11" ht="30" x14ac:dyDescent="0.25">
      <c r="B20" s="42" t="s">
        <v>154</v>
      </c>
      <c r="C20" s="42" t="s">
        <v>137</v>
      </c>
      <c r="D20" s="43">
        <v>2</v>
      </c>
      <c r="E20" s="42">
        <v>30</v>
      </c>
      <c r="F20" s="42">
        <v>25</v>
      </c>
      <c r="G20" s="42">
        <v>1</v>
      </c>
      <c r="H20" s="42">
        <v>4</v>
      </c>
      <c r="I20" s="47">
        <v>109</v>
      </c>
      <c r="J20" s="44">
        <v>4.5638888888888891</v>
      </c>
      <c r="K20" s="42">
        <v>76</v>
      </c>
    </row>
    <row r="21" spans="2:11" ht="30" x14ac:dyDescent="0.25">
      <c r="B21" s="42" t="s">
        <v>155</v>
      </c>
      <c r="C21" s="42" t="s">
        <v>137</v>
      </c>
      <c r="D21" s="43">
        <v>5</v>
      </c>
      <c r="E21" s="42">
        <v>30</v>
      </c>
      <c r="F21" s="42">
        <v>19</v>
      </c>
      <c r="G21" s="42">
        <v>3</v>
      </c>
      <c r="H21" s="42">
        <v>8</v>
      </c>
      <c r="I21" s="47">
        <v>76</v>
      </c>
      <c r="J21" s="44">
        <v>3.1944444444444446</v>
      </c>
      <c r="K21" s="42">
        <v>60</v>
      </c>
    </row>
    <row r="22" spans="2:11" ht="30" x14ac:dyDescent="0.25">
      <c r="B22" s="42" t="s">
        <v>156</v>
      </c>
      <c r="C22" s="42" t="s">
        <v>137</v>
      </c>
      <c r="D22" s="43">
        <v>8</v>
      </c>
      <c r="E22" s="42">
        <v>30</v>
      </c>
      <c r="F22" s="42">
        <v>16</v>
      </c>
      <c r="G22" s="42">
        <v>2</v>
      </c>
      <c r="H22" s="42">
        <v>12</v>
      </c>
      <c r="I22" s="47">
        <v>73</v>
      </c>
      <c r="J22" s="44">
        <v>3.0770833333333329</v>
      </c>
      <c r="K22" s="42">
        <v>50</v>
      </c>
    </row>
    <row r="23" spans="2:11" ht="30" x14ac:dyDescent="0.25">
      <c r="B23" s="42" t="s">
        <v>157</v>
      </c>
      <c r="C23" s="42" t="s">
        <v>137</v>
      </c>
      <c r="D23" s="43">
        <v>8</v>
      </c>
      <c r="E23" s="42">
        <v>30</v>
      </c>
      <c r="F23" s="42">
        <v>15</v>
      </c>
      <c r="G23" s="42">
        <v>5</v>
      </c>
      <c r="H23" s="42">
        <v>10</v>
      </c>
      <c r="I23" s="47">
        <v>60</v>
      </c>
      <c r="J23" s="44">
        <v>2.5402777777777779</v>
      </c>
      <c r="K23" s="42">
        <v>50</v>
      </c>
    </row>
    <row r="24" spans="2:11" x14ac:dyDescent="0.25">
      <c r="I24" s="46">
        <f>SUM(I3:I23)</f>
        <v>1850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List1</vt:lpstr>
      <vt:lpstr>28</vt:lpstr>
      <vt:lpstr>26</vt:lpstr>
      <vt:lpstr>List3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</dc:creator>
  <cp:lastModifiedBy>Petr Votava</cp:lastModifiedBy>
  <dcterms:created xsi:type="dcterms:W3CDTF">2011-06-15T10:16:55Z</dcterms:created>
  <dcterms:modified xsi:type="dcterms:W3CDTF">2013-01-29T10:40:34Z</dcterms:modified>
</cp:coreProperties>
</file>