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data\brejk\clanky\clanek06\"/>
    </mc:Choice>
  </mc:AlternateContent>
  <bookViews>
    <workbookView xWindow="360" yWindow="15" windowWidth="20895" windowHeight="10170" activeTab="1"/>
  </bookViews>
  <sheets>
    <sheet name="tabulky sezon" sheetId="1" r:id="rId1"/>
    <sheet name="31" sheetId="4" r:id="rId2"/>
    <sheet name="mistři" sheetId="5" r:id="rId3"/>
    <sheet name="medaile" sheetId="6" r:id="rId4"/>
  </sheets>
  <definedNames>
    <definedName name="_xlnm._FilterDatabase" localSheetId="1" hidden="1">'31'!#REF!</definedName>
  </definedNames>
  <calcPr calcId="152511"/>
</workbook>
</file>

<file path=xl/calcChain.xml><?xml version="1.0" encoding="utf-8"?>
<calcChain xmlns="http://schemas.openxmlformats.org/spreadsheetml/2006/main">
  <c r="O86" i="4" l="1"/>
  <c r="J86" i="4"/>
  <c r="I86" i="4"/>
  <c r="H86" i="4"/>
  <c r="G86" i="4"/>
  <c r="F86" i="4"/>
  <c r="E86" i="4"/>
  <c r="D86" i="4"/>
  <c r="J85" i="4"/>
  <c r="I85" i="4"/>
  <c r="H85" i="4"/>
  <c r="G85" i="4"/>
  <c r="F85" i="4"/>
  <c r="E85" i="4"/>
  <c r="J84" i="4"/>
  <c r="I84" i="4"/>
  <c r="H84" i="4"/>
  <c r="G84" i="4"/>
  <c r="F84" i="4"/>
  <c r="E84" i="4"/>
  <c r="J83" i="4"/>
  <c r="I83" i="4"/>
  <c r="H83" i="4"/>
  <c r="G83" i="4"/>
  <c r="F83" i="4"/>
  <c r="E83" i="4"/>
  <c r="J82" i="4"/>
  <c r="I82" i="4"/>
  <c r="H82" i="4"/>
  <c r="G82" i="4"/>
  <c r="F82" i="4"/>
  <c r="E82" i="4"/>
  <c r="J81" i="4"/>
  <c r="I81" i="4"/>
  <c r="H81" i="4"/>
  <c r="G81" i="4"/>
  <c r="F81" i="4"/>
  <c r="E81" i="4"/>
  <c r="J80" i="4"/>
  <c r="I80" i="4"/>
  <c r="H80" i="4"/>
  <c r="G80" i="4"/>
  <c r="F80" i="4"/>
  <c r="E80" i="4"/>
  <c r="J79" i="4"/>
  <c r="I79" i="4"/>
  <c r="H79" i="4"/>
  <c r="G79" i="4"/>
  <c r="F79" i="4"/>
  <c r="E79" i="4"/>
  <c r="J78" i="4"/>
  <c r="I78" i="4"/>
  <c r="H78" i="4"/>
  <c r="G78" i="4"/>
  <c r="F78" i="4"/>
  <c r="E78" i="4"/>
  <c r="J77" i="4"/>
  <c r="I77" i="4"/>
  <c r="H77" i="4"/>
  <c r="G77" i="4"/>
  <c r="F77" i="4"/>
  <c r="E77" i="4"/>
  <c r="J76" i="4"/>
  <c r="I76" i="4"/>
  <c r="H76" i="4"/>
  <c r="G76" i="4"/>
  <c r="F76" i="4"/>
  <c r="E76" i="4"/>
  <c r="J75" i="4"/>
  <c r="I75" i="4"/>
  <c r="H75" i="4"/>
  <c r="G75" i="4"/>
  <c r="F75" i="4"/>
  <c r="E75" i="4"/>
  <c r="J74" i="4"/>
  <c r="I74" i="4"/>
  <c r="H74" i="4"/>
  <c r="G74" i="4"/>
  <c r="F74" i="4"/>
  <c r="E74" i="4"/>
  <c r="J73" i="4"/>
  <c r="I73" i="4"/>
  <c r="H73" i="4"/>
  <c r="G73" i="4"/>
  <c r="F73" i="4"/>
  <c r="E73" i="4"/>
  <c r="J72" i="4"/>
  <c r="I72" i="4"/>
  <c r="H72" i="4"/>
  <c r="G72" i="4"/>
  <c r="F72" i="4"/>
  <c r="E72" i="4"/>
  <c r="J71" i="4"/>
  <c r="I71" i="4"/>
  <c r="H71" i="4"/>
  <c r="G71" i="4"/>
  <c r="F71" i="4"/>
  <c r="E71" i="4"/>
  <c r="J70" i="4"/>
  <c r="I70" i="4"/>
  <c r="H70" i="4"/>
  <c r="G70" i="4"/>
  <c r="F70" i="4"/>
  <c r="E70" i="4"/>
  <c r="J62" i="4"/>
  <c r="I62" i="4"/>
  <c r="H62" i="4"/>
  <c r="G62" i="4"/>
  <c r="F62" i="4"/>
  <c r="E62" i="4"/>
  <c r="J69" i="4"/>
  <c r="I69" i="4"/>
  <c r="H69" i="4"/>
  <c r="G69" i="4"/>
  <c r="F69" i="4"/>
  <c r="E69" i="4"/>
  <c r="J68" i="4"/>
  <c r="I68" i="4"/>
  <c r="H68" i="4"/>
  <c r="G68" i="4"/>
  <c r="F68" i="4"/>
  <c r="E68" i="4"/>
  <c r="J64" i="4"/>
  <c r="I64" i="4"/>
  <c r="H64" i="4"/>
  <c r="G64" i="4"/>
  <c r="F64" i="4"/>
  <c r="E64" i="4"/>
  <c r="J61" i="4"/>
  <c r="I61" i="4"/>
  <c r="H61" i="4"/>
  <c r="G61" i="4"/>
  <c r="F61" i="4"/>
  <c r="E61" i="4"/>
  <c r="J67" i="4"/>
  <c r="I67" i="4"/>
  <c r="H67" i="4"/>
  <c r="G67" i="4"/>
  <c r="F67" i="4"/>
  <c r="E67" i="4"/>
  <c r="J66" i="4"/>
  <c r="I66" i="4"/>
  <c r="H66" i="4"/>
  <c r="G66" i="4"/>
  <c r="F66" i="4"/>
  <c r="E66" i="4"/>
  <c r="J65" i="4"/>
  <c r="I65" i="4"/>
  <c r="H65" i="4"/>
  <c r="G65" i="4"/>
  <c r="F65" i="4"/>
  <c r="E65" i="4"/>
  <c r="J63" i="4"/>
  <c r="I63" i="4"/>
  <c r="H63" i="4"/>
  <c r="G63" i="4"/>
  <c r="F63" i="4"/>
  <c r="E63" i="4"/>
  <c r="J60" i="4"/>
  <c r="I60" i="4"/>
  <c r="H60" i="4"/>
  <c r="G60" i="4"/>
  <c r="F60" i="4"/>
  <c r="E60" i="4"/>
  <c r="J59" i="4"/>
  <c r="I59" i="4"/>
  <c r="H59" i="4"/>
  <c r="G59" i="4"/>
  <c r="F59" i="4"/>
  <c r="E59" i="4"/>
  <c r="J58" i="4"/>
  <c r="I58" i="4"/>
  <c r="H58" i="4"/>
  <c r="G58" i="4"/>
  <c r="F58" i="4"/>
  <c r="E58" i="4"/>
  <c r="J53" i="4"/>
  <c r="I53" i="4"/>
  <c r="H53" i="4"/>
  <c r="G53" i="4"/>
  <c r="F53" i="4"/>
  <c r="E53" i="4"/>
  <c r="J54" i="4"/>
  <c r="I54" i="4"/>
  <c r="H54" i="4"/>
  <c r="G54" i="4"/>
  <c r="F54" i="4"/>
  <c r="E54" i="4"/>
  <c r="J57" i="4"/>
  <c r="I57" i="4"/>
  <c r="H57" i="4"/>
  <c r="G57" i="4"/>
  <c r="F57" i="4"/>
  <c r="E57" i="4"/>
  <c r="J56" i="4"/>
  <c r="I56" i="4"/>
  <c r="H56" i="4"/>
  <c r="G56" i="4"/>
  <c r="F56" i="4"/>
  <c r="E56" i="4"/>
  <c r="J55" i="4"/>
  <c r="I55" i="4"/>
  <c r="H55" i="4"/>
  <c r="G55" i="4"/>
  <c r="F55" i="4"/>
  <c r="E55" i="4"/>
  <c r="J52" i="4"/>
  <c r="I52" i="4"/>
  <c r="H52" i="4"/>
  <c r="G52" i="4"/>
  <c r="F52" i="4"/>
  <c r="E52" i="4"/>
  <c r="J49" i="4"/>
  <c r="I49" i="4"/>
  <c r="H49" i="4"/>
  <c r="G49" i="4"/>
  <c r="F49" i="4"/>
  <c r="E49" i="4"/>
  <c r="J51" i="4"/>
  <c r="I51" i="4"/>
  <c r="H51" i="4"/>
  <c r="G51" i="4"/>
  <c r="F51" i="4"/>
  <c r="E51" i="4"/>
  <c r="J50" i="4"/>
  <c r="I50" i="4"/>
  <c r="H50" i="4"/>
  <c r="G50" i="4"/>
  <c r="F50" i="4"/>
  <c r="E50" i="4"/>
  <c r="J48" i="4"/>
  <c r="I48" i="4"/>
  <c r="H48" i="4"/>
  <c r="G48" i="4"/>
  <c r="F48" i="4"/>
  <c r="E48" i="4"/>
  <c r="J47" i="4"/>
  <c r="I47" i="4"/>
  <c r="H47" i="4"/>
  <c r="G47" i="4"/>
  <c r="F47" i="4"/>
  <c r="E47" i="4"/>
  <c r="J46" i="4"/>
  <c r="I46" i="4"/>
  <c r="H46" i="4"/>
  <c r="G46" i="4"/>
  <c r="F46" i="4"/>
  <c r="E46" i="4"/>
  <c r="J45" i="4"/>
  <c r="I45" i="4"/>
  <c r="H45" i="4"/>
  <c r="G45" i="4"/>
  <c r="F45" i="4"/>
  <c r="E45" i="4"/>
  <c r="J44" i="4"/>
  <c r="I44" i="4"/>
  <c r="H44" i="4"/>
  <c r="G44" i="4"/>
  <c r="F44" i="4"/>
  <c r="E44" i="4"/>
  <c r="J43" i="4"/>
  <c r="I43" i="4"/>
  <c r="H43" i="4"/>
  <c r="G43" i="4"/>
  <c r="F43" i="4"/>
  <c r="E43" i="4"/>
  <c r="J42" i="4"/>
  <c r="I42" i="4"/>
  <c r="H42" i="4"/>
  <c r="G42" i="4"/>
  <c r="F42" i="4"/>
  <c r="E42" i="4"/>
  <c r="J39" i="4"/>
  <c r="I39" i="4"/>
  <c r="H39" i="4"/>
  <c r="G39" i="4"/>
  <c r="F39" i="4"/>
  <c r="E39" i="4"/>
  <c r="J41" i="4"/>
  <c r="I41" i="4"/>
  <c r="H41" i="4"/>
  <c r="G41" i="4"/>
  <c r="F41" i="4"/>
  <c r="E41" i="4"/>
  <c r="J40" i="4"/>
  <c r="I40" i="4"/>
  <c r="H40" i="4"/>
  <c r="G40" i="4"/>
  <c r="F40" i="4"/>
  <c r="E40" i="4"/>
  <c r="J35" i="4"/>
  <c r="I35" i="4"/>
  <c r="H35" i="4"/>
  <c r="G35" i="4"/>
  <c r="F35" i="4"/>
  <c r="E35" i="4"/>
  <c r="J38" i="4"/>
  <c r="I38" i="4"/>
  <c r="H38" i="4"/>
  <c r="G38" i="4"/>
  <c r="F38" i="4"/>
  <c r="E38" i="4"/>
  <c r="J37" i="4"/>
  <c r="I37" i="4"/>
  <c r="H37" i="4"/>
  <c r="G37" i="4"/>
  <c r="F37" i="4"/>
  <c r="E37" i="4"/>
  <c r="J36" i="4"/>
  <c r="I36" i="4"/>
  <c r="H36" i="4"/>
  <c r="G36" i="4"/>
  <c r="F36" i="4"/>
  <c r="E36" i="4"/>
  <c r="J34" i="4"/>
  <c r="I34" i="4"/>
  <c r="H34" i="4"/>
  <c r="G34" i="4"/>
  <c r="F34" i="4"/>
  <c r="E34" i="4"/>
  <c r="J33" i="4"/>
  <c r="I33" i="4"/>
  <c r="H33" i="4"/>
  <c r="G33" i="4"/>
  <c r="F33" i="4"/>
  <c r="E33" i="4"/>
  <c r="J32" i="4"/>
  <c r="I32" i="4"/>
  <c r="H32" i="4"/>
  <c r="G32" i="4"/>
  <c r="F32" i="4"/>
  <c r="E32" i="4"/>
  <c r="J30" i="4"/>
  <c r="I30" i="4"/>
  <c r="H30" i="4"/>
  <c r="G30" i="4"/>
  <c r="F30" i="4"/>
  <c r="E30" i="4"/>
  <c r="J31" i="4"/>
  <c r="I31" i="4"/>
  <c r="H31" i="4"/>
  <c r="G31" i="4"/>
  <c r="F31" i="4"/>
  <c r="E31" i="4"/>
  <c r="J29" i="4"/>
  <c r="I29" i="4"/>
  <c r="H29" i="4"/>
  <c r="G29" i="4"/>
  <c r="F29" i="4"/>
  <c r="E29" i="4"/>
  <c r="J28" i="4"/>
  <c r="I28" i="4"/>
  <c r="H28" i="4"/>
  <c r="G28" i="4"/>
  <c r="F28" i="4"/>
  <c r="E28" i="4"/>
  <c r="J27" i="4"/>
  <c r="I27" i="4"/>
  <c r="H27" i="4"/>
  <c r="G27" i="4"/>
  <c r="F27" i="4"/>
  <c r="E27" i="4"/>
  <c r="J26" i="4"/>
  <c r="I26" i="4"/>
  <c r="H26" i="4"/>
  <c r="G26" i="4"/>
  <c r="F26" i="4"/>
  <c r="E26" i="4"/>
  <c r="J25" i="4"/>
  <c r="I25" i="4"/>
  <c r="H25" i="4"/>
  <c r="G25" i="4"/>
  <c r="F25" i="4"/>
  <c r="E25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2" i="4"/>
  <c r="D69" i="4"/>
  <c r="D68" i="4"/>
  <c r="D64" i="4"/>
  <c r="D61" i="4"/>
  <c r="D67" i="4"/>
  <c r="D66" i="4"/>
  <c r="D65" i="4"/>
  <c r="D63" i="4"/>
  <c r="D60" i="4"/>
  <c r="D59" i="4"/>
  <c r="D58" i="4"/>
  <c r="D53" i="4"/>
  <c r="D54" i="4"/>
  <c r="D57" i="4"/>
  <c r="D56" i="4"/>
  <c r="D55" i="4"/>
  <c r="D52" i="4"/>
  <c r="D49" i="4"/>
  <c r="D51" i="4"/>
  <c r="D50" i="4"/>
  <c r="D48" i="4"/>
  <c r="D47" i="4"/>
  <c r="D46" i="4"/>
  <c r="D45" i="4"/>
  <c r="D44" i="4"/>
  <c r="D43" i="4"/>
  <c r="D42" i="4"/>
  <c r="D39" i="4"/>
  <c r="D41" i="4"/>
  <c r="D40" i="4"/>
  <c r="D35" i="4"/>
  <c r="D38" i="4"/>
  <c r="D37" i="4"/>
  <c r="D36" i="4"/>
  <c r="D34" i="4"/>
  <c r="D33" i="4"/>
  <c r="D32" i="4"/>
  <c r="D30" i="4"/>
  <c r="D31" i="4"/>
  <c r="D29" i="4"/>
  <c r="D28" i="4"/>
  <c r="D27" i="4"/>
  <c r="D26" i="4"/>
  <c r="D25" i="4"/>
  <c r="N86" i="4" l="1"/>
  <c r="M86" i="4"/>
  <c r="K86" i="4"/>
  <c r="L86" i="4"/>
  <c r="G20" i="6"/>
  <c r="G19" i="6"/>
  <c r="G14" i="6"/>
  <c r="G18" i="6"/>
  <c r="G17" i="6"/>
  <c r="G16" i="6"/>
  <c r="G15" i="6"/>
  <c r="G13" i="6"/>
  <c r="G12" i="6"/>
  <c r="G11" i="6"/>
  <c r="G10" i="6"/>
  <c r="G9" i="6"/>
  <c r="G8" i="6"/>
  <c r="G7" i="6"/>
  <c r="G6" i="6"/>
  <c r="G5" i="6"/>
  <c r="M521" i="1"/>
  <c r="L521" i="1"/>
  <c r="K521" i="1"/>
  <c r="M520" i="1"/>
  <c r="L520" i="1"/>
  <c r="K520" i="1"/>
  <c r="M519" i="1"/>
  <c r="L519" i="1"/>
  <c r="K519" i="1"/>
  <c r="M518" i="1"/>
  <c r="L518" i="1"/>
  <c r="K518" i="1"/>
  <c r="M517" i="1"/>
  <c r="L517" i="1"/>
  <c r="K517" i="1"/>
  <c r="M516" i="1"/>
  <c r="L516" i="1"/>
  <c r="K516" i="1"/>
  <c r="M515" i="1"/>
  <c r="L515" i="1"/>
  <c r="K515" i="1"/>
  <c r="M514" i="1"/>
  <c r="L514" i="1"/>
  <c r="K514" i="1"/>
  <c r="M513" i="1"/>
  <c r="L513" i="1"/>
  <c r="K513" i="1"/>
  <c r="M512" i="1"/>
  <c r="L512" i="1"/>
  <c r="K512" i="1"/>
  <c r="M511" i="1"/>
  <c r="L511" i="1"/>
  <c r="K511" i="1"/>
  <c r="M510" i="1"/>
  <c r="L510" i="1"/>
  <c r="K510" i="1"/>
  <c r="M509" i="1"/>
  <c r="L509" i="1"/>
  <c r="K509" i="1"/>
  <c r="M508" i="1"/>
  <c r="L508" i="1"/>
  <c r="K508" i="1"/>
  <c r="M507" i="1"/>
  <c r="L507" i="1"/>
  <c r="K507" i="1"/>
  <c r="M506" i="1"/>
  <c r="L506" i="1"/>
  <c r="K506" i="1"/>
  <c r="M503" i="1"/>
  <c r="L503" i="1"/>
  <c r="K503" i="1"/>
  <c r="M502" i="1"/>
  <c r="L502" i="1"/>
  <c r="K502" i="1"/>
  <c r="M501" i="1"/>
  <c r="L501" i="1"/>
  <c r="K501" i="1"/>
  <c r="M500" i="1"/>
  <c r="L500" i="1"/>
  <c r="K500" i="1"/>
  <c r="M499" i="1"/>
  <c r="L499" i="1"/>
  <c r="K499" i="1"/>
  <c r="M498" i="1"/>
  <c r="L498" i="1"/>
  <c r="K498" i="1"/>
  <c r="M497" i="1"/>
  <c r="L497" i="1"/>
  <c r="K497" i="1"/>
  <c r="M496" i="1"/>
  <c r="L496" i="1"/>
  <c r="K496" i="1"/>
  <c r="M495" i="1"/>
  <c r="L495" i="1"/>
  <c r="K495" i="1"/>
  <c r="M494" i="1"/>
  <c r="L494" i="1"/>
  <c r="K494" i="1"/>
  <c r="M493" i="1"/>
  <c r="L493" i="1"/>
  <c r="K493" i="1"/>
  <c r="M492" i="1"/>
  <c r="L492" i="1"/>
  <c r="K492" i="1"/>
  <c r="M491" i="1"/>
  <c r="L491" i="1"/>
  <c r="K491" i="1"/>
  <c r="M490" i="1"/>
  <c r="L490" i="1"/>
  <c r="K490" i="1"/>
  <c r="M489" i="1"/>
  <c r="L489" i="1"/>
  <c r="K489" i="1"/>
  <c r="M488" i="1"/>
  <c r="L488" i="1"/>
  <c r="K488" i="1"/>
  <c r="M485" i="1"/>
  <c r="L485" i="1"/>
  <c r="K485" i="1"/>
  <c r="M484" i="1"/>
  <c r="L484" i="1"/>
  <c r="K484" i="1"/>
  <c r="M483" i="1"/>
  <c r="L483" i="1"/>
  <c r="K483" i="1"/>
  <c r="M482" i="1"/>
  <c r="L482" i="1"/>
  <c r="K482" i="1"/>
  <c r="M481" i="1"/>
  <c r="L481" i="1"/>
  <c r="K481" i="1"/>
  <c r="M480" i="1"/>
  <c r="L480" i="1"/>
  <c r="K480" i="1"/>
  <c r="M479" i="1"/>
  <c r="L479" i="1"/>
  <c r="K479" i="1"/>
  <c r="M478" i="1"/>
  <c r="L478" i="1"/>
  <c r="K478" i="1"/>
  <c r="M477" i="1"/>
  <c r="L477" i="1"/>
  <c r="K477" i="1"/>
  <c r="M476" i="1"/>
  <c r="L476" i="1"/>
  <c r="K476" i="1"/>
  <c r="M475" i="1"/>
  <c r="L475" i="1"/>
  <c r="K475" i="1"/>
  <c r="M474" i="1"/>
  <c r="L474" i="1"/>
  <c r="K474" i="1"/>
  <c r="M473" i="1"/>
  <c r="L473" i="1"/>
  <c r="K473" i="1"/>
  <c r="M472" i="1"/>
  <c r="L472" i="1"/>
  <c r="K472" i="1"/>
  <c r="M471" i="1"/>
  <c r="L471" i="1"/>
  <c r="K471" i="1"/>
  <c r="M470" i="1"/>
  <c r="L470" i="1"/>
  <c r="K470" i="1"/>
  <c r="O85" i="4"/>
  <c r="O84" i="4"/>
  <c r="O83" i="4"/>
  <c r="O82" i="4"/>
  <c r="O81" i="4"/>
  <c r="O80" i="4"/>
  <c r="O79" i="4"/>
  <c r="O78" i="4"/>
  <c r="O77" i="4"/>
  <c r="O76" i="4"/>
  <c r="O75" i="4"/>
  <c r="O74" i="4"/>
  <c r="O73" i="4"/>
  <c r="O72" i="4"/>
  <c r="O71" i="4"/>
  <c r="O70" i="4"/>
  <c r="O62" i="4"/>
  <c r="O69" i="4"/>
  <c r="O68" i="4"/>
  <c r="O64" i="4"/>
  <c r="O61" i="4"/>
  <c r="O67" i="4"/>
  <c r="O66" i="4"/>
  <c r="O65" i="4"/>
  <c r="O63" i="4"/>
  <c r="O60" i="4"/>
  <c r="O59" i="4"/>
  <c r="O58" i="4"/>
  <c r="O53" i="4"/>
  <c r="O54" i="4"/>
  <c r="O57" i="4"/>
  <c r="O56" i="4"/>
  <c r="O55" i="4"/>
  <c r="O52" i="4"/>
  <c r="O49" i="4"/>
  <c r="O51" i="4"/>
  <c r="O50" i="4"/>
  <c r="O48" i="4"/>
  <c r="O47" i="4"/>
  <c r="O46" i="4"/>
  <c r="O45" i="4"/>
  <c r="O44" i="4"/>
  <c r="O43" i="4"/>
  <c r="O42" i="4"/>
  <c r="O39" i="4"/>
  <c r="O41" i="4"/>
  <c r="O40" i="4"/>
  <c r="O35" i="4"/>
  <c r="O38" i="4"/>
  <c r="O37" i="4"/>
  <c r="O36" i="4"/>
  <c r="O34" i="4"/>
  <c r="O33" i="4"/>
  <c r="O32" i="4"/>
  <c r="O30" i="4"/>
  <c r="O31" i="4"/>
  <c r="O29" i="4"/>
  <c r="O28" i="4"/>
  <c r="O27" i="4"/>
  <c r="O26" i="4"/>
  <c r="O25" i="4"/>
  <c r="N62" i="4" l="1"/>
  <c r="N83" i="4"/>
  <c r="K83" i="4"/>
  <c r="M83" i="4"/>
  <c r="M62" i="4"/>
  <c r="K62" i="4"/>
  <c r="L62" i="4"/>
  <c r="L83" i="4"/>
  <c r="N64" i="4"/>
  <c r="M64" i="4"/>
  <c r="L64" i="4"/>
  <c r="K64" i="4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M452" i="1"/>
  <c r="L452" i="1"/>
  <c r="K452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AD33" i="5"/>
  <c r="AA33" i="5"/>
  <c r="AD32" i="5"/>
  <c r="AA32" i="5"/>
  <c r="AD31" i="5"/>
  <c r="AA31" i="5"/>
  <c r="M182" i="4"/>
  <c r="L182" i="4"/>
  <c r="K182" i="4"/>
  <c r="J182" i="4"/>
  <c r="G182" i="4"/>
  <c r="M181" i="4"/>
  <c r="L181" i="4"/>
  <c r="K181" i="4"/>
  <c r="J181" i="4"/>
  <c r="G181" i="4"/>
  <c r="M180" i="4"/>
  <c r="L180" i="4"/>
  <c r="K180" i="4"/>
  <c r="J180" i="4"/>
  <c r="G180" i="4"/>
  <c r="M179" i="4"/>
  <c r="L179" i="4"/>
  <c r="K179" i="4"/>
  <c r="J179" i="4"/>
  <c r="G179" i="4"/>
  <c r="M178" i="4"/>
  <c r="L178" i="4"/>
  <c r="K178" i="4"/>
  <c r="J178" i="4"/>
  <c r="G178" i="4"/>
  <c r="M177" i="4"/>
  <c r="L177" i="4"/>
  <c r="K177" i="4"/>
  <c r="J177" i="4"/>
  <c r="G177" i="4"/>
  <c r="M176" i="4"/>
  <c r="L176" i="4"/>
  <c r="K176" i="4"/>
  <c r="J176" i="4"/>
  <c r="G176" i="4"/>
  <c r="M175" i="4"/>
  <c r="L175" i="4"/>
  <c r="K175" i="4"/>
  <c r="J175" i="4"/>
  <c r="G175" i="4"/>
  <c r="M174" i="4"/>
  <c r="L174" i="4"/>
  <c r="K174" i="4"/>
  <c r="J174" i="4"/>
  <c r="G174" i="4"/>
  <c r="M173" i="4"/>
  <c r="L173" i="4"/>
  <c r="K173" i="4"/>
  <c r="J173" i="4"/>
  <c r="G173" i="4"/>
  <c r="M172" i="4"/>
  <c r="L172" i="4"/>
  <c r="K172" i="4"/>
  <c r="J172" i="4"/>
  <c r="G172" i="4"/>
  <c r="M171" i="4"/>
  <c r="L171" i="4"/>
  <c r="K171" i="4"/>
  <c r="J171" i="4"/>
  <c r="G171" i="4"/>
  <c r="M170" i="4"/>
  <c r="L170" i="4"/>
  <c r="K170" i="4"/>
  <c r="J170" i="4"/>
  <c r="G170" i="4"/>
  <c r="M169" i="4"/>
  <c r="L169" i="4"/>
  <c r="K169" i="4"/>
  <c r="J169" i="4"/>
  <c r="G169" i="4"/>
  <c r="M168" i="4"/>
  <c r="L168" i="4"/>
  <c r="K168" i="4"/>
  <c r="J168" i="4"/>
  <c r="G168" i="4"/>
  <c r="M167" i="4"/>
  <c r="L167" i="4"/>
  <c r="K167" i="4"/>
  <c r="J167" i="4"/>
  <c r="G167" i="4"/>
  <c r="J199" i="4"/>
  <c r="G199" i="4"/>
  <c r="J198" i="4"/>
  <c r="G198" i="4"/>
  <c r="J197" i="4"/>
  <c r="G197" i="4"/>
  <c r="J196" i="4"/>
  <c r="G196" i="4"/>
  <c r="J195" i="4"/>
  <c r="G195" i="4"/>
  <c r="J194" i="4"/>
  <c r="G194" i="4"/>
  <c r="J193" i="4"/>
  <c r="G193" i="4"/>
  <c r="J192" i="4"/>
  <c r="G192" i="4"/>
  <c r="J191" i="4"/>
  <c r="G191" i="4"/>
  <c r="J190" i="4"/>
  <c r="G190" i="4"/>
  <c r="J189" i="4"/>
  <c r="G189" i="4"/>
  <c r="J188" i="4"/>
  <c r="G188" i="4"/>
  <c r="J187" i="4"/>
  <c r="G187" i="4"/>
  <c r="J186" i="4"/>
  <c r="G186" i="4"/>
  <c r="J185" i="4"/>
  <c r="G185" i="4"/>
  <c r="J184" i="4"/>
  <c r="G184" i="4"/>
  <c r="J216" i="4"/>
  <c r="G216" i="4"/>
  <c r="J215" i="4"/>
  <c r="G215" i="4"/>
  <c r="J214" i="4"/>
  <c r="G214" i="4"/>
  <c r="J213" i="4"/>
  <c r="G213" i="4"/>
  <c r="J212" i="4"/>
  <c r="G212" i="4"/>
  <c r="J211" i="4"/>
  <c r="G211" i="4"/>
  <c r="J210" i="4"/>
  <c r="G210" i="4"/>
  <c r="J209" i="4"/>
  <c r="G209" i="4"/>
  <c r="J208" i="4"/>
  <c r="G208" i="4"/>
  <c r="J207" i="4"/>
  <c r="G207" i="4"/>
  <c r="J206" i="4"/>
  <c r="G206" i="4"/>
  <c r="J205" i="4"/>
  <c r="G205" i="4"/>
  <c r="J204" i="4"/>
  <c r="G204" i="4"/>
  <c r="J203" i="4"/>
  <c r="G203" i="4"/>
  <c r="J202" i="4"/>
  <c r="G202" i="4"/>
  <c r="J201" i="4"/>
  <c r="G201" i="4"/>
  <c r="AD29" i="5"/>
  <c r="AA29" i="5"/>
  <c r="AD28" i="5"/>
  <c r="AA28" i="5"/>
  <c r="AD27" i="5"/>
  <c r="AA27" i="5"/>
  <c r="M449" i="1"/>
  <c r="L449" i="1"/>
  <c r="K449" i="1"/>
  <c r="J449" i="1"/>
  <c r="G449" i="1"/>
  <c r="M448" i="1"/>
  <c r="L448" i="1"/>
  <c r="K448" i="1"/>
  <c r="J448" i="1"/>
  <c r="G448" i="1"/>
  <c r="M447" i="1"/>
  <c r="L447" i="1"/>
  <c r="K447" i="1"/>
  <c r="J447" i="1"/>
  <c r="G447" i="1"/>
  <c r="M446" i="1"/>
  <c r="L446" i="1"/>
  <c r="K446" i="1"/>
  <c r="J446" i="1"/>
  <c r="G446" i="1"/>
  <c r="M445" i="1"/>
  <c r="L445" i="1"/>
  <c r="K445" i="1"/>
  <c r="J445" i="1"/>
  <c r="G445" i="1"/>
  <c r="M444" i="1"/>
  <c r="L444" i="1"/>
  <c r="K444" i="1"/>
  <c r="J444" i="1"/>
  <c r="G444" i="1"/>
  <c r="M443" i="1"/>
  <c r="L443" i="1"/>
  <c r="K443" i="1"/>
  <c r="J443" i="1"/>
  <c r="G443" i="1"/>
  <c r="M442" i="1"/>
  <c r="L442" i="1"/>
  <c r="K442" i="1"/>
  <c r="J442" i="1"/>
  <c r="G442" i="1"/>
  <c r="M441" i="1"/>
  <c r="L441" i="1"/>
  <c r="K441" i="1"/>
  <c r="J441" i="1"/>
  <c r="G441" i="1"/>
  <c r="M440" i="1"/>
  <c r="L440" i="1"/>
  <c r="K440" i="1"/>
  <c r="J440" i="1"/>
  <c r="G440" i="1"/>
  <c r="M439" i="1"/>
  <c r="L439" i="1"/>
  <c r="K439" i="1"/>
  <c r="J439" i="1"/>
  <c r="G439" i="1"/>
  <c r="M438" i="1"/>
  <c r="L438" i="1"/>
  <c r="K438" i="1"/>
  <c r="J438" i="1"/>
  <c r="G438" i="1"/>
  <c r="M437" i="1"/>
  <c r="L437" i="1"/>
  <c r="K437" i="1"/>
  <c r="J437" i="1"/>
  <c r="G437" i="1"/>
  <c r="M436" i="1"/>
  <c r="L436" i="1"/>
  <c r="K436" i="1"/>
  <c r="J436" i="1"/>
  <c r="G436" i="1"/>
  <c r="M435" i="1"/>
  <c r="L435" i="1"/>
  <c r="K435" i="1"/>
  <c r="J435" i="1"/>
  <c r="G435" i="1"/>
  <c r="M434" i="1"/>
  <c r="L434" i="1"/>
  <c r="K434" i="1"/>
  <c r="J434" i="1"/>
  <c r="G434" i="1"/>
  <c r="D3" i="5"/>
  <c r="D4" i="5"/>
  <c r="D5" i="5"/>
  <c r="D7" i="5"/>
  <c r="D8" i="5"/>
  <c r="D9" i="5"/>
  <c r="D11" i="5"/>
  <c r="D12" i="5"/>
  <c r="D13" i="5"/>
  <c r="AD25" i="5"/>
  <c r="AA25" i="5"/>
  <c r="AD24" i="5"/>
  <c r="AA24" i="5"/>
  <c r="AD23" i="5"/>
  <c r="AA23" i="5"/>
  <c r="AD21" i="5"/>
  <c r="AA21" i="5"/>
  <c r="AD20" i="5"/>
  <c r="AA20" i="5"/>
  <c r="AD19" i="5"/>
  <c r="AA19" i="5"/>
  <c r="AD17" i="5"/>
  <c r="AA17" i="5"/>
  <c r="AD16" i="5"/>
  <c r="AA16" i="5"/>
  <c r="AD15" i="5"/>
  <c r="AA15" i="5"/>
  <c r="AD13" i="5"/>
  <c r="AA13" i="5"/>
  <c r="AD12" i="5"/>
  <c r="AA12" i="5"/>
  <c r="AD11" i="5"/>
  <c r="AA11" i="5"/>
  <c r="AD9" i="5"/>
  <c r="AA9" i="5"/>
  <c r="AD8" i="5"/>
  <c r="AA8" i="5"/>
  <c r="AD7" i="5"/>
  <c r="AA7" i="5"/>
  <c r="AD5" i="5"/>
  <c r="AA5" i="5"/>
  <c r="AD4" i="5"/>
  <c r="AA4" i="5"/>
  <c r="AD3" i="5"/>
  <c r="AA3" i="5"/>
  <c r="T37" i="5"/>
  <c r="Q37" i="5"/>
  <c r="T36" i="5"/>
  <c r="Q36" i="5"/>
  <c r="T35" i="5"/>
  <c r="Q35" i="5"/>
  <c r="T33" i="5"/>
  <c r="Q33" i="5"/>
  <c r="T32" i="5"/>
  <c r="Q32" i="5"/>
  <c r="T31" i="5"/>
  <c r="Q31" i="5"/>
  <c r="T29" i="5"/>
  <c r="Q29" i="5"/>
  <c r="T28" i="5"/>
  <c r="Q28" i="5"/>
  <c r="T27" i="5"/>
  <c r="Q27" i="5"/>
  <c r="T25" i="5"/>
  <c r="Q25" i="5"/>
  <c r="T24" i="5"/>
  <c r="Q24" i="5"/>
  <c r="T23" i="5"/>
  <c r="Q23" i="5"/>
  <c r="T21" i="5"/>
  <c r="Q21" i="5"/>
  <c r="T20" i="5"/>
  <c r="Q20" i="5"/>
  <c r="T19" i="5"/>
  <c r="Q19" i="5"/>
  <c r="T17" i="5"/>
  <c r="Q17" i="5"/>
  <c r="T16" i="5"/>
  <c r="Q16" i="5"/>
  <c r="T15" i="5"/>
  <c r="Q15" i="5"/>
  <c r="T13" i="5"/>
  <c r="Q13" i="5"/>
  <c r="T12" i="5"/>
  <c r="Q12" i="5"/>
  <c r="T11" i="5"/>
  <c r="Q11" i="5"/>
  <c r="T9" i="5"/>
  <c r="Q9" i="5"/>
  <c r="T8" i="5"/>
  <c r="Q8" i="5"/>
  <c r="T7" i="5"/>
  <c r="Q7" i="5"/>
  <c r="T5" i="5"/>
  <c r="Q5" i="5"/>
  <c r="T4" i="5"/>
  <c r="Q4" i="5"/>
  <c r="T3" i="5"/>
  <c r="Q3" i="5"/>
  <c r="J37" i="5"/>
  <c r="G37" i="5"/>
  <c r="J36" i="5"/>
  <c r="G36" i="5"/>
  <c r="J35" i="5"/>
  <c r="G35" i="5"/>
  <c r="J33" i="5"/>
  <c r="G33" i="5"/>
  <c r="J32" i="5"/>
  <c r="G32" i="5"/>
  <c r="J31" i="5"/>
  <c r="G31" i="5"/>
  <c r="J29" i="5"/>
  <c r="G29" i="5"/>
  <c r="J28" i="5"/>
  <c r="G28" i="5"/>
  <c r="J27" i="5"/>
  <c r="G27" i="5"/>
  <c r="J25" i="5"/>
  <c r="G25" i="5"/>
  <c r="J24" i="5"/>
  <c r="G24" i="5"/>
  <c r="J23" i="5"/>
  <c r="G23" i="5"/>
  <c r="J21" i="5"/>
  <c r="G21" i="5"/>
  <c r="J20" i="5"/>
  <c r="G20" i="5"/>
  <c r="J19" i="5"/>
  <c r="G19" i="5"/>
  <c r="J17" i="5"/>
  <c r="G17" i="5"/>
  <c r="J16" i="5"/>
  <c r="G16" i="5"/>
  <c r="J15" i="5"/>
  <c r="G15" i="5"/>
  <c r="J13" i="5"/>
  <c r="J12" i="5"/>
  <c r="J11" i="5"/>
  <c r="J9" i="5"/>
  <c r="J8" i="5"/>
  <c r="J7" i="5"/>
  <c r="J5" i="5"/>
  <c r="J4" i="5"/>
  <c r="J3" i="5"/>
  <c r="M216" i="4"/>
  <c r="L216" i="4"/>
  <c r="K216" i="4"/>
  <c r="M215" i="4"/>
  <c r="L215" i="4"/>
  <c r="K215" i="4"/>
  <c r="M214" i="4"/>
  <c r="L214" i="4"/>
  <c r="K214" i="4"/>
  <c r="M213" i="4"/>
  <c r="L213" i="4"/>
  <c r="K213" i="4"/>
  <c r="M212" i="4"/>
  <c r="L212" i="4"/>
  <c r="K212" i="4"/>
  <c r="M211" i="4"/>
  <c r="L211" i="4"/>
  <c r="K211" i="4"/>
  <c r="M210" i="4"/>
  <c r="L210" i="4"/>
  <c r="K210" i="4"/>
  <c r="M209" i="4"/>
  <c r="L209" i="4"/>
  <c r="K209" i="4"/>
  <c r="M208" i="4"/>
  <c r="L208" i="4"/>
  <c r="K208" i="4"/>
  <c r="M207" i="4"/>
  <c r="L207" i="4"/>
  <c r="K207" i="4"/>
  <c r="M206" i="4"/>
  <c r="L206" i="4"/>
  <c r="K206" i="4"/>
  <c r="M205" i="4"/>
  <c r="L205" i="4"/>
  <c r="K205" i="4"/>
  <c r="M204" i="4"/>
  <c r="L204" i="4"/>
  <c r="K204" i="4"/>
  <c r="M203" i="4"/>
  <c r="L203" i="4"/>
  <c r="K203" i="4"/>
  <c r="M202" i="4"/>
  <c r="L202" i="4"/>
  <c r="K202" i="4"/>
  <c r="M201" i="4"/>
  <c r="L201" i="4"/>
  <c r="K201" i="4"/>
  <c r="K234" i="4"/>
  <c r="J234" i="4"/>
  <c r="G234" i="4"/>
  <c r="K233" i="4"/>
  <c r="J233" i="4"/>
  <c r="G233" i="4"/>
  <c r="K232" i="4"/>
  <c r="J232" i="4"/>
  <c r="G232" i="4"/>
  <c r="K231" i="4"/>
  <c r="J231" i="4"/>
  <c r="G231" i="4"/>
  <c r="K230" i="4"/>
  <c r="J230" i="4"/>
  <c r="G230" i="4"/>
  <c r="K229" i="4"/>
  <c r="J229" i="4"/>
  <c r="G229" i="4"/>
  <c r="K228" i="4"/>
  <c r="J228" i="4"/>
  <c r="G228" i="4"/>
  <c r="K227" i="4"/>
  <c r="J227" i="4"/>
  <c r="G227" i="4"/>
  <c r="K226" i="4"/>
  <c r="J226" i="4"/>
  <c r="G226" i="4"/>
  <c r="K225" i="4"/>
  <c r="J225" i="4"/>
  <c r="G225" i="4"/>
  <c r="K224" i="4"/>
  <c r="J224" i="4"/>
  <c r="G224" i="4"/>
  <c r="K223" i="4"/>
  <c r="J223" i="4"/>
  <c r="G223" i="4"/>
  <c r="K222" i="4"/>
  <c r="J222" i="4"/>
  <c r="G222" i="4"/>
  <c r="K221" i="4"/>
  <c r="J221" i="4"/>
  <c r="G221" i="4"/>
  <c r="K220" i="4"/>
  <c r="J220" i="4"/>
  <c r="G220" i="4"/>
  <c r="K219" i="4"/>
  <c r="J219" i="4"/>
  <c r="G219" i="4"/>
  <c r="J252" i="4"/>
  <c r="G252" i="4"/>
  <c r="J251" i="4"/>
  <c r="G251" i="4"/>
  <c r="J250" i="4"/>
  <c r="G250" i="4"/>
  <c r="J249" i="4"/>
  <c r="G249" i="4"/>
  <c r="J248" i="4"/>
  <c r="G248" i="4"/>
  <c r="J247" i="4"/>
  <c r="G247" i="4"/>
  <c r="J246" i="4"/>
  <c r="G246" i="4"/>
  <c r="J245" i="4"/>
  <c r="G245" i="4"/>
  <c r="J244" i="4"/>
  <c r="G244" i="4"/>
  <c r="J243" i="4"/>
  <c r="G243" i="4"/>
  <c r="J242" i="4"/>
  <c r="G242" i="4"/>
  <c r="J241" i="4"/>
  <c r="G241" i="4"/>
  <c r="J240" i="4"/>
  <c r="G240" i="4"/>
  <c r="J239" i="4"/>
  <c r="G239" i="4"/>
  <c r="J238" i="4"/>
  <c r="G238" i="4"/>
  <c r="J237" i="4"/>
  <c r="G237" i="4"/>
  <c r="J270" i="4"/>
  <c r="G270" i="4"/>
  <c r="J269" i="4"/>
  <c r="G269" i="4"/>
  <c r="J268" i="4"/>
  <c r="G268" i="4"/>
  <c r="J267" i="4"/>
  <c r="G267" i="4"/>
  <c r="J266" i="4"/>
  <c r="G266" i="4"/>
  <c r="J265" i="4"/>
  <c r="G265" i="4"/>
  <c r="J264" i="4"/>
  <c r="G264" i="4"/>
  <c r="J263" i="4"/>
  <c r="G263" i="4"/>
  <c r="J262" i="4"/>
  <c r="G262" i="4"/>
  <c r="J261" i="4"/>
  <c r="G261" i="4"/>
  <c r="J260" i="4"/>
  <c r="G260" i="4"/>
  <c r="J259" i="4"/>
  <c r="G259" i="4"/>
  <c r="J258" i="4"/>
  <c r="G258" i="4"/>
  <c r="J257" i="4"/>
  <c r="G257" i="4"/>
  <c r="J256" i="4"/>
  <c r="G256" i="4"/>
  <c r="J255" i="4"/>
  <c r="G255" i="4"/>
  <c r="J288" i="4"/>
  <c r="G288" i="4"/>
  <c r="J287" i="4"/>
  <c r="G287" i="4"/>
  <c r="J286" i="4"/>
  <c r="G286" i="4"/>
  <c r="J285" i="4"/>
  <c r="G285" i="4"/>
  <c r="J284" i="4"/>
  <c r="G284" i="4"/>
  <c r="J283" i="4"/>
  <c r="G283" i="4"/>
  <c r="J282" i="4"/>
  <c r="G282" i="4"/>
  <c r="J281" i="4"/>
  <c r="G281" i="4"/>
  <c r="J280" i="4"/>
  <c r="G280" i="4"/>
  <c r="J279" i="4"/>
  <c r="G279" i="4"/>
  <c r="J278" i="4"/>
  <c r="G278" i="4"/>
  <c r="J277" i="4"/>
  <c r="G277" i="4"/>
  <c r="J276" i="4"/>
  <c r="G276" i="4"/>
  <c r="J275" i="4"/>
  <c r="G275" i="4"/>
  <c r="J274" i="4"/>
  <c r="G274" i="4"/>
  <c r="J273" i="4"/>
  <c r="G273" i="4"/>
  <c r="J306" i="4"/>
  <c r="G306" i="4"/>
  <c r="J305" i="4"/>
  <c r="G305" i="4"/>
  <c r="J304" i="4"/>
  <c r="G304" i="4"/>
  <c r="J303" i="4"/>
  <c r="G303" i="4"/>
  <c r="J302" i="4"/>
  <c r="G302" i="4"/>
  <c r="J301" i="4"/>
  <c r="G301" i="4"/>
  <c r="J300" i="4"/>
  <c r="G300" i="4"/>
  <c r="J299" i="4"/>
  <c r="G299" i="4"/>
  <c r="J298" i="4"/>
  <c r="G298" i="4"/>
  <c r="J297" i="4"/>
  <c r="G297" i="4"/>
  <c r="J296" i="4"/>
  <c r="G296" i="4"/>
  <c r="J295" i="4"/>
  <c r="G295" i="4"/>
  <c r="J294" i="4"/>
  <c r="G294" i="4"/>
  <c r="J293" i="4"/>
  <c r="G293" i="4"/>
  <c r="J292" i="4"/>
  <c r="G292" i="4"/>
  <c r="J291" i="4"/>
  <c r="G291" i="4"/>
  <c r="J324" i="4"/>
  <c r="G324" i="4"/>
  <c r="J323" i="4"/>
  <c r="G323" i="4"/>
  <c r="J322" i="4"/>
  <c r="G322" i="4"/>
  <c r="J321" i="4"/>
  <c r="G321" i="4"/>
  <c r="J320" i="4"/>
  <c r="G320" i="4"/>
  <c r="J319" i="4"/>
  <c r="G319" i="4"/>
  <c r="J318" i="4"/>
  <c r="G318" i="4"/>
  <c r="J317" i="4"/>
  <c r="G317" i="4"/>
  <c r="J316" i="4"/>
  <c r="G316" i="4"/>
  <c r="J315" i="4"/>
  <c r="G315" i="4"/>
  <c r="J314" i="4"/>
  <c r="G314" i="4"/>
  <c r="J313" i="4"/>
  <c r="G313" i="4"/>
  <c r="J312" i="4"/>
  <c r="G312" i="4"/>
  <c r="J311" i="4"/>
  <c r="G311" i="4"/>
  <c r="J310" i="4"/>
  <c r="G310" i="4"/>
  <c r="J309" i="4"/>
  <c r="G309" i="4"/>
  <c r="J342" i="4"/>
  <c r="G342" i="4"/>
  <c r="J341" i="4"/>
  <c r="G341" i="4"/>
  <c r="J340" i="4"/>
  <c r="G340" i="4"/>
  <c r="J339" i="4"/>
  <c r="G339" i="4"/>
  <c r="J338" i="4"/>
  <c r="G338" i="4"/>
  <c r="J337" i="4"/>
  <c r="G337" i="4"/>
  <c r="J336" i="4"/>
  <c r="G336" i="4"/>
  <c r="J335" i="4"/>
  <c r="G335" i="4"/>
  <c r="J334" i="4"/>
  <c r="G334" i="4"/>
  <c r="J333" i="4"/>
  <c r="G333" i="4"/>
  <c r="J332" i="4"/>
  <c r="G332" i="4"/>
  <c r="J331" i="4"/>
  <c r="G331" i="4"/>
  <c r="J330" i="4"/>
  <c r="G330" i="4"/>
  <c r="J329" i="4"/>
  <c r="G329" i="4"/>
  <c r="J328" i="4"/>
  <c r="G328" i="4"/>
  <c r="J327" i="4"/>
  <c r="G327" i="4"/>
  <c r="J360" i="4"/>
  <c r="G360" i="4"/>
  <c r="J359" i="4"/>
  <c r="G359" i="4"/>
  <c r="J358" i="4"/>
  <c r="G358" i="4"/>
  <c r="J357" i="4"/>
  <c r="G357" i="4"/>
  <c r="J356" i="4"/>
  <c r="G356" i="4"/>
  <c r="J355" i="4"/>
  <c r="G355" i="4"/>
  <c r="J354" i="4"/>
  <c r="G354" i="4"/>
  <c r="J353" i="4"/>
  <c r="G353" i="4"/>
  <c r="J352" i="4"/>
  <c r="G352" i="4"/>
  <c r="J351" i="4"/>
  <c r="G351" i="4"/>
  <c r="J350" i="4"/>
  <c r="G350" i="4"/>
  <c r="J349" i="4"/>
  <c r="G349" i="4"/>
  <c r="J348" i="4"/>
  <c r="G348" i="4"/>
  <c r="J347" i="4"/>
  <c r="G347" i="4"/>
  <c r="J346" i="4"/>
  <c r="G346" i="4"/>
  <c r="J345" i="4"/>
  <c r="G345" i="4"/>
  <c r="J378" i="4"/>
  <c r="G378" i="4"/>
  <c r="J377" i="4"/>
  <c r="G377" i="4"/>
  <c r="J376" i="4"/>
  <c r="G376" i="4"/>
  <c r="J375" i="4"/>
  <c r="G375" i="4"/>
  <c r="J374" i="4"/>
  <c r="G374" i="4"/>
  <c r="J373" i="4"/>
  <c r="G373" i="4"/>
  <c r="J372" i="4"/>
  <c r="G372" i="4"/>
  <c r="J371" i="4"/>
  <c r="G371" i="4"/>
  <c r="J370" i="4"/>
  <c r="G370" i="4"/>
  <c r="J369" i="4"/>
  <c r="G369" i="4"/>
  <c r="J368" i="4"/>
  <c r="G368" i="4"/>
  <c r="J367" i="4"/>
  <c r="G367" i="4"/>
  <c r="J366" i="4"/>
  <c r="G366" i="4"/>
  <c r="J365" i="4"/>
  <c r="G365" i="4"/>
  <c r="J364" i="4"/>
  <c r="G364" i="4"/>
  <c r="J363" i="4"/>
  <c r="G363" i="4"/>
  <c r="J396" i="4"/>
  <c r="G396" i="4"/>
  <c r="J395" i="4"/>
  <c r="G395" i="4"/>
  <c r="J394" i="4"/>
  <c r="G394" i="4"/>
  <c r="J393" i="4"/>
  <c r="G393" i="4"/>
  <c r="J392" i="4"/>
  <c r="G392" i="4"/>
  <c r="J391" i="4"/>
  <c r="G391" i="4"/>
  <c r="J390" i="4"/>
  <c r="G390" i="4"/>
  <c r="J389" i="4"/>
  <c r="G389" i="4"/>
  <c r="J388" i="4"/>
  <c r="G388" i="4"/>
  <c r="J387" i="4"/>
  <c r="G387" i="4"/>
  <c r="J386" i="4"/>
  <c r="G386" i="4"/>
  <c r="J385" i="4"/>
  <c r="G385" i="4"/>
  <c r="J384" i="4"/>
  <c r="G384" i="4"/>
  <c r="J383" i="4"/>
  <c r="G383" i="4"/>
  <c r="J382" i="4"/>
  <c r="G382" i="4"/>
  <c r="J381" i="4"/>
  <c r="G381" i="4"/>
  <c r="J414" i="4"/>
  <c r="G414" i="4"/>
  <c r="J413" i="4"/>
  <c r="G413" i="4"/>
  <c r="J412" i="4"/>
  <c r="G412" i="4"/>
  <c r="J411" i="4"/>
  <c r="G411" i="4"/>
  <c r="J410" i="4"/>
  <c r="G410" i="4"/>
  <c r="J409" i="4"/>
  <c r="G409" i="4"/>
  <c r="J408" i="4"/>
  <c r="G408" i="4"/>
  <c r="J407" i="4"/>
  <c r="G407" i="4"/>
  <c r="J406" i="4"/>
  <c r="G406" i="4"/>
  <c r="J405" i="4"/>
  <c r="G405" i="4"/>
  <c r="J404" i="4"/>
  <c r="G404" i="4"/>
  <c r="J403" i="4"/>
  <c r="G403" i="4"/>
  <c r="J402" i="4"/>
  <c r="G402" i="4"/>
  <c r="J401" i="4"/>
  <c r="G401" i="4"/>
  <c r="J400" i="4"/>
  <c r="G400" i="4"/>
  <c r="J399" i="4"/>
  <c r="G399" i="4"/>
  <c r="J432" i="4"/>
  <c r="G432" i="4"/>
  <c r="J431" i="4"/>
  <c r="G431" i="4"/>
  <c r="J430" i="4"/>
  <c r="G430" i="4"/>
  <c r="J429" i="4"/>
  <c r="G429" i="4"/>
  <c r="J428" i="4"/>
  <c r="G428" i="4"/>
  <c r="J427" i="4"/>
  <c r="G427" i="4"/>
  <c r="J426" i="4"/>
  <c r="G426" i="4"/>
  <c r="J425" i="4"/>
  <c r="G425" i="4"/>
  <c r="J424" i="4"/>
  <c r="G424" i="4"/>
  <c r="J423" i="4"/>
  <c r="G423" i="4"/>
  <c r="J422" i="4"/>
  <c r="G422" i="4"/>
  <c r="J421" i="4"/>
  <c r="G421" i="4"/>
  <c r="J420" i="4"/>
  <c r="G420" i="4"/>
  <c r="J419" i="4"/>
  <c r="G419" i="4"/>
  <c r="J418" i="4"/>
  <c r="G418" i="4"/>
  <c r="J417" i="4"/>
  <c r="G417" i="4"/>
  <c r="J450" i="4"/>
  <c r="G450" i="4"/>
  <c r="J449" i="4"/>
  <c r="G449" i="4"/>
  <c r="J448" i="4"/>
  <c r="G448" i="4"/>
  <c r="J447" i="4"/>
  <c r="G447" i="4"/>
  <c r="J446" i="4"/>
  <c r="G446" i="4"/>
  <c r="J445" i="4"/>
  <c r="G445" i="4"/>
  <c r="J444" i="4"/>
  <c r="G444" i="4"/>
  <c r="J443" i="4"/>
  <c r="G443" i="4"/>
  <c r="J442" i="4"/>
  <c r="G442" i="4"/>
  <c r="J441" i="4"/>
  <c r="G441" i="4"/>
  <c r="J440" i="4"/>
  <c r="G440" i="4"/>
  <c r="J439" i="4"/>
  <c r="G439" i="4"/>
  <c r="J438" i="4"/>
  <c r="G438" i="4"/>
  <c r="J437" i="4"/>
  <c r="G437" i="4"/>
  <c r="J436" i="4"/>
  <c r="G436" i="4"/>
  <c r="J435" i="4"/>
  <c r="G435" i="4"/>
  <c r="J468" i="4"/>
  <c r="G468" i="4"/>
  <c r="J467" i="4"/>
  <c r="G467" i="4"/>
  <c r="J466" i="4"/>
  <c r="G466" i="4"/>
  <c r="J465" i="4"/>
  <c r="G465" i="4"/>
  <c r="J464" i="4"/>
  <c r="G464" i="4"/>
  <c r="J463" i="4"/>
  <c r="G463" i="4"/>
  <c r="J462" i="4"/>
  <c r="G462" i="4"/>
  <c r="J461" i="4"/>
  <c r="G461" i="4"/>
  <c r="J460" i="4"/>
  <c r="G460" i="4"/>
  <c r="J459" i="4"/>
  <c r="G459" i="4"/>
  <c r="J458" i="4"/>
  <c r="G458" i="4"/>
  <c r="J457" i="4"/>
  <c r="G457" i="4"/>
  <c r="J456" i="4"/>
  <c r="G456" i="4"/>
  <c r="J455" i="4"/>
  <c r="G455" i="4"/>
  <c r="J454" i="4"/>
  <c r="G454" i="4"/>
  <c r="J453" i="4"/>
  <c r="G453" i="4"/>
  <c r="J486" i="4"/>
  <c r="G486" i="4"/>
  <c r="J485" i="4"/>
  <c r="G485" i="4"/>
  <c r="J484" i="4"/>
  <c r="G484" i="4"/>
  <c r="J483" i="4"/>
  <c r="G483" i="4"/>
  <c r="J482" i="4"/>
  <c r="G482" i="4"/>
  <c r="J481" i="4"/>
  <c r="G481" i="4"/>
  <c r="J480" i="4"/>
  <c r="G480" i="4"/>
  <c r="J479" i="4"/>
  <c r="G479" i="4"/>
  <c r="J478" i="4"/>
  <c r="G478" i="4"/>
  <c r="J477" i="4"/>
  <c r="G477" i="4"/>
  <c r="J476" i="4"/>
  <c r="G476" i="4"/>
  <c r="J475" i="4"/>
  <c r="G475" i="4"/>
  <c r="J474" i="4"/>
  <c r="G474" i="4"/>
  <c r="J473" i="4"/>
  <c r="G473" i="4"/>
  <c r="J472" i="4"/>
  <c r="G472" i="4"/>
  <c r="J471" i="4"/>
  <c r="G471" i="4"/>
  <c r="J504" i="4"/>
  <c r="G504" i="4"/>
  <c r="J503" i="4"/>
  <c r="G503" i="4"/>
  <c r="J502" i="4"/>
  <c r="G502" i="4"/>
  <c r="J501" i="4"/>
  <c r="G501" i="4"/>
  <c r="J500" i="4"/>
  <c r="G500" i="4"/>
  <c r="J499" i="4"/>
  <c r="G499" i="4"/>
  <c r="J498" i="4"/>
  <c r="G498" i="4"/>
  <c r="J497" i="4"/>
  <c r="G497" i="4"/>
  <c r="J496" i="4"/>
  <c r="G496" i="4"/>
  <c r="J495" i="4"/>
  <c r="G495" i="4"/>
  <c r="J494" i="4"/>
  <c r="G494" i="4"/>
  <c r="J493" i="4"/>
  <c r="G493" i="4"/>
  <c r="J492" i="4"/>
  <c r="G492" i="4"/>
  <c r="J491" i="4"/>
  <c r="G491" i="4"/>
  <c r="J490" i="4"/>
  <c r="G490" i="4"/>
  <c r="J489" i="4"/>
  <c r="G489" i="4"/>
  <c r="J522" i="4"/>
  <c r="G522" i="4"/>
  <c r="J521" i="4"/>
  <c r="G521" i="4"/>
  <c r="J520" i="4"/>
  <c r="G520" i="4"/>
  <c r="J519" i="4"/>
  <c r="G519" i="4"/>
  <c r="J518" i="4"/>
  <c r="G518" i="4"/>
  <c r="J517" i="4"/>
  <c r="G517" i="4"/>
  <c r="J516" i="4"/>
  <c r="G516" i="4"/>
  <c r="J515" i="4"/>
  <c r="G515" i="4"/>
  <c r="J514" i="4"/>
  <c r="G514" i="4"/>
  <c r="J513" i="4"/>
  <c r="G513" i="4"/>
  <c r="J512" i="4"/>
  <c r="G512" i="4"/>
  <c r="J511" i="4"/>
  <c r="G511" i="4"/>
  <c r="J510" i="4"/>
  <c r="G510" i="4"/>
  <c r="J509" i="4"/>
  <c r="G509" i="4"/>
  <c r="J508" i="4"/>
  <c r="G508" i="4"/>
  <c r="J507" i="4"/>
  <c r="G507" i="4"/>
  <c r="J540" i="4"/>
  <c r="G540" i="4"/>
  <c r="J539" i="4"/>
  <c r="G539" i="4"/>
  <c r="J538" i="4"/>
  <c r="G538" i="4"/>
  <c r="J537" i="4"/>
  <c r="G537" i="4"/>
  <c r="J536" i="4"/>
  <c r="G536" i="4"/>
  <c r="J535" i="4"/>
  <c r="G535" i="4"/>
  <c r="J534" i="4"/>
  <c r="G534" i="4"/>
  <c r="J533" i="4"/>
  <c r="G533" i="4"/>
  <c r="J532" i="4"/>
  <c r="G532" i="4"/>
  <c r="J531" i="4"/>
  <c r="G531" i="4"/>
  <c r="J530" i="4"/>
  <c r="G530" i="4"/>
  <c r="J529" i="4"/>
  <c r="G529" i="4"/>
  <c r="J528" i="4"/>
  <c r="G528" i="4"/>
  <c r="J527" i="4"/>
  <c r="G527" i="4"/>
  <c r="J526" i="4"/>
  <c r="G526" i="4"/>
  <c r="J525" i="4"/>
  <c r="G525" i="4"/>
  <c r="J558" i="4"/>
  <c r="G558" i="4"/>
  <c r="J557" i="4"/>
  <c r="G557" i="4"/>
  <c r="J556" i="4"/>
  <c r="G556" i="4"/>
  <c r="J555" i="4"/>
  <c r="G555" i="4"/>
  <c r="J554" i="4"/>
  <c r="G554" i="4"/>
  <c r="J553" i="4"/>
  <c r="G553" i="4"/>
  <c r="J552" i="4"/>
  <c r="G552" i="4"/>
  <c r="J551" i="4"/>
  <c r="G551" i="4"/>
  <c r="J550" i="4"/>
  <c r="G550" i="4"/>
  <c r="J549" i="4"/>
  <c r="G549" i="4"/>
  <c r="J548" i="4"/>
  <c r="G548" i="4"/>
  <c r="J547" i="4"/>
  <c r="G547" i="4"/>
  <c r="J546" i="4"/>
  <c r="G546" i="4"/>
  <c r="J545" i="4"/>
  <c r="G545" i="4"/>
  <c r="J544" i="4"/>
  <c r="G544" i="4"/>
  <c r="J543" i="4"/>
  <c r="G543" i="4"/>
  <c r="J576" i="4"/>
  <c r="G576" i="4"/>
  <c r="J575" i="4"/>
  <c r="G575" i="4"/>
  <c r="J574" i="4"/>
  <c r="G574" i="4"/>
  <c r="J573" i="4"/>
  <c r="G573" i="4"/>
  <c r="J572" i="4"/>
  <c r="G572" i="4"/>
  <c r="J571" i="4"/>
  <c r="G571" i="4"/>
  <c r="J570" i="4"/>
  <c r="G570" i="4"/>
  <c r="J569" i="4"/>
  <c r="G569" i="4"/>
  <c r="J568" i="4"/>
  <c r="G568" i="4"/>
  <c r="J567" i="4"/>
  <c r="G567" i="4"/>
  <c r="J566" i="4"/>
  <c r="G566" i="4"/>
  <c r="J565" i="4"/>
  <c r="G565" i="4"/>
  <c r="J564" i="4"/>
  <c r="G564" i="4"/>
  <c r="J563" i="4"/>
  <c r="G563" i="4"/>
  <c r="J562" i="4"/>
  <c r="G562" i="4"/>
  <c r="J561" i="4"/>
  <c r="G561" i="4"/>
  <c r="J594" i="4"/>
  <c r="D594" i="4"/>
  <c r="J593" i="4"/>
  <c r="D593" i="4"/>
  <c r="J592" i="4"/>
  <c r="D592" i="4"/>
  <c r="J591" i="4"/>
  <c r="D591" i="4"/>
  <c r="J590" i="4"/>
  <c r="D590" i="4"/>
  <c r="J589" i="4"/>
  <c r="D589" i="4"/>
  <c r="J588" i="4"/>
  <c r="D588" i="4"/>
  <c r="J587" i="4"/>
  <c r="D587" i="4"/>
  <c r="J586" i="4"/>
  <c r="D586" i="4"/>
  <c r="J585" i="4"/>
  <c r="D585" i="4"/>
  <c r="J584" i="4"/>
  <c r="D584" i="4"/>
  <c r="J583" i="4"/>
  <c r="D583" i="4"/>
  <c r="J582" i="4"/>
  <c r="D582" i="4"/>
  <c r="J581" i="4"/>
  <c r="D581" i="4"/>
  <c r="J580" i="4"/>
  <c r="D580" i="4"/>
  <c r="J579" i="4"/>
  <c r="D579" i="4"/>
  <c r="J612" i="4"/>
  <c r="D612" i="4"/>
  <c r="J611" i="4"/>
  <c r="D611" i="4"/>
  <c r="J610" i="4"/>
  <c r="D610" i="4"/>
  <c r="J609" i="4"/>
  <c r="D609" i="4"/>
  <c r="J608" i="4"/>
  <c r="D608" i="4"/>
  <c r="J607" i="4"/>
  <c r="D607" i="4"/>
  <c r="J606" i="4"/>
  <c r="D606" i="4"/>
  <c r="J605" i="4"/>
  <c r="D605" i="4"/>
  <c r="J604" i="4"/>
  <c r="D604" i="4"/>
  <c r="J603" i="4"/>
  <c r="D603" i="4"/>
  <c r="J602" i="4"/>
  <c r="D602" i="4"/>
  <c r="J601" i="4"/>
  <c r="D601" i="4"/>
  <c r="J600" i="4"/>
  <c r="D600" i="4"/>
  <c r="J599" i="4"/>
  <c r="D599" i="4"/>
  <c r="J598" i="4"/>
  <c r="D598" i="4"/>
  <c r="J597" i="4"/>
  <c r="D597" i="4"/>
  <c r="J630" i="4"/>
  <c r="D630" i="4"/>
  <c r="J629" i="4"/>
  <c r="D629" i="4"/>
  <c r="J628" i="4"/>
  <c r="D628" i="4"/>
  <c r="J627" i="4"/>
  <c r="D627" i="4"/>
  <c r="J626" i="4"/>
  <c r="D626" i="4"/>
  <c r="J625" i="4"/>
  <c r="D625" i="4"/>
  <c r="J624" i="4"/>
  <c r="D624" i="4"/>
  <c r="J623" i="4"/>
  <c r="D623" i="4"/>
  <c r="J622" i="4"/>
  <c r="D622" i="4"/>
  <c r="J621" i="4"/>
  <c r="D621" i="4"/>
  <c r="J620" i="4"/>
  <c r="D620" i="4"/>
  <c r="J619" i="4"/>
  <c r="D619" i="4"/>
  <c r="J618" i="4"/>
  <c r="D618" i="4"/>
  <c r="J617" i="4"/>
  <c r="D617" i="4"/>
  <c r="J616" i="4"/>
  <c r="D616" i="4"/>
  <c r="J615" i="4"/>
  <c r="D615" i="4"/>
  <c r="M431" i="1"/>
  <c r="L431" i="1"/>
  <c r="M430" i="1"/>
  <c r="L430" i="1"/>
  <c r="M429" i="1"/>
  <c r="L429" i="1"/>
  <c r="M428" i="1"/>
  <c r="L428" i="1"/>
  <c r="M427" i="1"/>
  <c r="L427" i="1"/>
  <c r="M426" i="1"/>
  <c r="L426" i="1"/>
  <c r="M425" i="1"/>
  <c r="L425" i="1"/>
  <c r="M424" i="1"/>
  <c r="L424" i="1"/>
  <c r="M423" i="1"/>
  <c r="L423" i="1"/>
  <c r="M422" i="1"/>
  <c r="L422" i="1"/>
  <c r="M421" i="1"/>
  <c r="L421" i="1"/>
  <c r="M420" i="1"/>
  <c r="L420" i="1"/>
  <c r="M419" i="1"/>
  <c r="L419" i="1"/>
  <c r="M418" i="1"/>
  <c r="L418" i="1"/>
  <c r="M417" i="1"/>
  <c r="L417" i="1"/>
  <c r="M416" i="1"/>
  <c r="L416" i="1"/>
  <c r="K405" i="1"/>
  <c r="K406" i="1"/>
  <c r="K407" i="1"/>
  <c r="K408" i="1"/>
  <c r="K409" i="1"/>
  <c r="K410" i="1"/>
  <c r="K411" i="1"/>
  <c r="K412" i="1"/>
  <c r="K413" i="1"/>
  <c r="K404" i="1"/>
  <c r="K403" i="1"/>
  <c r="K402" i="1"/>
  <c r="K401" i="1"/>
  <c r="K400" i="1"/>
  <c r="K399" i="1"/>
  <c r="K398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6" i="1"/>
  <c r="K417" i="1"/>
  <c r="K418" i="1"/>
  <c r="K419" i="1"/>
  <c r="J431" i="1"/>
  <c r="G431" i="1"/>
  <c r="J430" i="1"/>
  <c r="G430" i="1"/>
  <c r="J429" i="1"/>
  <c r="G429" i="1"/>
  <c r="J428" i="1"/>
  <c r="G428" i="1"/>
  <c r="J427" i="1"/>
  <c r="G427" i="1"/>
  <c r="J426" i="1"/>
  <c r="G426" i="1"/>
  <c r="J425" i="1"/>
  <c r="G425" i="1"/>
  <c r="J424" i="1"/>
  <c r="G424" i="1"/>
  <c r="J423" i="1"/>
  <c r="G423" i="1"/>
  <c r="J422" i="1"/>
  <c r="G422" i="1"/>
  <c r="J421" i="1"/>
  <c r="G421" i="1"/>
  <c r="J420" i="1"/>
  <c r="G420" i="1"/>
  <c r="J419" i="1"/>
  <c r="G419" i="1"/>
  <c r="J418" i="1"/>
  <c r="G418" i="1"/>
  <c r="J417" i="1"/>
  <c r="G417" i="1"/>
  <c r="J416" i="1"/>
  <c r="G416" i="1"/>
  <c r="J413" i="1"/>
  <c r="G413" i="1"/>
  <c r="J412" i="1"/>
  <c r="G412" i="1"/>
  <c r="J411" i="1"/>
  <c r="G411" i="1"/>
  <c r="J410" i="1"/>
  <c r="G410" i="1"/>
  <c r="J409" i="1"/>
  <c r="G409" i="1"/>
  <c r="J408" i="1"/>
  <c r="G408" i="1"/>
  <c r="J407" i="1"/>
  <c r="G407" i="1"/>
  <c r="J406" i="1"/>
  <c r="G406" i="1"/>
  <c r="J405" i="1"/>
  <c r="G405" i="1"/>
  <c r="J404" i="1"/>
  <c r="G404" i="1"/>
  <c r="J403" i="1"/>
  <c r="G403" i="1"/>
  <c r="J402" i="1"/>
  <c r="G402" i="1"/>
  <c r="J401" i="1"/>
  <c r="G401" i="1"/>
  <c r="J400" i="1"/>
  <c r="G400" i="1"/>
  <c r="J399" i="1"/>
  <c r="G399" i="1"/>
  <c r="J398" i="1"/>
  <c r="G398" i="1"/>
  <c r="J395" i="1"/>
  <c r="G395" i="1"/>
  <c r="J394" i="1"/>
  <c r="G394" i="1"/>
  <c r="J393" i="1"/>
  <c r="G393" i="1"/>
  <c r="J392" i="1"/>
  <c r="G392" i="1"/>
  <c r="J391" i="1"/>
  <c r="G391" i="1"/>
  <c r="J390" i="1"/>
  <c r="G390" i="1"/>
  <c r="J389" i="1"/>
  <c r="G389" i="1"/>
  <c r="J388" i="1"/>
  <c r="G388" i="1"/>
  <c r="J387" i="1"/>
  <c r="G387" i="1"/>
  <c r="J386" i="1"/>
  <c r="G386" i="1"/>
  <c r="J385" i="1"/>
  <c r="G385" i="1"/>
  <c r="J384" i="1"/>
  <c r="G384" i="1"/>
  <c r="J383" i="1"/>
  <c r="G383" i="1"/>
  <c r="J382" i="1"/>
  <c r="G382" i="1"/>
  <c r="J381" i="1"/>
  <c r="G381" i="1"/>
  <c r="J380" i="1"/>
  <c r="G380" i="1"/>
  <c r="G362" i="1"/>
  <c r="J377" i="1"/>
  <c r="G377" i="1"/>
  <c r="J376" i="1"/>
  <c r="G376" i="1"/>
  <c r="J375" i="1"/>
  <c r="G375" i="1"/>
  <c r="J374" i="1"/>
  <c r="G374" i="1"/>
  <c r="J373" i="1"/>
  <c r="G373" i="1"/>
  <c r="J372" i="1"/>
  <c r="G372" i="1"/>
  <c r="J371" i="1"/>
  <c r="G371" i="1"/>
  <c r="J370" i="1"/>
  <c r="G370" i="1"/>
  <c r="J369" i="1"/>
  <c r="G369" i="1"/>
  <c r="J368" i="1"/>
  <c r="G368" i="1"/>
  <c r="J367" i="1"/>
  <c r="G367" i="1"/>
  <c r="J366" i="1"/>
  <c r="G366" i="1"/>
  <c r="J365" i="1"/>
  <c r="G365" i="1"/>
  <c r="J364" i="1"/>
  <c r="G364" i="1"/>
  <c r="J363" i="1"/>
  <c r="G363" i="1"/>
  <c r="J362" i="1"/>
  <c r="J359" i="1"/>
  <c r="G359" i="1"/>
  <c r="J358" i="1"/>
  <c r="G358" i="1"/>
  <c r="J357" i="1"/>
  <c r="G357" i="1"/>
  <c r="J356" i="1"/>
  <c r="G356" i="1"/>
  <c r="J355" i="1"/>
  <c r="G355" i="1"/>
  <c r="J354" i="1"/>
  <c r="G354" i="1"/>
  <c r="J353" i="1"/>
  <c r="G353" i="1"/>
  <c r="J352" i="1"/>
  <c r="G352" i="1"/>
  <c r="J351" i="1"/>
  <c r="G351" i="1"/>
  <c r="J350" i="1"/>
  <c r="G350" i="1"/>
  <c r="J349" i="1"/>
  <c r="G349" i="1"/>
  <c r="J348" i="1"/>
  <c r="G348" i="1"/>
  <c r="J347" i="1"/>
  <c r="G347" i="1"/>
  <c r="J346" i="1"/>
  <c r="G346" i="1"/>
  <c r="J345" i="1"/>
  <c r="G345" i="1"/>
  <c r="J344" i="1"/>
  <c r="G344" i="1"/>
  <c r="J341" i="1"/>
  <c r="G341" i="1"/>
  <c r="J340" i="1"/>
  <c r="G340" i="1"/>
  <c r="J339" i="1"/>
  <c r="G339" i="1"/>
  <c r="J338" i="1"/>
  <c r="G338" i="1"/>
  <c r="J337" i="1"/>
  <c r="G337" i="1"/>
  <c r="J336" i="1"/>
  <c r="G336" i="1"/>
  <c r="J335" i="1"/>
  <c r="G335" i="1"/>
  <c r="J334" i="1"/>
  <c r="G334" i="1"/>
  <c r="J333" i="1"/>
  <c r="G333" i="1"/>
  <c r="J332" i="1"/>
  <c r="G332" i="1"/>
  <c r="J331" i="1"/>
  <c r="G331" i="1"/>
  <c r="J330" i="1"/>
  <c r="G330" i="1"/>
  <c r="J329" i="1"/>
  <c r="G329" i="1"/>
  <c r="J328" i="1"/>
  <c r="G328" i="1"/>
  <c r="J327" i="1"/>
  <c r="G327" i="1"/>
  <c r="J326" i="1"/>
  <c r="G326" i="1"/>
  <c r="J323" i="1"/>
  <c r="G323" i="1"/>
  <c r="J322" i="1"/>
  <c r="G322" i="1"/>
  <c r="J321" i="1"/>
  <c r="G321" i="1"/>
  <c r="J320" i="1"/>
  <c r="G320" i="1"/>
  <c r="J319" i="1"/>
  <c r="G319" i="1"/>
  <c r="J318" i="1"/>
  <c r="G318" i="1"/>
  <c r="J317" i="1"/>
  <c r="G317" i="1"/>
  <c r="J316" i="1"/>
  <c r="G316" i="1"/>
  <c r="J315" i="1"/>
  <c r="G315" i="1"/>
  <c r="J314" i="1"/>
  <c r="G314" i="1"/>
  <c r="J313" i="1"/>
  <c r="G313" i="1"/>
  <c r="J312" i="1"/>
  <c r="G312" i="1"/>
  <c r="J311" i="1"/>
  <c r="G311" i="1"/>
  <c r="J310" i="1"/>
  <c r="G310" i="1"/>
  <c r="J309" i="1"/>
  <c r="G309" i="1"/>
  <c r="J308" i="1"/>
  <c r="G308" i="1"/>
  <c r="J305" i="1"/>
  <c r="G305" i="1"/>
  <c r="J304" i="1"/>
  <c r="G304" i="1"/>
  <c r="J303" i="1"/>
  <c r="G303" i="1"/>
  <c r="J302" i="1"/>
  <c r="G302" i="1"/>
  <c r="J301" i="1"/>
  <c r="G301" i="1"/>
  <c r="J300" i="1"/>
  <c r="G300" i="1"/>
  <c r="J299" i="1"/>
  <c r="G299" i="1"/>
  <c r="J298" i="1"/>
  <c r="G298" i="1"/>
  <c r="J297" i="1"/>
  <c r="G297" i="1"/>
  <c r="J296" i="1"/>
  <c r="G296" i="1"/>
  <c r="J295" i="1"/>
  <c r="G295" i="1"/>
  <c r="J294" i="1"/>
  <c r="G294" i="1"/>
  <c r="J293" i="1"/>
  <c r="G293" i="1"/>
  <c r="J292" i="1"/>
  <c r="G292" i="1"/>
  <c r="J291" i="1"/>
  <c r="G291" i="1"/>
  <c r="J290" i="1"/>
  <c r="G290" i="1"/>
  <c r="J287" i="1"/>
  <c r="G287" i="1"/>
  <c r="J286" i="1"/>
  <c r="G286" i="1"/>
  <c r="J285" i="1"/>
  <c r="G285" i="1"/>
  <c r="J284" i="1"/>
  <c r="G284" i="1"/>
  <c r="J283" i="1"/>
  <c r="G283" i="1"/>
  <c r="J282" i="1"/>
  <c r="G282" i="1"/>
  <c r="J281" i="1"/>
  <c r="G281" i="1"/>
  <c r="J280" i="1"/>
  <c r="G280" i="1"/>
  <c r="J279" i="1"/>
  <c r="G279" i="1"/>
  <c r="J278" i="1"/>
  <c r="G278" i="1"/>
  <c r="J277" i="1"/>
  <c r="G277" i="1"/>
  <c r="J276" i="1"/>
  <c r="G276" i="1"/>
  <c r="J275" i="1"/>
  <c r="G275" i="1"/>
  <c r="J274" i="1"/>
  <c r="G274" i="1"/>
  <c r="J273" i="1"/>
  <c r="G273" i="1"/>
  <c r="J272" i="1"/>
  <c r="G272" i="1"/>
  <c r="J269" i="1"/>
  <c r="G269" i="1"/>
  <c r="J268" i="1"/>
  <c r="G268" i="1"/>
  <c r="J267" i="1"/>
  <c r="G267" i="1"/>
  <c r="J266" i="1"/>
  <c r="G266" i="1"/>
  <c r="J265" i="1"/>
  <c r="G265" i="1"/>
  <c r="J264" i="1"/>
  <c r="G264" i="1"/>
  <c r="J263" i="1"/>
  <c r="G263" i="1"/>
  <c r="J262" i="1"/>
  <c r="G262" i="1"/>
  <c r="J261" i="1"/>
  <c r="G261" i="1"/>
  <c r="J260" i="1"/>
  <c r="G260" i="1"/>
  <c r="J259" i="1"/>
  <c r="G259" i="1"/>
  <c r="J258" i="1"/>
  <c r="G258" i="1"/>
  <c r="J257" i="1"/>
  <c r="G257" i="1"/>
  <c r="J256" i="1"/>
  <c r="G256" i="1"/>
  <c r="J255" i="1"/>
  <c r="G255" i="1"/>
  <c r="J254" i="1"/>
  <c r="G254" i="1"/>
  <c r="J251" i="1"/>
  <c r="G251" i="1"/>
  <c r="J250" i="1"/>
  <c r="G250" i="1"/>
  <c r="J249" i="1"/>
  <c r="G249" i="1"/>
  <c r="J248" i="1"/>
  <c r="G248" i="1"/>
  <c r="J247" i="1"/>
  <c r="G247" i="1"/>
  <c r="J246" i="1"/>
  <c r="G246" i="1"/>
  <c r="J245" i="1"/>
  <c r="G245" i="1"/>
  <c r="J244" i="1"/>
  <c r="G244" i="1"/>
  <c r="J243" i="1"/>
  <c r="G243" i="1"/>
  <c r="J242" i="1"/>
  <c r="G242" i="1"/>
  <c r="J241" i="1"/>
  <c r="G241" i="1"/>
  <c r="J240" i="1"/>
  <c r="G240" i="1"/>
  <c r="J239" i="1"/>
  <c r="G239" i="1"/>
  <c r="J238" i="1"/>
  <c r="G238" i="1"/>
  <c r="J237" i="1"/>
  <c r="G237" i="1"/>
  <c r="J236" i="1"/>
  <c r="G236" i="1"/>
  <c r="J233" i="1"/>
  <c r="G233" i="1"/>
  <c r="J232" i="1"/>
  <c r="G232" i="1"/>
  <c r="J231" i="1"/>
  <c r="G231" i="1"/>
  <c r="J230" i="1"/>
  <c r="G230" i="1"/>
  <c r="J229" i="1"/>
  <c r="G229" i="1"/>
  <c r="J228" i="1"/>
  <c r="G228" i="1"/>
  <c r="J227" i="1"/>
  <c r="G227" i="1"/>
  <c r="J226" i="1"/>
  <c r="G226" i="1"/>
  <c r="J225" i="1"/>
  <c r="G225" i="1"/>
  <c r="J224" i="1"/>
  <c r="G224" i="1"/>
  <c r="J223" i="1"/>
  <c r="G223" i="1"/>
  <c r="J222" i="1"/>
  <c r="G222" i="1"/>
  <c r="J221" i="1"/>
  <c r="G221" i="1"/>
  <c r="J220" i="1"/>
  <c r="G220" i="1"/>
  <c r="J219" i="1"/>
  <c r="G219" i="1"/>
  <c r="J218" i="1"/>
  <c r="G218" i="1"/>
  <c r="J215" i="1"/>
  <c r="G215" i="1"/>
  <c r="J214" i="1"/>
  <c r="G214" i="1"/>
  <c r="J213" i="1"/>
  <c r="G213" i="1"/>
  <c r="J212" i="1"/>
  <c r="G212" i="1"/>
  <c r="J211" i="1"/>
  <c r="G211" i="1"/>
  <c r="J210" i="1"/>
  <c r="G210" i="1"/>
  <c r="J209" i="1"/>
  <c r="G209" i="1"/>
  <c r="J208" i="1"/>
  <c r="G208" i="1"/>
  <c r="J207" i="1"/>
  <c r="G207" i="1"/>
  <c r="J206" i="1"/>
  <c r="G206" i="1"/>
  <c r="J205" i="1"/>
  <c r="G205" i="1"/>
  <c r="J204" i="1"/>
  <c r="G204" i="1"/>
  <c r="J203" i="1"/>
  <c r="G203" i="1"/>
  <c r="J202" i="1"/>
  <c r="G202" i="1"/>
  <c r="J201" i="1"/>
  <c r="G201" i="1"/>
  <c r="J200" i="1"/>
  <c r="G200" i="1"/>
  <c r="J197" i="1"/>
  <c r="G197" i="1"/>
  <c r="J196" i="1"/>
  <c r="G196" i="1"/>
  <c r="J195" i="1"/>
  <c r="G195" i="1"/>
  <c r="J194" i="1"/>
  <c r="G194" i="1"/>
  <c r="J193" i="1"/>
  <c r="G193" i="1"/>
  <c r="J192" i="1"/>
  <c r="G192" i="1"/>
  <c r="J191" i="1"/>
  <c r="G191" i="1"/>
  <c r="J190" i="1"/>
  <c r="G190" i="1"/>
  <c r="J189" i="1"/>
  <c r="G189" i="1"/>
  <c r="J188" i="1"/>
  <c r="G188" i="1"/>
  <c r="J187" i="1"/>
  <c r="G187" i="1"/>
  <c r="J186" i="1"/>
  <c r="G186" i="1"/>
  <c r="J185" i="1"/>
  <c r="G185" i="1"/>
  <c r="J184" i="1"/>
  <c r="G184" i="1"/>
  <c r="J183" i="1"/>
  <c r="G183" i="1"/>
  <c r="J182" i="1"/>
  <c r="G182" i="1"/>
  <c r="J179" i="1"/>
  <c r="G179" i="1"/>
  <c r="J178" i="1"/>
  <c r="G178" i="1"/>
  <c r="J177" i="1"/>
  <c r="G177" i="1"/>
  <c r="J176" i="1"/>
  <c r="G176" i="1"/>
  <c r="J175" i="1"/>
  <c r="G175" i="1"/>
  <c r="J174" i="1"/>
  <c r="G174" i="1"/>
  <c r="J173" i="1"/>
  <c r="G173" i="1"/>
  <c r="J172" i="1"/>
  <c r="G172" i="1"/>
  <c r="J171" i="1"/>
  <c r="G171" i="1"/>
  <c r="J170" i="1"/>
  <c r="G170" i="1"/>
  <c r="J169" i="1"/>
  <c r="G169" i="1"/>
  <c r="J168" i="1"/>
  <c r="G168" i="1"/>
  <c r="J167" i="1"/>
  <c r="G167" i="1"/>
  <c r="J166" i="1"/>
  <c r="G166" i="1"/>
  <c r="J165" i="1"/>
  <c r="G165" i="1"/>
  <c r="J164" i="1"/>
  <c r="G164" i="1"/>
  <c r="J161" i="1"/>
  <c r="G161" i="1"/>
  <c r="J160" i="1"/>
  <c r="G160" i="1"/>
  <c r="J159" i="1"/>
  <c r="G159" i="1"/>
  <c r="J158" i="1"/>
  <c r="G158" i="1"/>
  <c r="J157" i="1"/>
  <c r="G157" i="1"/>
  <c r="J156" i="1"/>
  <c r="G156" i="1"/>
  <c r="J155" i="1"/>
  <c r="G155" i="1"/>
  <c r="J154" i="1"/>
  <c r="G154" i="1"/>
  <c r="J153" i="1"/>
  <c r="G153" i="1"/>
  <c r="J152" i="1"/>
  <c r="G152" i="1"/>
  <c r="J151" i="1"/>
  <c r="G151" i="1"/>
  <c r="J150" i="1"/>
  <c r="G150" i="1"/>
  <c r="J149" i="1"/>
  <c r="G149" i="1"/>
  <c r="J148" i="1"/>
  <c r="G148" i="1"/>
  <c r="J147" i="1"/>
  <c r="G147" i="1"/>
  <c r="J146" i="1"/>
  <c r="G146" i="1"/>
  <c r="J143" i="1"/>
  <c r="G143" i="1"/>
  <c r="J142" i="1"/>
  <c r="G142" i="1"/>
  <c r="J141" i="1"/>
  <c r="G141" i="1"/>
  <c r="J140" i="1"/>
  <c r="G140" i="1"/>
  <c r="J139" i="1"/>
  <c r="G139" i="1"/>
  <c r="J138" i="1"/>
  <c r="G138" i="1"/>
  <c r="J137" i="1"/>
  <c r="G137" i="1"/>
  <c r="J136" i="1"/>
  <c r="G136" i="1"/>
  <c r="J135" i="1"/>
  <c r="G135" i="1"/>
  <c r="J134" i="1"/>
  <c r="G134" i="1"/>
  <c r="J133" i="1"/>
  <c r="G133" i="1"/>
  <c r="J132" i="1"/>
  <c r="G132" i="1"/>
  <c r="J131" i="1"/>
  <c r="G131" i="1"/>
  <c r="J130" i="1"/>
  <c r="G130" i="1"/>
  <c r="J129" i="1"/>
  <c r="G129" i="1"/>
  <c r="J128" i="1"/>
  <c r="G128" i="1"/>
  <c r="J125" i="1"/>
  <c r="G125" i="1"/>
  <c r="J124" i="1"/>
  <c r="G124" i="1"/>
  <c r="J123" i="1"/>
  <c r="G123" i="1"/>
  <c r="J122" i="1"/>
  <c r="G122" i="1"/>
  <c r="J121" i="1"/>
  <c r="G121" i="1"/>
  <c r="J120" i="1"/>
  <c r="G120" i="1"/>
  <c r="J119" i="1"/>
  <c r="G119" i="1"/>
  <c r="J118" i="1"/>
  <c r="G118" i="1"/>
  <c r="J117" i="1"/>
  <c r="G117" i="1"/>
  <c r="J116" i="1"/>
  <c r="G116" i="1"/>
  <c r="J115" i="1"/>
  <c r="G115" i="1"/>
  <c r="J114" i="1"/>
  <c r="G114" i="1"/>
  <c r="J113" i="1"/>
  <c r="G113" i="1"/>
  <c r="J112" i="1"/>
  <c r="G112" i="1"/>
  <c r="J111" i="1"/>
  <c r="G111" i="1"/>
  <c r="J110" i="1"/>
  <c r="G110" i="1"/>
  <c r="J107" i="1"/>
  <c r="G107" i="1"/>
  <c r="J106" i="1"/>
  <c r="G106" i="1"/>
  <c r="J105" i="1"/>
  <c r="G105" i="1"/>
  <c r="J104" i="1"/>
  <c r="G104" i="1"/>
  <c r="J103" i="1"/>
  <c r="G103" i="1"/>
  <c r="J102" i="1"/>
  <c r="G102" i="1"/>
  <c r="J101" i="1"/>
  <c r="G101" i="1"/>
  <c r="J100" i="1"/>
  <c r="G100" i="1"/>
  <c r="J99" i="1"/>
  <c r="G99" i="1"/>
  <c r="J98" i="1"/>
  <c r="G98" i="1"/>
  <c r="J97" i="1"/>
  <c r="G97" i="1"/>
  <c r="J96" i="1"/>
  <c r="G96" i="1"/>
  <c r="J95" i="1"/>
  <c r="G95" i="1"/>
  <c r="J94" i="1"/>
  <c r="G94" i="1"/>
  <c r="J93" i="1"/>
  <c r="G93" i="1"/>
  <c r="J92" i="1"/>
  <c r="G92" i="1"/>
  <c r="J89" i="1"/>
  <c r="G89" i="1"/>
  <c r="J88" i="1"/>
  <c r="G88" i="1"/>
  <c r="J87" i="1"/>
  <c r="G87" i="1"/>
  <c r="J86" i="1"/>
  <c r="G86" i="1"/>
  <c r="J85" i="1"/>
  <c r="G85" i="1"/>
  <c r="J84" i="1"/>
  <c r="G84" i="1"/>
  <c r="J83" i="1"/>
  <c r="G83" i="1"/>
  <c r="J82" i="1"/>
  <c r="G82" i="1"/>
  <c r="J81" i="1"/>
  <c r="G81" i="1"/>
  <c r="J80" i="1"/>
  <c r="G80" i="1"/>
  <c r="J79" i="1"/>
  <c r="G79" i="1"/>
  <c r="J78" i="1"/>
  <c r="G78" i="1"/>
  <c r="J77" i="1"/>
  <c r="G77" i="1"/>
  <c r="J76" i="1"/>
  <c r="G76" i="1"/>
  <c r="J75" i="1"/>
  <c r="G75" i="1"/>
  <c r="J74" i="1"/>
  <c r="G74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3" i="1"/>
  <c r="D53" i="1"/>
  <c r="J52" i="1"/>
  <c r="D52" i="1"/>
  <c r="J51" i="1"/>
  <c r="D51" i="1"/>
  <c r="J50" i="1"/>
  <c r="D50" i="1"/>
  <c r="J49" i="1"/>
  <c r="D49" i="1"/>
  <c r="J48" i="1"/>
  <c r="D48" i="1"/>
  <c r="J47" i="1"/>
  <c r="D47" i="1"/>
  <c r="J46" i="1"/>
  <c r="D46" i="1"/>
  <c r="J45" i="1"/>
  <c r="D45" i="1"/>
  <c r="J44" i="1"/>
  <c r="D44" i="1"/>
  <c r="J43" i="1"/>
  <c r="D43" i="1"/>
  <c r="J42" i="1"/>
  <c r="D42" i="1"/>
  <c r="J41" i="1"/>
  <c r="D41" i="1"/>
  <c r="J40" i="1"/>
  <c r="D40" i="1"/>
  <c r="J39" i="1"/>
  <c r="D39" i="1"/>
  <c r="J38" i="1"/>
  <c r="D38" i="1"/>
  <c r="J35" i="1"/>
  <c r="D35" i="1"/>
  <c r="J34" i="1"/>
  <c r="D34" i="1"/>
  <c r="J33" i="1"/>
  <c r="D33" i="1"/>
  <c r="J32" i="1"/>
  <c r="D32" i="1"/>
  <c r="J31" i="1"/>
  <c r="D31" i="1"/>
  <c r="J30" i="1"/>
  <c r="D30" i="1"/>
  <c r="J29" i="1"/>
  <c r="D29" i="1"/>
  <c r="J28" i="1"/>
  <c r="D28" i="1"/>
  <c r="J27" i="1"/>
  <c r="D27" i="1"/>
  <c r="J26" i="1"/>
  <c r="D26" i="1"/>
  <c r="J25" i="1"/>
  <c r="D25" i="1"/>
  <c r="J24" i="1"/>
  <c r="D24" i="1"/>
  <c r="J23" i="1"/>
  <c r="D23" i="1"/>
  <c r="J22" i="1"/>
  <c r="D22" i="1"/>
  <c r="J21" i="1"/>
  <c r="D21" i="1"/>
  <c r="J20" i="1"/>
  <c r="D20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K82" i="4" l="1"/>
  <c r="K52" i="4"/>
  <c r="K33" i="4"/>
  <c r="K76" i="4"/>
  <c r="K69" i="4"/>
  <c r="K59" i="4"/>
  <c r="K50" i="4"/>
  <c r="M27" i="4"/>
  <c r="K78" i="4"/>
  <c r="K49" i="4"/>
  <c r="K44" i="4"/>
  <c r="K73" i="4" l="1"/>
  <c r="K47" i="4"/>
  <c r="K57" i="4"/>
  <c r="K67" i="4"/>
  <c r="K53" i="4"/>
  <c r="K37" i="4"/>
  <c r="K55" i="4"/>
  <c r="K65" i="4"/>
  <c r="K80" i="4"/>
  <c r="K30" i="4"/>
  <c r="K27" i="4"/>
  <c r="N26" i="4"/>
  <c r="L26" i="4"/>
  <c r="N33" i="4"/>
  <c r="L33" i="4"/>
  <c r="N44" i="4"/>
  <c r="L44" i="4"/>
  <c r="N52" i="4"/>
  <c r="L52" i="4"/>
  <c r="N49" i="4"/>
  <c r="L49" i="4"/>
  <c r="N54" i="4"/>
  <c r="L54" i="4"/>
  <c r="N78" i="4"/>
  <c r="L78" i="4"/>
  <c r="N73" i="4"/>
  <c r="L73" i="4"/>
  <c r="M30" i="4"/>
  <c r="M42" i="4"/>
  <c r="M51" i="4"/>
  <c r="M60" i="4"/>
  <c r="M70" i="4"/>
  <c r="M77" i="4"/>
  <c r="M61" i="4"/>
  <c r="K36" i="4"/>
  <c r="K43" i="4"/>
  <c r="K84" i="4"/>
  <c r="L36" i="4"/>
  <c r="N36" i="4"/>
  <c r="L43" i="4"/>
  <c r="N43" i="4"/>
  <c r="L50" i="4"/>
  <c r="N50" i="4"/>
  <c r="N59" i="4"/>
  <c r="L59" i="4"/>
  <c r="N69" i="4"/>
  <c r="L69" i="4"/>
  <c r="N76" i="4"/>
  <c r="L76" i="4"/>
  <c r="L84" i="4"/>
  <c r="N84" i="4"/>
  <c r="M29" i="4"/>
  <c r="M40" i="4"/>
  <c r="M48" i="4"/>
  <c r="M58" i="4"/>
  <c r="M68" i="4"/>
  <c r="M75" i="4"/>
  <c r="M85" i="4"/>
  <c r="K34" i="4"/>
  <c r="K41" i="4"/>
  <c r="N25" i="4"/>
  <c r="L25" i="4"/>
  <c r="N29" i="4"/>
  <c r="L29" i="4"/>
  <c r="N38" i="4"/>
  <c r="L38" i="4"/>
  <c r="L40" i="4"/>
  <c r="N40" i="4"/>
  <c r="N39" i="4"/>
  <c r="L39" i="4"/>
  <c r="N48" i="4"/>
  <c r="L48" i="4"/>
  <c r="L35" i="4"/>
  <c r="N35" i="4"/>
  <c r="N58" i="4"/>
  <c r="L58" i="4"/>
  <c r="N63" i="4"/>
  <c r="L63" i="4"/>
  <c r="N68" i="4"/>
  <c r="L68" i="4"/>
  <c r="N71" i="4"/>
  <c r="L71" i="4"/>
  <c r="N75" i="4"/>
  <c r="L75" i="4"/>
  <c r="N79" i="4"/>
  <c r="L79" i="4"/>
  <c r="N85" i="4"/>
  <c r="L85" i="4"/>
  <c r="M26" i="4"/>
  <c r="M34" i="4"/>
  <c r="M33" i="4"/>
  <c r="M41" i="4"/>
  <c r="M44" i="4"/>
  <c r="M47" i="4"/>
  <c r="M52" i="4"/>
  <c r="M57" i="4"/>
  <c r="M49" i="4"/>
  <c r="M67" i="4"/>
  <c r="M54" i="4"/>
  <c r="M53" i="4"/>
  <c r="M78" i="4"/>
  <c r="M82" i="4"/>
  <c r="M73" i="4"/>
  <c r="K31" i="4"/>
  <c r="K38" i="4"/>
  <c r="K40" i="4"/>
  <c r="K39" i="4"/>
  <c r="K48" i="4"/>
  <c r="K35" i="4"/>
  <c r="K58" i="4"/>
  <c r="K63" i="4"/>
  <c r="K68" i="4"/>
  <c r="K71" i="4"/>
  <c r="K75" i="4"/>
  <c r="K79" i="4"/>
  <c r="K85" i="4"/>
  <c r="L27" i="4"/>
  <c r="N27" i="4"/>
  <c r="N34" i="4"/>
  <c r="L34" i="4"/>
  <c r="N41" i="4"/>
  <c r="L41" i="4"/>
  <c r="N47" i="4"/>
  <c r="L47" i="4"/>
  <c r="N57" i="4"/>
  <c r="L57" i="4"/>
  <c r="N67" i="4"/>
  <c r="L67" i="4"/>
  <c r="N53" i="4"/>
  <c r="L53" i="4"/>
  <c r="N82" i="4"/>
  <c r="L82" i="4"/>
  <c r="M31" i="4"/>
  <c r="M32" i="4"/>
  <c r="M46" i="4"/>
  <c r="M56" i="4"/>
  <c r="M66" i="4"/>
  <c r="M74" i="4"/>
  <c r="M81" i="4"/>
  <c r="K28" i="4"/>
  <c r="K45" i="4"/>
  <c r="K72" i="4"/>
  <c r="N28" i="4"/>
  <c r="L28" i="4"/>
  <c r="N37" i="4"/>
  <c r="L37" i="4"/>
  <c r="N45" i="4"/>
  <c r="L45" i="4"/>
  <c r="N55" i="4"/>
  <c r="L55" i="4"/>
  <c r="N65" i="4"/>
  <c r="L65" i="4"/>
  <c r="L72" i="4"/>
  <c r="N72" i="4"/>
  <c r="N80" i="4"/>
  <c r="L80" i="4"/>
  <c r="M25" i="4"/>
  <c r="M38" i="4"/>
  <c r="M39" i="4"/>
  <c r="M35" i="4"/>
  <c r="M63" i="4"/>
  <c r="M71" i="4"/>
  <c r="M79" i="4"/>
  <c r="K26" i="4"/>
  <c r="K54" i="4"/>
  <c r="L31" i="4"/>
  <c r="N31" i="4"/>
  <c r="N30" i="4"/>
  <c r="L30" i="4"/>
  <c r="N32" i="4"/>
  <c r="L32" i="4"/>
  <c r="N42" i="4"/>
  <c r="L42" i="4"/>
  <c r="N46" i="4"/>
  <c r="L46" i="4"/>
  <c r="N51" i="4"/>
  <c r="L51" i="4"/>
  <c r="L56" i="4"/>
  <c r="N56" i="4"/>
  <c r="L60" i="4"/>
  <c r="N60" i="4"/>
  <c r="L66" i="4"/>
  <c r="N66" i="4"/>
  <c r="L70" i="4"/>
  <c r="N70" i="4"/>
  <c r="N74" i="4"/>
  <c r="L74" i="4"/>
  <c r="L77" i="4"/>
  <c r="N77" i="4"/>
  <c r="N81" i="4"/>
  <c r="L81" i="4"/>
  <c r="L61" i="4"/>
  <c r="N61" i="4"/>
  <c r="M28" i="4"/>
  <c r="M36" i="4"/>
  <c r="M37" i="4"/>
  <c r="M43" i="4"/>
  <c r="M45" i="4"/>
  <c r="M50" i="4"/>
  <c r="M55" i="4"/>
  <c r="M59" i="4"/>
  <c r="M65" i="4"/>
  <c r="M69" i="4"/>
  <c r="M72" i="4"/>
  <c r="M76" i="4"/>
  <c r="M80" i="4"/>
  <c r="M84" i="4"/>
  <c r="K25" i="4"/>
  <c r="K29" i="4"/>
  <c r="K32" i="4"/>
  <c r="K42" i="4"/>
  <c r="K46" i="4"/>
  <c r="K51" i="4"/>
  <c r="K56" i="4"/>
  <c r="K60" i="4"/>
  <c r="K66" i="4"/>
  <c r="K70" i="4"/>
  <c r="K74" i="4"/>
  <c r="K77" i="4"/>
  <c r="K81" i="4"/>
  <c r="K61" i="4"/>
</calcChain>
</file>

<file path=xl/sharedStrings.xml><?xml version="1.0" encoding="utf-8"?>
<sst xmlns="http://schemas.openxmlformats.org/spreadsheetml/2006/main" count="1274" uniqueCount="160">
  <si>
    <t>River Plate PR Ponce</t>
  </si>
  <si>
    <t>FC Arsenal de Sarandí</t>
  </si>
  <si>
    <t>Milan Associazione Calcio</t>
  </si>
  <si>
    <t>Stiffteam</t>
  </si>
  <si>
    <t>Hrabuvka ghetto</t>
  </si>
  <si>
    <t>Fc Mendoza Red devil</t>
  </si>
  <si>
    <t>Boca Juniors</t>
  </si>
  <si>
    <t>Seatrend</t>
  </si>
  <si>
    <t>Zebronov</t>
  </si>
  <si>
    <t>FCFC</t>
  </si>
  <si>
    <t>Ultras Sparta Praha</t>
  </si>
  <si>
    <t>SC Highcastle Rovers</t>
  </si>
  <si>
    <t>FC Mendosa</t>
  </si>
  <si>
    <t>FC Bambusové výhonky</t>
  </si>
  <si>
    <t>volný</t>
  </si>
  <si>
    <t>3. sezona</t>
  </si>
  <si>
    <t>4. sezona</t>
  </si>
  <si>
    <t>Cacciatore de Sársfield F.C.</t>
  </si>
  <si>
    <t>SK Berani Senomaty</t>
  </si>
  <si>
    <t>Boca Bryans</t>
  </si>
  <si>
    <t>Liga maester</t>
  </si>
  <si>
    <t>FC SPRAYRI</t>
  </si>
  <si>
    <t>5. sezona</t>
  </si>
  <si>
    <t>Boca Quadre</t>
  </si>
  <si>
    <t>FC Velenovy</t>
  </si>
  <si>
    <t>TJ Veča</t>
  </si>
  <si>
    <t>6. sezona</t>
  </si>
  <si>
    <t>ACS zewlteam</t>
  </si>
  <si>
    <t>Colorado Avalanche</t>
  </si>
  <si>
    <t>7. sezona</t>
  </si>
  <si>
    <t>Las Palmas</t>
  </si>
  <si>
    <t>8. sezona</t>
  </si>
  <si>
    <t>FC Petrůvka</t>
  </si>
  <si>
    <t>FC Boca Pupíci</t>
  </si>
  <si>
    <t>Tým bez manažera</t>
  </si>
  <si>
    <t>9. sezona</t>
  </si>
  <si>
    <t>Rinnegatos de Picudo Sombreros</t>
  </si>
  <si>
    <t>10. sezona</t>
  </si>
  <si>
    <t>Cf Altiero</t>
  </si>
  <si>
    <t>Jaguares de C. A. Barca Juniors</t>
  </si>
  <si>
    <t>11. sezona</t>
  </si>
  <si>
    <t>AFK SPARTAK KBELY 1921</t>
  </si>
  <si>
    <t>12. sezona</t>
  </si>
  <si>
    <t>FC Bulldogs Chomutov</t>
  </si>
  <si>
    <t>13. sezona</t>
  </si>
  <si>
    <t>Jaguares de C. A. Independiente</t>
  </si>
  <si>
    <t>14. sezona</t>
  </si>
  <si>
    <t>Cf Sportísimo Andarin Flecha HK</t>
  </si>
  <si>
    <t>AFC Tygress de Monýsek</t>
  </si>
  <si>
    <t>15. sezona</t>
  </si>
  <si>
    <t>Apatchi</t>
  </si>
  <si>
    <t>Club Estudiantes</t>
  </si>
  <si>
    <t>Pamplona</t>
  </si>
  <si>
    <t>Lustigen</t>
  </si>
  <si>
    <t>16. sezona</t>
  </si>
  <si>
    <t>CA Villerías</t>
  </si>
  <si>
    <t>Lazceteam</t>
  </si>
  <si>
    <t>17. sezona</t>
  </si>
  <si>
    <t>CA Boca Juniors</t>
  </si>
  <si>
    <t>Vaca Ratíškovice CF</t>
  </si>
  <si>
    <t>18. sezona</t>
  </si>
  <si>
    <t>R.U.M. Cataratas del Iguazú</t>
  </si>
  <si>
    <t>1. FC Zdislavice Crew</t>
  </si>
  <si>
    <t>19. sezona</t>
  </si>
  <si>
    <t>Colón de Santa Fe</t>
  </si>
  <si>
    <t>FC Real Medlov</t>
  </si>
  <si>
    <t>20. sezona</t>
  </si>
  <si>
    <t>Fk Tábor</t>
  </si>
  <si>
    <t>.DNB.</t>
  </si>
  <si>
    <t>21. sezona</t>
  </si>
  <si>
    <t>San Lorenzo</t>
  </si>
  <si>
    <t>Club Deportivo Philly de Žatec</t>
  </si>
  <si>
    <t>1.FC Zdislavice Crew</t>
  </si>
  <si>
    <t>fc jiskra burani</t>
  </si>
  <si>
    <t>22. sezona</t>
  </si>
  <si>
    <t>23. sezona</t>
  </si>
  <si>
    <t>FC Independiente West Vroutek</t>
  </si>
  <si>
    <t>24. sezona</t>
  </si>
  <si>
    <t>I. Liga</t>
  </si>
  <si>
    <t>nejvíce zápasů</t>
  </si>
  <si>
    <t>nejvíce remíz</t>
  </si>
  <si>
    <t>nejvíce proher</t>
  </si>
  <si>
    <t>nejvíce výher</t>
  </si>
  <si>
    <t>nejvíce daných branek</t>
  </si>
  <si>
    <t>nejvíce obdržených branek</t>
  </si>
  <si>
    <t>nejvíce bodů</t>
  </si>
  <si>
    <t>procento úspěšnosti výhry</t>
  </si>
  <si>
    <t>nejvyšší průměr daných</t>
  </si>
  <si>
    <t>nejnižší průměr obdržených</t>
  </si>
  <si>
    <t>největší brankový rozdíl</t>
  </si>
  <si>
    <t>nejmenší brankový rozdíl</t>
  </si>
  <si>
    <t>25. sezona</t>
  </si>
  <si>
    <t>Zdislavice Crew</t>
  </si>
  <si>
    <t>MGK Telapet of the world</t>
  </si>
  <si>
    <t>26. sezona</t>
  </si>
  <si>
    <t>River Plate Vysoká FK</t>
  </si>
  <si>
    <t>kolikrát mistr</t>
  </si>
  <si>
    <t>nejvíc výher za sezonu</t>
  </si>
  <si>
    <t>nejvíc vstřelených za sezonu</t>
  </si>
  <si>
    <t>nejméně obdržených za sezonu</t>
  </si>
  <si>
    <t>nejvíc bodů za sezonu</t>
  </si>
  <si>
    <t>bedna 1-2-3</t>
  </si>
  <si>
    <t>mistři</t>
  </si>
  <si>
    <t>18. sezona FC Boca Pupíci 28</t>
  </si>
  <si>
    <t>vstřelené branky</t>
  </si>
  <si>
    <t>výhry</t>
  </si>
  <si>
    <t>16. sezona SK Berani Senomaty 163</t>
  </si>
  <si>
    <t>obdržené branky</t>
  </si>
  <si>
    <t>14. sezona FC Velenovy 8</t>
  </si>
  <si>
    <t>dosažené body</t>
  </si>
  <si>
    <t>18. sezona FC Boca Pupíci 85</t>
  </si>
  <si>
    <t>27. sezona</t>
  </si>
  <si>
    <t>Tatran Smiřice</t>
  </si>
  <si>
    <t>28. sezona</t>
  </si>
  <si>
    <t>C.A. All Boys Vršovice</t>
  </si>
  <si>
    <t>CA Koudy Sarsfield</t>
  </si>
  <si>
    <t>tým</t>
  </si>
  <si>
    <t>pg</t>
  </si>
  <si>
    <t>w</t>
  </si>
  <si>
    <t>t</t>
  </si>
  <si>
    <t>l</t>
  </si>
  <si>
    <t>gs</t>
  </si>
  <si>
    <t>ga</t>
  </si>
  <si>
    <t>pts</t>
  </si>
  <si>
    <t>perc</t>
  </si>
  <si>
    <t>gaavg</t>
  </si>
  <si>
    <t>gsavg</t>
  </si>
  <si>
    <t>diff</t>
  </si>
  <si>
    <t>Buldoci United</t>
  </si>
  <si>
    <t>29. sezona</t>
  </si>
  <si>
    <t>FK Dubnice</t>
  </si>
  <si>
    <t>SouthCity United</t>
  </si>
  <si>
    <t>30. sezona</t>
  </si>
  <si>
    <t>_TBM River Plate Vysoká FK</t>
  </si>
  <si>
    <t>31. sezona</t>
  </si>
  <si>
    <t>720 FC Boca Pupíci, FC Petrůvka</t>
  </si>
  <si>
    <t>486 FC Boca Pupíci</t>
  </si>
  <si>
    <t>94 SK Berani Senomaty</t>
  </si>
  <si>
    <t>273 Pamplona</t>
  </si>
  <si>
    <t>2180 FC Boca Pupíci</t>
  </si>
  <si>
    <t>1210 Pamplona</t>
  </si>
  <si>
    <t>1542 FC Boca Pupíci</t>
  </si>
  <si>
    <t>74,0 % San Lorenzo</t>
  </si>
  <si>
    <t>3,13 SK Berani Senomaty</t>
  </si>
  <si>
    <t>0,90 SK Berani Senomaty</t>
  </si>
  <si>
    <t>1535 SK Berani Senomaty</t>
  </si>
  <si>
    <t>minus 763 Pamplona</t>
  </si>
  <si>
    <t>pozice</t>
  </si>
  <si>
    <t>zlato</t>
  </si>
  <si>
    <t>stříbro</t>
  </si>
  <si>
    <t>bronz</t>
  </si>
  <si>
    <t>FC Petrůvka*</t>
  </si>
  <si>
    <t>FC Bulldogs Chomutov*</t>
  </si>
  <si>
    <t>FC Boca Pupíci*</t>
  </si>
  <si>
    <t>Colón de Santa Fe*</t>
  </si>
  <si>
    <t>rozdil umisteni</t>
  </si>
  <si>
    <t>32. sezona</t>
  </si>
  <si>
    <t>FC Buenos Aires 2011</t>
  </si>
  <si>
    <t>Zdislavice Crew*</t>
  </si>
  <si>
    <t>po 32. sezone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</si>
</sst>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7" x14ac:knownFonts="1">
    <font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sz val="11"/>
      <color rgb="FF3E3E3E"/>
      <name val="Tahoma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NumberFormat="1"/>
    <xf numFmtId="0" fontId="0" fillId="2" borderId="0" xfId="0" applyFill="1"/>
    <xf numFmtId="0" fontId="0" fillId="0" borderId="0" xfId="0" applyFill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Fill="1" applyBorder="1"/>
    <xf numFmtId="2" fontId="0" fillId="0" borderId="0" xfId="0" applyNumberFormat="1"/>
    <xf numFmtId="2" fontId="0" fillId="2" borderId="0" xfId="0" applyNumberFormat="1" applyFill="1"/>
    <xf numFmtId="2" fontId="1" fillId="0" borderId="0" xfId="0" applyNumberFormat="1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1" fontId="0" fillId="0" borderId="0" xfId="0" applyNumberFormat="1" applyAlignment="1">
      <alignment vertical="center" wrapText="1"/>
    </xf>
    <xf numFmtId="1" fontId="2" fillId="0" borderId="0" xfId="0" applyNumberFormat="1" applyFont="1"/>
    <xf numFmtId="2" fontId="0" fillId="0" borderId="0" xfId="0" applyNumberFormat="1" applyFill="1"/>
    <xf numFmtId="2" fontId="1" fillId="0" borderId="0" xfId="0" applyNumberFormat="1" applyFont="1" applyFill="1"/>
    <xf numFmtId="0" fontId="6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4" fontId="0" fillId="0" borderId="0" xfId="0" applyNumberFormat="1"/>
    <xf numFmtId="2" fontId="2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Fill="1" applyAlignment="1">
      <alignment horizontal="center"/>
    </xf>
    <xf numFmtId="0" fontId="0" fillId="2" borderId="0" xfId="0" applyFill="1" applyAlignment="1">
      <alignment horizontal="center"/>
    </xf>
    <xf numFmtId="2" fontId="0" fillId="2" borderId="0" xfId="0" applyNumberFormat="1" applyFill="1" applyAlignment="1">
      <alignment horizontal="center"/>
    </xf>
    <xf numFmtId="2" fontId="1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brejk.cz/index.php?p=zapas_zapas&amp;zapas=590897" TargetMode="External"/><Relationship Id="rId3" Type="http://schemas.openxmlformats.org/officeDocument/2006/relationships/hyperlink" Target="http://www.brejk.cz/index.php?p=zapas_zapas&amp;zapas=590894" TargetMode="External"/><Relationship Id="rId7" Type="http://schemas.openxmlformats.org/officeDocument/2006/relationships/image" Target="../media/image3.gif"/><Relationship Id="rId2" Type="http://schemas.openxmlformats.org/officeDocument/2006/relationships/image" Target="../media/image1.gif"/><Relationship Id="rId1" Type="http://schemas.openxmlformats.org/officeDocument/2006/relationships/hyperlink" Target="http://www.brejk.cz/index.php?p=zapas_zapas&amp;zapas=590893" TargetMode="External"/><Relationship Id="rId6" Type="http://schemas.openxmlformats.org/officeDocument/2006/relationships/image" Target="../media/image2.gif"/><Relationship Id="rId5" Type="http://schemas.openxmlformats.org/officeDocument/2006/relationships/hyperlink" Target="http://www.brejk.cz/index.php?p=zapas_zapas&amp;zapas=590896" TargetMode="External"/><Relationship Id="rId4" Type="http://schemas.openxmlformats.org/officeDocument/2006/relationships/hyperlink" Target="http://www.brejk.cz/index.php?p=zapas_zapas&amp;zapas=590895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82" name="Picture 81" descr="http://www.brejk.cz/images/stavW_small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5100" y="85915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83" name="Picture 82" descr="http://www.brejk.cz/images/stavW_small.gif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9400" y="85915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84" name="Picture 83" descr="http://www.brejk.cz/images/stavW_small.gif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85915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85" name="Picture 84" descr="http://www.brejk.cz/images/stavW_small.gif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85915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86" name="Picture 85" descr="http://www.brejk.cz/images/stavW_small.gif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2300" y="85915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87" name="Picture 86" descr="http://www.brejk.cz/images/stavL_small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5100" y="86106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88" name="Picture 87" descr="http://www.brejk.cz/images/stavL_small.gif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9400" y="86106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89" name="Picture 88" descr="http://www.brejk.cz/images/stavW_small.gif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86106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90" name="Picture 89" descr="http://www.brejk.cz/images/stavW_small.gif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86106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91" name="Picture 90" descr="http://www.brejk.cz/images/stavD_small.gif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2300" y="86106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92" name="Picture 91" descr="http://www.brejk.cz/images/stavL_small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5100" y="86296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93" name="Picture 92" descr="http://www.brejk.cz/images/stavW_small.gif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9400" y="86296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94" name="Picture 93" descr="http://www.brejk.cz/images/stavD_small.gif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86296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95" name="Picture 94" descr="http://www.brejk.cz/images/stavD_small.gif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86296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96" name="Picture 95" descr="http://www.brejk.cz/images/stavD_small.gif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2300" y="86296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97" name="Picture 96" descr="http://www.brejk.cz/images/stavW_small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5100" y="86487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98" name="Picture 97" descr="http://www.brejk.cz/images/stavW_small.gif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9400" y="86487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99" name="Picture 98" descr="http://www.brejk.cz/images/stavL_small.gif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86487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00" name="Picture 99" descr="http://www.brejk.cz/images/stavW_small.gif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86487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01" name="Picture 100" descr="http://www.brejk.cz/images/stavD_small.gif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2300" y="86487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02" name="Picture 101" descr="http://www.brejk.cz/images/stavW_small.gif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5100" y="86677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03" name="Picture 102" descr="http://www.brejk.cz/images/stavL_small.gif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9400" y="86677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04" name="Picture 103" descr="http://www.brejk.cz/images/stavW_small.gif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86677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05" name="Picture 104" descr="http://www.brejk.cz/images/stavD_small.gif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86677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06" name="Picture 105" descr="http://www.brejk.cz/images/stavW_small.gif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2300" y="86677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07" name="Picture 106" descr="http://www.brejk.cz/images/stavW_small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5100" y="86868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08" name="Picture 107" descr="http://www.brejk.cz/images/stavW_small.gif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9400" y="86868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09" name="Picture 108" descr="http://www.brejk.cz/images/stavW_small.gif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86868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10" name="Picture 109" descr="http://www.brejk.cz/images/stavD_small.gif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86868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11" name="Picture 110" descr="http://www.brejk.cz/images/stavL_small.gif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2300" y="86868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12" name="Picture 111" descr="http://www.brejk.cz/images/stavW_small.gif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5100" y="87058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13" name="Picture 112" descr="http://www.brejk.cz/images/stavW_small.gif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9400" y="87058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14" name="Picture 113" descr="http://www.brejk.cz/images/stavW_small.gif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87058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15" name="Picture 114" descr="http://www.brejk.cz/images/stavW_small.gif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87058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16" name="Picture 115" descr="http://www.brejk.cz/images/stavD_small.gif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2300" y="87058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17" name="Picture 116" descr="http://www.brejk.cz/images/stavL_small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5100" y="87249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18" name="Picture 117" descr="http://www.brejk.cz/images/stavL_small.gif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9400" y="87249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19" name="Picture 118" descr="http://www.brejk.cz/images/stavD_small.gif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87249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20" name="Picture 119" descr="http://www.brejk.cz/images/stavW_small.gif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87249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21" name="Picture 120" descr="http://www.brejk.cz/images/stavW_small.gif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2300" y="87249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22" name="Picture 121" descr="http://www.brejk.cz/images/stavL_small.gif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5100" y="87439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23" name="Picture 122" descr="http://www.brejk.cz/images/stavW_small.gif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9400" y="87439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24" name="Picture 123" descr="http://www.brejk.cz/images/stavL_small.gif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87439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25" name="Picture 124" descr="http://www.brejk.cz/images/stavL_small.gif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87439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26" name="Picture 125" descr="http://www.brejk.cz/images/stavD_small.gif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2300" y="87439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27" name="Picture 126" descr="http://www.brejk.cz/images/stavW_small.gif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5100" y="87630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28" name="Picture 127" descr="http://www.brejk.cz/images/stavL_small.gif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9400" y="87630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29" name="Picture 128" descr="http://www.brejk.cz/images/stavL_small.gif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87630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30" name="Picture 129" descr="http://www.brejk.cz/images/stavD_small.gif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87630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31" name="Picture 130" descr="http://www.brejk.cz/images/stavD_small.gif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2300" y="87630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32" name="Picture 131" descr="http://www.brejk.cz/images/stavL_small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5100" y="87820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33" name="Picture 132" descr="http://www.brejk.cz/images/stavW_small.gif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9400" y="87820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34" name="Picture 133" descr="http://www.brejk.cz/images/stavL_small.gif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87820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35" name="Picture 134" descr="http://www.brejk.cz/images/stavL_small.gif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87820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36" name="Picture 135" descr="http://www.brejk.cz/images/stavL_small.gif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2300" y="87820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37" name="Picture 136" descr="http://www.brejk.cz/images/stavL_small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5100" y="88011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38" name="Picture 137" descr="http://www.brejk.cz/images/stavW_small.gif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9400" y="88011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39" name="Picture 138" descr="http://www.brejk.cz/images/stavD_small.gif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88011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40" name="Picture 139" descr="http://www.brejk.cz/images/stavL_small.gif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88011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41" name="Picture 140" descr="http://www.brejk.cz/images/stavL_small.gif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2300" y="88011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42" name="Picture 141" descr="http://www.brejk.cz/images/stavW_small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5100" y="88201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43" name="Picture 142" descr="http://www.brejk.cz/images/stavL_small.gif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9400" y="88201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44" name="Picture 143" descr="http://www.brejk.cz/images/stavW_small.gif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88201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45" name="Picture 144" descr="http://www.brejk.cz/images/stavW_small.gif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88201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46" name="Picture 145" descr="http://www.brejk.cz/images/stavL_small.gif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2300" y="88201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47" name="Picture 146" descr="http://www.brejk.cz/images/stavL_small.gif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5100" y="88392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48" name="Picture 147" descr="http://www.brejk.cz/images/stavL_small.gif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9400" y="88392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49" name="Picture 148" descr="http://www.brejk.cz/images/stavL_small.gif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88392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50" name="Picture 149" descr="http://www.brejk.cz/images/stavL_small.gif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88392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51" name="Picture 150" descr="http://www.brejk.cz/images/stavW_small.gif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2300" y="88392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52" name="Picture 151" descr="http://www.brejk.cz/images/stavW_small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5100" y="88582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53" name="Picture 152" descr="http://www.brejk.cz/images/stavL_small.gif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9400" y="88582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54" name="Picture 153" descr="http://www.brejk.cz/images/stavD_small.gif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88582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55" name="Picture 154" descr="http://www.brejk.cz/images/stavL_small.gif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88582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56" name="Picture 155" descr="http://www.brejk.cz/images/stavW_small.gif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2300" y="88582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57" name="Picture 156" descr="http://www.brejk.cz/images/stavL_small.gif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5100" y="88773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58" name="Picture 157" descr="http://www.brejk.cz/images/stavL_small.gif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9400" y="88773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59" name="Picture 158" descr="http://www.brejk.cz/images/stavL_small.gif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88773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60" name="Picture 159" descr="http://www.brejk.cz/images/stavL_small.gif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88773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61" name="Picture 160" descr="http://www.brejk.cz/images/stavL_small.gif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2300" y="88773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brejk.cz/index.php?p=info_tym&amp;tym=11343" TargetMode="External"/><Relationship Id="rId13" Type="http://schemas.openxmlformats.org/officeDocument/2006/relationships/hyperlink" Target="http://www.brejk.cz/index.php?p=info_tym&amp;tym=58747" TargetMode="External"/><Relationship Id="rId18" Type="http://schemas.openxmlformats.org/officeDocument/2006/relationships/drawing" Target="../drawings/drawing1.xml"/><Relationship Id="rId3" Type="http://schemas.openxmlformats.org/officeDocument/2006/relationships/hyperlink" Target="http://www.brejk.cz/index.php?p=info_tym&amp;tym=28627" TargetMode="External"/><Relationship Id="rId7" Type="http://schemas.openxmlformats.org/officeDocument/2006/relationships/hyperlink" Target="http://www.brejk.cz/index.php?p=info_tym&amp;tym=26357" TargetMode="External"/><Relationship Id="rId12" Type="http://schemas.openxmlformats.org/officeDocument/2006/relationships/hyperlink" Target="http://www.brejk.cz/index.php?p=info_tym&amp;tym=10378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http://www.brejk.cz/index.php?p=info_tym&amp;tym=8698" TargetMode="External"/><Relationship Id="rId16" Type="http://schemas.openxmlformats.org/officeDocument/2006/relationships/hyperlink" Target="http://www.brejk.cz/index.php?p=info_tym&amp;tym=30073" TargetMode="External"/><Relationship Id="rId1" Type="http://schemas.openxmlformats.org/officeDocument/2006/relationships/hyperlink" Target="http://www.brejk.cz/index.php?p=info_tym&amp;tym=37319" TargetMode="External"/><Relationship Id="rId6" Type="http://schemas.openxmlformats.org/officeDocument/2006/relationships/hyperlink" Target="http://www.brejk.cz/index.php?p=info_tym&amp;tym=16197" TargetMode="External"/><Relationship Id="rId11" Type="http://schemas.openxmlformats.org/officeDocument/2006/relationships/hyperlink" Target="http://www.brejk.cz/index.php?p=info_tym&amp;tym=23549" TargetMode="External"/><Relationship Id="rId5" Type="http://schemas.openxmlformats.org/officeDocument/2006/relationships/hyperlink" Target="http://www.brejk.cz/index.php?p=info_tym&amp;tym=9741" TargetMode="External"/><Relationship Id="rId15" Type="http://schemas.openxmlformats.org/officeDocument/2006/relationships/hyperlink" Target="http://www.brejk.cz/index.php?p=info_tym&amp;tym=49193" TargetMode="External"/><Relationship Id="rId10" Type="http://schemas.openxmlformats.org/officeDocument/2006/relationships/hyperlink" Target="http://www.brejk.cz/index.php?p=info_tym&amp;tym=58587" TargetMode="External"/><Relationship Id="rId4" Type="http://schemas.openxmlformats.org/officeDocument/2006/relationships/hyperlink" Target="http://www.brejk.cz/index.php?p=info_tym&amp;tym=26787" TargetMode="External"/><Relationship Id="rId9" Type="http://schemas.openxmlformats.org/officeDocument/2006/relationships/hyperlink" Target="http://www.brejk.cz/index.php?p=info_tym&amp;tym=18813" TargetMode="External"/><Relationship Id="rId14" Type="http://schemas.openxmlformats.org/officeDocument/2006/relationships/hyperlink" Target="http://www.brejk.cz/index.php?p=info_tym&amp;tym=5867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1"/>
  <sheetViews>
    <sheetView workbookViewId="0">
      <selection activeCell="I476" sqref="I476"/>
    </sheetView>
  </sheetViews>
  <sheetFormatPr defaultRowHeight="15" x14ac:dyDescent="0.25"/>
  <cols>
    <col min="2" max="2" width="3" bestFit="1" customWidth="1"/>
    <col min="3" max="3" width="30.7109375" bestFit="1" customWidth="1"/>
    <col min="10" max="10" width="9.140625" style="1"/>
    <col min="11" max="13" width="5.85546875" customWidth="1"/>
    <col min="14" max="14" width="4" style="6" bestFit="1" customWidth="1"/>
    <col min="15" max="15" width="4" bestFit="1" customWidth="1"/>
    <col min="16" max="16" width="3" bestFit="1" customWidth="1"/>
    <col min="17" max="17" width="4" bestFit="1" customWidth="1"/>
    <col min="18" max="18" width="5" bestFit="1" customWidth="1"/>
    <col min="19" max="19" width="4" bestFit="1" customWidth="1"/>
  </cols>
  <sheetData>
    <row r="1" spans="2:10" x14ac:dyDescent="0.25">
      <c r="B1" s="33" t="s">
        <v>15</v>
      </c>
      <c r="C1" s="33"/>
      <c r="D1" s="33"/>
      <c r="E1" s="33"/>
      <c r="F1" s="33"/>
      <c r="G1" s="33"/>
      <c r="H1" s="33"/>
      <c r="I1" s="33"/>
      <c r="J1" s="33"/>
    </row>
    <row r="2" spans="2:10" x14ac:dyDescent="0.25">
      <c r="B2">
        <v>1</v>
      </c>
      <c r="C2" s="2" t="s">
        <v>0</v>
      </c>
      <c r="D2" s="2">
        <f>E2+F2+G2</f>
        <v>30</v>
      </c>
      <c r="E2" s="2">
        <v>22</v>
      </c>
      <c r="F2" s="2">
        <v>2</v>
      </c>
      <c r="G2" s="2">
        <v>6</v>
      </c>
      <c r="H2" s="2">
        <v>57</v>
      </c>
      <c r="I2" s="2">
        <v>25</v>
      </c>
      <c r="J2" s="3">
        <f>E2*3+F2*1</f>
        <v>68</v>
      </c>
    </row>
    <row r="3" spans="2:10" x14ac:dyDescent="0.25">
      <c r="B3">
        <v>2</v>
      </c>
      <c r="C3" s="2" t="s">
        <v>1</v>
      </c>
      <c r="D3" s="2">
        <f t="shared" ref="D3:D17" si="0">E3+F3+G3</f>
        <v>30</v>
      </c>
      <c r="E3" s="2">
        <v>18</v>
      </c>
      <c r="F3" s="2">
        <v>4</v>
      </c>
      <c r="G3" s="2">
        <v>8</v>
      </c>
      <c r="H3" s="2">
        <v>60</v>
      </c>
      <c r="I3" s="2">
        <v>44</v>
      </c>
      <c r="J3" s="3">
        <f t="shared" ref="J3:J17" si="1">E3*3+F3*1</f>
        <v>58</v>
      </c>
    </row>
    <row r="4" spans="2:10" x14ac:dyDescent="0.25">
      <c r="B4">
        <v>3</v>
      </c>
      <c r="C4" s="2" t="s">
        <v>2</v>
      </c>
      <c r="D4" s="2">
        <f t="shared" si="0"/>
        <v>30</v>
      </c>
      <c r="E4" s="2">
        <v>16</v>
      </c>
      <c r="F4" s="2">
        <v>4</v>
      </c>
      <c r="G4" s="2">
        <v>10</v>
      </c>
      <c r="H4" s="2">
        <v>61</v>
      </c>
      <c r="I4" s="2">
        <v>38</v>
      </c>
      <c r="J4" s="3">
        <f t="shared" si="1"/>
        <v>52</v>
      </c>
    </row>
    <row r="5" spans="2:10" x14ac:dyDescent="0.25">
      <c r="B5">
        <v>4</v>
      </c>
      <c r="C5" s="2" t="s">
        <v>3</v>
      </c>
      <c r="D5" s="2">
        <f t="shared" si="0"/>
        <v>30</v>
      </c>
      <c r="E5" s="2">
        <v>15</v>
      </c>
      <c r="F5" s="2">
        <v>6</v>
      </c>
      <c r="G5" s="2">
        <v>9</v>
      </c>
      <c r="H5" s="2">
        <v>58</v>
      </c>
      <c r="I5" s="2">
        <v>33</v>
      </c>
      <c r="J5" s="3">
        <f t="shared" si="1"/>
        <v>51</v>
      </c>
    </row>
    <row r="6" spans="2:10" x14ac:dyDescent="0.25">
      <c r="B6">
        <v>5</v>
      </c>
      <c r="C6" s="2" t="s">
        <v>4</v>
      </c>
      <c r="D6" s="2">
        <f t="shared" si="0"/>
        <v>30</v>
      </c>
      <c r="E6" s="2">
        <v>16</v>
      </c>
      <c r="F6" s="2">
        <v>3</v>
      </c>
      <c r="G6" s="2">
        <v>11</v>
      </c>
      <c r="H6" s="2">
        <v>50</v>
      </c>
      <c r="I6" s="2">
        <v>31</v>
      </c>
      <c r="J6" s="3">
        <f t="shared" si="1"/>
        <v>51</v>
      </c>
    </row>
    <row r="7" spans="2:10" x14ac:dyDescent="0.25">
      <c r="B7">
        <v>6</v>
      </c>
      <c r="C7" s="2" t="s">
        <v>5</v>
      </c>
      <c r="D7" s="2">
        <f t="shared" si="0"/>
        <v>30</v>
      </c>
      <c r="E7" s="2">
        <v>15</v>
      </c>
      <c r="F7" s="2">
        <v>5</v>
      </c>
      <c r="G7" s="2">
        <v>10</v>
      </c>
      <c r="H7" s="2">
        <v>51</v>
      </c>
      <c r="I7" s="2">
        <v>37</v>
      </c>
      <c r="J7" s="3">
        <f t="shared" si="1"/>
        <v>50</v>
      </c>
    </row>
    <row r="8" spans="2:10" x14ac:dyDescent="0.25">
      <c r="B8">
        <v>7</v>
      </c>
      <c r="C8" s="2" t="s">
        <v>6</v>
      </c>
      <c r="D8" s="2">
        <f t="shared" si="0"/>
        <v>30</v>
      </c>
      <c r="E8" s="2">
        <v>14</v>
      </c>
      <c r="F8" s="2">
        <v>7</v>
      </c>
      <c r="G8" s="2">
        <v>9</v>
      </c>
      <c r="H8" s="2">
        <v>52</v>
      </c>
      <c r="I8" s="2">
        <v>38</v>
      </c>
      <c r="J8" s="3">
        <f t="shared" si="1"/>
        <v>49</v>
      </c>
    </row>
    <row r="9" spans="2:10" x14ac:dyDescent="0.25">
      <c r="B9">
        <v>8</v>
      </c>
      <c r="C9" s="2" t="s">
        <v>7</v>
      </c>
      <c r="D9" s="2">
        <f t="shared" si="0"/>
        <v>30</v>
      </c>
      <c r="E9" s="2">
        <v>14</v>
      </c>
      <c r="F9" s="2">
        <v>4</v>
      </c>
      <c r="G9" s="2">
        <v>12</v>
      </c>
      <c r="H9" s="2">
        <v>50</v>
      </c>
      <c r="I9" s="2">
        <v>37</v>
      </c>
      <c r="J9" s="3">
        <f t="shared" si="1"/>
        <v>46</v>
      </c>
    </row>
    <row r="10" spans="2:10" x14ac:dyDescent="0.25">
      <c r="B10">
        <v>9</v>
      </c>
      <c r="C10" s="2" t="s">
        <v>8</v>
      </c>
      <c r="D10" s="2">
        <f t="shared" si="0"/>
        <v>30</v>
      </c>
      <c r="E10" s="2">
        <v>12</v>
      </c>
      <c r="F10" s="2">
        <v>3</v>
      </c>
      <c r="G10" s="2">
        <v>15</v>
      </c>
      <c r="H10" s="2">
        <v>45</v>
      </c>
      <c r="I10" s="2">
        <v>43</v>
      </c>
      <c r="J10" s="3">
        <f t="shared" si="1"/>
        <v>39</v>
      </c>
    </row>
    <row r="11" spans="2:10" x14ac:dyDescent="0.25">
      <c r="B11">
        <v>10</v>
      </c>
      <c r="C11" s="2" t="s">
        <v>9</v>
      </c>
      <c r="D11" s="2">
        <f t="shared" si="0"/>
        <v>30</v>
      </c>
      <c r="E11" s="2">
        <v>10</v>
      </c>
      <c r="F11" s="2">
        <v>7</v>
      </c>
      <c r="G11" s="2">
        <v>13</v>
      </c>
      <c r="H11" s="2">
        <v>38</v>
      </c>
      <c r="I11" s="2">
        <v>45</v>
      </c>
      <c r="J11" s="3">
        <f t="shared" si="1"/>
        <v>37</v>
      </c>
    </row>
    <row r="12" spans="2:10" x14ac:dyDescent="0.25">
      <c r="B12">
        <v>11</v>
      </c>
      <c r="C12" s="2" t="s">
        <v>10</v>
      </c>
      <c r="D12" s="2">
        <f t="shared" si="0"/>
        <v>30</v>
      </c>
      <c r="E12" s="2">
        <v>10</v>
      </c>
      <c r="F12" s="2">
        <v>6</v>
      </c>
      <c r="G12" s="2">
        <v>14</v>
      </c>
      <c r="H12" s="2">
        <v>38</v>
      </c>
      <c r="I12" s="2">
        <v>49</v>
      </c>
      <c r="J12" s="3">
        <f t="shared" si="1"/>
        <v>36</v>
      </c>
    </row>
    <row r="13" spans="2:10" x14ac:dyDescent="0.25">
      <c r="B13">
        <v>12</v>
      </c>
      <c r="C13" s="2" t="s">
        <v>11</v>
      </c>
      <c r="D13" s="2">
        <f t="shared" si="0"/>
        <v>30</v>
      </c>
      <c r="E13" s="2">
        <v>10</v>
      </c>
      <c r="F13" s="2">
        <v>5</v>
      </c>
      <c r="G13" s="2">
        <v>15</v>
      </c>
      <c r="H13" s="2">
        <v>53</v>
      </c>
      <c r="I13" s="2">
        <v>57</v>
      </c>
      <c r="J13" s="3">
        <f t="shared" si="1"/>
        <v>35</v>
      </c>
    </row>
    <row r="14" spans="2:10" x14ac:dyDescent="0.25">
      <c r="B14">
        <v>13</v>
      </c>
      <c r="C14" s="2" t="s">
        <v>12</v>
      </c>
      <c r="D14" s="2">
        <f t="shared" si="0"/>
        <v>30</v>
      </c>
      <c r="E14" s="2">
        <v>10</v>
      </c>
      <c r="F14" s="2">
        <v>5</v>
      </c>
      <c r="G14" s="2">
        <v>15</v>
      </c>
      <c r="H14" s="2">
        <v>27</v>
      </c>
      <c r="I14" s="2">
        <v>50</v>
      </c>
      <c r="J14" s="3">
        <f t="shared" si="1"/>
        <v>35</v>
      </c>
    </row>
    <row r="15" spans="2:10" x14ac:dyDescent="0.25">
      <c r="B15">
        <v>14</v>
      </c>
      <c r="C15" s="2" t="s">
        <v>13</v>
      </c>
      <c r="D15" s="2">
        <f t="shared" si="0"/>
        <v>30</v>
      </c>
      <c r="E15" s="2">
        <v>6</v>
      </c>
      <c r="F15" s="2">
        <v>9</v>
      </c>
      <c r="G15" s="2">
        <v>15</v>
      </c>
      <c r="H15" s="2">
        <v>39</v>
      </c>
      <c r="I15" s="2">
        <v>57</v>
      </c>
      <c r="J15" s="3">
        <f t="shared" si="1"/>
        <v>27</v>
      </c>
    </row>
    <row r="16" spans="2:10" x14ac:dyDescent="0.25">
      <c r="B16">
        <v>15</v>
      </c>
      <c r="C16" t="s">
        <v>14</v>
      </c>
      <c r="D16">
        <f t="shared" si="0"/>
        <v>0</v>
      </c>
      <c r="J16" s="1">
        <f t="shared" si="1"/>
        <v>0</v>
      </c>
    </row>
    <row r="17" spans="2:10" x14ac:dyDescent="0.25">
      <c r="B17">
        <v>16</v>
      </c>
      <c r="C17" t="s">
        <v>14</v>
      </c>
      <c r="D17">
        <f t="shared" si="0"/>
        <v>0</v>
      </c>
      <c r="J17" s="1">
        <f t="shared" si="1"/>
        <v>0</v>
      </c>
    </row>
    <row r="19" spans="2:10" x14ac:dyDescent="0.25">
      <c r="B19" s="33" t="s">
        <v>16</v>
      </c>
      <c r="C19" s="33"/>
      <c r="D19" s="33"/>
      <c r="E19" s="33"/>
      <c r="F19" s="33"/>
      <c r="G19" s="33"/>
      <c r="H19" s="33"/>
      <c r="I19" s="33"/>
      <c r="J19" s="33"/>
    </row>
    <row r="20" spans="2:10" x14ac:dyDescent="0.25">
      <c r="B20">
        <v>1</v>
      </c>
      <c r="C20" s="2" t="s">
        <v>0</v>
      </c>
      <c r="D20" s="2">
        <f>E20+F20+G20</f>
        <v>30</v>
      </c>
      <c r="E20" s="2">
        <v>19</v>
      </c>
      <c r="F20" s="2">
        <v>8</v>
      </c>
      <c r="G20" s="2">
        <v>3</v>
      </c>
      <c r="H20" s="2">
        <v>64</v>
      </c>
      <c r="I20" s="2">
        <v>30</v>
      </c>
      <c r="J20" s="3">
        <f>E20*3+F20*1</f>
        <v>65</v>
      </c>
    </row>
    <row r="21" spans="2:10" x14ac:dyDescent="0.25">
      <c r="B21">
        <v>2</v>
      </c>
      <c r="C21" s="2" t="s">
        <v>1</v>
      </c>
      <c r="D21" s="2">
        <f t="shared" ref="D21:D35" si="2">E21+F21+G21</f>
        <v>30</v>
      </c>
      <c r="E21" s="2">
        <v>17</v>
      </c>
      <c r="F21" s="2">
        <v>8</v>
      </c>
      <c r="G21" s="2">
        <v>5</v>
      </c>
      <c r="H21" s="2">
        <v>55</v>
      </c>
      <c r="I21" s="2">
        <v>23</v>
      </c>
      <c r="J21" s="3">
        <f t="shared" ref="J21:J35" si="3">E21*3+F21*1</f>
        <v>59</v>
      </c>
    </row>
    <row r="22" spans="2:10" x14ac:dyDescent="0.25">
      <c r="B22">
        <v>3</v>
      </c>
      <c r="C22" s="2" t="s">
        <v>3</v>
      </c>
      <c r="D22" s="2">
        <f t="shared" si="2"/>
        <v>30</v>
      </c>
      <c r="E22" s="2">
        <v>17</v>
      </c>
      <c r="F22" s="2">
        <v>4</v>
      </c>
      <c r="G22" s="2">
        <v>9</v>
      </c>
      <c r="H22" s="2">
        <v>50</v>
      </c>
      <c r="I22" s="2">
        <v>31</v>
      </c>
      <c r="J22" s="3">
        <f t="shared" si="3"/>
        <v>55</v>
      </c>
    </row>
    <row r="23" spans="2:10" x14ac:dyDescent="0.25">
      <c r="B23">
        <v>4</v>
      </c>
      <c r="C23" s="2" t="s">
        <v>6</v>
      </c>
      <c r="D23" s="2">
        <f t="shared" si="2"/>
        <v>30</v>
      </c>
      <c r="E23" s="2">
        <v>14</v>
      </c>
      <c r="F23" s="2">
        <v>12</v>
      </c>
      <c r="G23" s="2">
        <v>4</v>
      </c>
      <c r="H23" s="2">
        <v>47</v>
      </c>
      <c r="I23" s="2">
        <v>22</v>
      </c>
      <c r="J23" s="3">
        <f t="shared" si="3"/>
        <v>54</v>
      </c>
    </row>
    <row r="24" spans="2:10" x14ac:dyDescent="0.25">
      <c r="B24">
        <v>5</v>
      </c>
      <c r="C24" s="2" t="s">
        <v>17</v>
      </c>
      <c r="D24" s="2">
        <f t="shared" si="2"/>
        <v>30</v>
      </c>
      <c r="E24" s="2">
        <v>14</v>
      </c>
      <c r="F24" s="2">
        <v>11</v>
      </c>
      <c r="G24" s="2">
        <v>5</v>
      </c>
      <c r="H24" s="2">
        <v>47</v>
      </c>
      <c r="I24" s="2">
        <v>27</v>
      </c>
      <c r="J24" s="3">
        <f t="shared" si="3"/>
        <v>53</v>
      </c>
    </row>
    <row r="25" spans="2:10" x14ac:dyDescent="0.25">
      <c r="B25">
        <v>6</v>
      </c>
      <c r="C25" s="2" t="s">
        <v>9</v>
      </c>
      <c r="D25" s="2">
        <f t="shared" si="2"/>
        <v>30</v>
      </c>
      <c r="E25" s="2">
        <v>15</v>
      </c>
      <c r="F25" s="2">
        <v>4</v>
      </c>
      <c r="G25" s="2">
        <v>11</v>
      </c>
      <c r="H25" s="2">
        <v>49</v>
      </c>
      <c r="I25" s="2">
        <v>40</v>
      </c>
      <c r="J25" s="3">
        <f t="shared" si="3"/>
        <v>49</v>
      </c>
    </row>
    <row r="26" spans="2:10" x14ac:dyDescent="0.25">
      <c r="B26">
        <v>7</v>
      </c>
      <c r="C26" s="2" t="s">
        <v>18</v>
      </c>
      <c r="D26" s="2">
        <f t="shared" si="2"/>
        <v>30</v>
      </c>
      <c r="E26" s="2">
        <v>14</v>
      </c>
      <c r="F26" s="2">
        <v>6</v>
      </c>
      <c r="G26" s="2">
        <v>10</v>
      </c>
      <c r="H26" s="2">
        <v>49</v>
      </c>
      <c r="I26" s="2">
        <v>33</v>
      </c>
      <c r="J26" s="3">
        <f t="shared" si="3"/>
        <v>48</v>
      </c>
    </row>
    <row r="27" spans="2:10" x14ac:dyDescent="0.25">
      <c r="B27">
        <v>8</v>
      </c>
      <c r="C27" s="2" t="s">
        <v>7</v>
      </c>
      <c r="D27" s="2">
        <f t="shared" si="2"/>
        <v>30</v>
      </c>
      <c r="E27" s="2">
        <v>14</v>
      </c>
      <c r="F27" s="2">
        <v>5</v>
      </c>
      <c r="G27" s="2">
        <v>11</v>
      </c>
      <c r="H27" s="2">
        <v>52</v>
      </c>
      <c r="I27" s="2">
        <v>35</v>
      </c>
      <c r="J27" s="3">
        <f t="shared" si="3"/>
        <v>47</v>
      </c>
    </row>
    <row r="28" spans="2:10" x14ac:dyDescent="0.25">
      <c r="B28">
        <v>9</v>
      </c>
      <c r="C28" s="2" t="s">
        <v>2</v>
      </c>
      <c r="D28" s="2">
        <f t="shared" si="2"/>
        <v>30</v>
      </c>
      <c r="E28" s="2">
        <v>13</v>
      </c>
      <c r="F28" s="2">
        <v>8</v>
      </c>
      <c r="G28" s="2">
        <v>9</v>
      </c>
      <c r="H28" s="2">
        <v>54</v>
      </c>
      <c r="I28" s="2">
        <v>41</v>
      </c>
      <c r="J28" s="3">
        <f t="shared" si="3"/>
        <v>47</v>
      </c>
    </row>
    <row r="29" spans="2:10" x14ac:dyDescent="0.25">
      <c r="B29">
        <v>10</v>
      </c>
      <c r="C29" s="2" t="s">
        <v>5</v>
      </c>
      <c r="D29" s="2">
        <f t="shared" si="2"/>
        <v>30</v>
      </c>
      <c r="E29" s="2">
        <v>12</v>
      </c>
      <c r="F29" s="2">
        <v>7</v>
      </c>
      <c r="G29" s="2">
        <v>11</v>
      </c>
      <c r="H29" s="2">
        <v>38</v>
      </c>
      <c r="I29" s="2">
        <v>32</v>
      </c>
      <c r="J29" s="3">
        <f t="shared" si="3"/>
        <v>43</v>
      </c>
    </row>
    <row r="30" spans="2:10" x14ac:dyDescent="0.25">
      <c r="B30">
        <v>11</v>
      </c>
      <c r="C30" s="2" t="s">
        <v>4</v>
      </c>
      <c r="D30" s="2">
        <f t="shared" si="2"/>
        <v>30</v>
      </c>
      <c r="E30" s="2">
        <v>10</v>
      </c>
      <c r="F30" s="2">
        <v>8</v>
      </c>
      <c r="G30" s="2">
        <v>12</v>
      </c>
      <c r="H30" s="2">
        <v>48</v>
      </c>
      <c r="I30" s="2">
        <v>32</v>
      </c>
      <c r="J30" s="3">
        <f t="shared" si="3"/>
        <v>38</v>
      </c>
    </row>
    <row r="31" spans="2:10" x14ac:dyDescent="0.25">
      <c r="B31">
        <v>12</v>
      </c>
      <c r="C31" s="2" t="s">
        <v>10</v>
      </c>
      <c r="D31" s="2">
        <f t="shared" si="2"/>
        <v>30</v>
      </c>
      <c r="E31" s="2">
        <v>8</v>
      </c>
      <c r="F31" s="2">
        <v>8</v>
      </c>
      <c r="G31" s="2">
        <v>14</v>
      </c>
      <c r="H31" s="2">
        <v>32</v>
      </c>
      <c r="I31" s="2">
        <v>45</v>
      </c>
      <c r="J31" s="3">
        <f t="shared" si="3"/>
        <v>32</v>
      </c>
    </row>
    <row r="32" spans="2:10" x14ac:dyDescent="0.25">
      <c r="B32">
        <v>13</v>
      </c>
      <c r="C32" s="2" t="s">
        <v>13</v>
      </c>
      <c r="D32" s="2">
        <f t="shared" si="2"/>
        <v>30</v>
      </c>
      <c r="E32" s="2">
        <v>8</v>
      </c>
      <c r="F32" s="2">
        <v>7</v>
      </c>
      <c r="G32" s="2">
        <v>15</v>
      </c>
      <c r="H32" s="2">
        <v>35</v>
      </c>
      <c r="I32" s="2">
        <v>49</v>
      </c>
      <c r="J32" s="3">
        <f t="shared" si="3"/>
        <v>31</v>
      </c>
    </row>
    <row r="33" spans="2:12" x14ac:dyDescent="0.25">
      <c r="B33">
        <v>14</v>
      </c>
      <c r="C33" s="2" t="s">
        <v>19</v>
      </c>
      <c r="D33" s="2">
        <f t="shared" si="2"/>
        <v>24</v>
      </c>
      <c r="E33" s="2">
        <v>4</v>
      </c>
      <c r="F33" s="2">
        <v>1</v>
      </c>
      <c r="G33" s="2">
        <v>19</v>
      </c>
      <c r="H33" s="2">
        <v>23</v>
      </c>
      <c r="I33" s="2">
        <v>73</v>
      </c>
      <c r="J33" s="3">
        <f t="shared" si="3"/>
        <v>13</v>
      </c>
    </row>
    <row r="34" spans="2:12" x14ac:dyDescent="0.25">
      <c r="B34">
        <v>15</v>
      </c>
      <c r="C34" s="2" t="s">
        <v>20</v>
      </c>
      <c r="D34" s="2">
        <f t="shared" si="2"/>
        <v>14</v>
      </c>
      <c r="E34" s="2">
        <v>2</v>
      </c>
      <c r="F34" s="2">
        <v>1</v>
      </c>
      <c r="G34" s="2">
        <v>11</v>
      </c>
      <c r="H34" s="2">
        <v>13</v>
      </c>
      <c r="I34" s="2">
        <v>48</v>
      </c>
      <c r="J34" s="3">
        <f t="shared" si="3"/>
        <v>7</v>
      </c>
    </row>
    <row r="35" spans="2:12" x14ac:dyDescent="0.25">
      <c r="B35">
        <v>16</v>
      </c>
      <c r="C35" s="2" t="s">
        <v>21</v>
      </c>
      <c r="D35" s="2">
        <f t="shared" si="2"/>
        <v>27</v>
      </c>
      <c r="E35" s="2">
        <v>2</v>
      </c>
      <c r="F35" s="2">
        <v>1</v>
      </c>
      <c r="G35" s="2">
        <v>24</v>
      </c>
      <c r="H35" s="2">
        <v>14</v>
      </c>
      <c r="I35" s="2">
        <v>82</v>
      </c>
      <c r="J35" s="3">
        <f t="shared" si="3"/>
        <v>7</v>
      </c>
    </row>
    <row r="37" spans="2:12" x14ac:dyDescent="0.25">
      <c r="B37" s="33" t="s">
        <v>22</v>
      </c>
      <c r="C37" s="33"/>
      <c r="D37" s="33"/>
      <c r="E37" s="33"/>
      <c r="F37" s="33"/>
      <c r="G37" s="33"/>
      <c r="H37" s="33"/>
      <c r="I37" s="33"/>
      <c r="J37" s="33"/>
    </row>
    <row r="38" spans="2:12" x14ac:dyDescent="0.25">
      <c r="B38">
        <v>1</v>
      </c>
      <c r="C38" s="2" t="s">
        <v>1</v>
      </c>
      <c r="D38" s="2">
        <f>E38+F38+G38</f>
        <v>30</v>
      </c>
      <c r="E38" s="2">
        <v>19</v>
      </c>
      <c r="F38" s="2">
        <v>8</v>
      </c>
      <c r="G38" s="2">
        <v>3</v>
      </c>
      <c r="H38" s="2">
        <v>51</v>
      </c>
      <c r="I38" s="2">
        <v>22</v>
      </c>
      <c r="J38" s="3">
        <f>E38*3+F38*1</f>
        <v>65</v>
      </c>
    </row>
    <row r="39" spans="2:12" x14ac:dyDescent="0.25">
      <c r="B39">
        <v>2</v>
      </c>
      <c r="C39" s="2" t="s">
        <v>0</v>
      </c>
      <c r="D39" s="2">
        <f t="shared" ref="D39:D53" si="4">E39+F39+G39</f>
        <v>30</v>
      </c>
      <c r="E39" s="2">
        <v>16</v>
      </c>
      <c r="F39" s="2">
        <v>8</v>
      </c>
      <c r="G39" s="2">
        <v>6</v>
      </c>
      <c r="H39" s="2">
        <v>64</v>
      </c>
      <c r="I39" s="2">
        <v>32</v>
      </c>
      <c r="J39" s="3">
        <f t="shared" ref="J39:J53" si="5">E39*3+F39*1</f>
        <v>56</v>
      </c>
      <c r="L39" s="2"/>
    </row>
    <row r="40" spans="2:12" x14ac:dyDescent="0.25">
      <c r="B40">
        <v>3</v>
      </c>
      <c r="C40" s="2" t="s">
        <v>4</v>
      </c>
      <c r="D40" s="2">
        <f t="shared" si="4"/>
        <v>30</v>
      </c>
      <c r="E40" s="2">
        <v>16</v>
      </c>
      <c r="F40" s="2">
        <v>6</v>
      </c>
      <c r="G40" s="2">
        <v>8</v>
      </c>
      <c r="H40" s="2">
        <v>44</v>
      </c>
      <c r="I40" s="2">
        <v>28</v>
      </c>
      <c r="J40" s="3">
        <f t="shared" si="5"/>
        <v>54</v>
      </c>
    </row>
    <row r="41" spans="2:12" x14ac:dyDescent="0.25">
      <c r="B41">
        <v>4</v>
      </c>
      <c r="C41" s="2" t="s">
        <v>3</v>
      </c>
      <c r="D41" s="2">
        <f t="shared" si="4"/>
        <v>30</v>
      </c>
      <c r="E41" s="2">
        <v>14</v>
      </c>
      <c r="F41" s="2">
        <v>11</v>
      </c>
      <c r="G41" s="2">
        <v>5</v>
      </c>
      <c r="H41" s="2">
        <v>37</v>
      </c>
      <c r="I41" s="2">
        <v>19</v>
      </c>
      <c r="J41" s="3">
        <f t="shared" si="5"/>
        <v>53</v>
      </c>
    </row>
    <row r="42" spans="2:12" x14ac:dyDescent="0.25">
      <c r="B42">
        <v>5</v>
      </c>
      <c r="C42" s="2" t="s">
        <v>23</v>
      </c>
      <c r="D42" s="2">
        <f t="shared" si="4"/>
        <v>30</v>
      </c>
      <c r="E42" s="2">
        <v>15</v>
      </c>
      <c r="F42" s="2">
        <v>6</v>
      </c>
      <c r="G42" s="2">
        <v>9</v>
      </c>
      <c r="H42" s="2">
        <v>34</v>
      </c>
      <c r="I42" s="2">
        <v>28</v>
      </c>
      <c r="J42" s="3">
        <f t="shared" si="5"/>
        <v>51</v>
      </c>
    </row>
    <row r="43" spans="2:12" x14ac:dyDescent="0.25">
      <c r="B43">
        <v>6</v>
      </c>
      <c r="C43" s="2" t="s">
        <v>6</v>
      </c>
      <c r="D43" s="2">
        <f t="shared" si="4"/>
        <v>30</v>
      </c>
      <c r="E43" s="2">
        <v>13</v>
      </c>
      <c r="F43" s="2">
        <v>7</v>
      </c>
      <c r="G43" s="2">
        <v>10</v>
      </c>
      <c r="H43" s="2">
        <v>37</v>
      </c>
      <c r="I43" s="2">
        <v>35</v>
      </c>
      <c r="J43" s="3">
        <f t="shared" si="5"/>
        <v>46</v>
      </c>
    </row>
    <row r="44" spans="2:12" x14ac:dyDescent="0.25">
      <c r="B44">
        <v>7</v>
      </c>
      <c r="C44" s="2" t="s">
        <v>24</v>
      </c>
      <c r="D44" s="2">
        <f t="shared" si="4"/>
        <v>30</v>
      </c>
      <c r="E44" s="2">
        <v>12</v>
      </c>
      <c r="F44" s="2">
        <v>6</v>
      </c>
      <c r="G44" s="2">
        <v>12</v>
      </c>
      <c r="H44" s="2">
        <v>39</v>
      </c>
      <c r="I44" s="2">
        <v>36</v>
      </c>
      <c r="J44" s="3">
        <f t="shared" si="5"/>
        <v>42</v>
      </c>
    </row>
    <row r="45" spans="2:12" x14ac:dyDescent="0.25">
      <c r="B45">
        <v>8</v>
      </c>
      <c r="C45" s="2" t="s">
        <v>17</v>
      </c>
      <c r="D45" s="2">
        <f t="shared" si="4"/>
        <v>30</v>
      </c>
      <c r="E45" s="2">
        <v>11</v>
      </c>
      <c r="F45" s="2">
        <v>7</v>
      </c>
      <c r="G45" s="2">
        <v>12</v>
      </c>
      <c r="H45" s="2">
        <v>29</v>
      </c>
      <c r="I45" s="2">
        <v>40</v>
      </c>
      <c r="J45" s="3">
        <f t="shared" si="5"/>
        <v>40</v>
      </c>
    </row>
    <row r="46" spans="2:12" x14ac:dyDescent="0.25">
      <c r="B46">
        <v>9</v>
      </c>
      <c r="C46" s="2" t="s">
        <v>25</v>
      </c>
      <c r="D46" s="2">
        <f t="shared" si="4"/>
        <v>30</v>
      </c>
      <c r="E46" s="2">
        <v>9</v>
      </c>
      <c r="F46" s="2">
        <v>10</v>
      </c>
      <c r="G46" s="2">
        <v>11</v>
      </c>
      <c r="H46" s="2">
        <v>37</v>
      </c>
      <c r="I46" s="2">
        <v>39</v>
      </c>
      <c r="J46" s="3">
        <f t="shared" si="5"/>
        <v>37</v>
      </c>
    </row>
    <row r="47" spans="2:12" x14ac:dyDescent="0.25">
      <c r="B47">
        <v>10</v>
      </c>
      <c r="C47" s="2" t="s">
        <v>7</v>
      </c>
      <c r="D47" s="2">
        <f t="shared" si="4"/>
        <v>30</v>
      </c>
      <c r="E47" s="2">
        <v>10</v>
      </c>
      <c r="F47" s="2">
        <v>7</v>
      </c>
      <c r="G47" s="2">
        <v>13</v>
      </c>
      <c r="H47" s="2">
        <v>32</v>
      </c>
      <c r="I47" s="2">
        <v>40</v>
      </c>
      <c r="J47" s="3">
        <f t="shared" si="5"/>
        <v>37</v>
      </c>
    </row>
    <row r="48" spans="2:12" x14ac:dyDescent="0.25">
      <c r="B48">
        <v>11</v>
      </c>
      <c r="C48" s="2" t="s">
        <v>9</v>
      </c>
      <c r="D48" s="2">
        <f t="shared" si="4"/>
        <v>30</v>
      </c>
      <c r="E48" s="2">
        <v>9</v>
      </c>
      <c r="F48" s="2">
        <v>9</v>
      </c>
      <c r="G48" s="2">
        <v>12</v>
      </c>
      <c r="H48" s="2">
        <v>30</v>
      </c>
      <c r="I48" s="2">
        <v>35</v>
      </c>
      <c r="J48" s="3">
        <f t="shared" si="5"/>
        <v>36</v>
      </c>
    </row>
    <row r="49" spans="2:10" x14ac:dyDescent="0.25">
      <c r="B49">
        <v>12</v>
      </c>
      <c r="C49" s="2" t="s">
        <v>18</v>
      </c>
      <c r="D49" s="2">
        <f t="shared" si="4"/>
        <v>30</v>
      </c>
      <c r="E49" s="2">
        <v>9</v>
      </c>
      <c r="F49" s="2">
        <v>8</v>
      </c>
      <c r="G49" s="2">
        <v>13</v>
      </c>
      <c r="H49" s="2">
        <v>29</v>
      </c>
      <c r="I49" s="2">
        <v>35</v>
      </c>
      <c r="J49" s="3">
        <f t="shared" si="5"/>
        <v>35</v>
      </c>
    </row>
    <row r="50" spans="2:10" x14ac:dyDescent="0.25">
      <c r="B50">
        <v>13</v>
      </c>
      <c r="C50" s="2" t="s">
        <v>5</v>
      </c>
      <c r="D50" s="2">
        <f t="shared" si="4"/>
        <v>30</v>
      </c>
      <c r="E50" s="2">
        <v>7</v>
      </c>
      <c r="F50" s="2">
        <v>10</v>
      </c>
      <c r="G50" s="2">
        <v>13</v>
      </c>
      <c r="H50" s="2">
        <v>25</v>
      </c>
      <c r="I50" s="2">
        <v>44</v>
      </c>
      <c r="J50" s="3">
        <f t="shared" si="5"/>
        <v>31</v>
      </c>
    </row>
    <row r="51" spans="2:10" x14ac:dyDescent="0.25">
      <c r="B51">
        <v>14</v>
      </c>
      <c r="C51" s="2" t="s">
        <v>13</v>
      </c>
      <c r="D51" s="2">
        <f t="shared" si="4"/>
        <v>30</v>
      </c>
      <c r="E51" s="2">
        <v>6</v>
      </c>
      <c r="F51" s="2">
        <v>7</v>
      </c>
      <c r="G51" s="2">
        <v>17</v>
      </c>
      <c r="H51" s="2">
        <v>23</v>
      </c>
      <c r="I51" s="2">
        <v>39</v>
      </c>
      <c r="J51" s="3">
        <f t="shared" si="5"/>
        <v>25</v>
      </c>
    </row>
    <row r="52" spans="2:10" x14ac:dyDescent="0.25">
      <c r="B52">
        <v>15</v>
      </c>
      <c r="C52" s="2" t="s">
        <v>2</v>
      </c>
      <c r="D52" s="2">
        <f t="shared" si="4"/>
        <v>30</v>
      </c>
      <c r="E52" s="2">
        <v>4</v>
      </c>
      <c r="F52" s="2">
        <v>12</v>
      </c>
      <c r="G52" s="2">
        <v>14</v>
      </c>
      <c r="H52" s="2">
        <v>25</v>
      </c>
      <c r="I52" s="2">
        <v>43</v>
      </c>
      <c r="J52" s="3">
        <f t="shared" si="5"/>
        <v>24</v>
      </c>
    </row>
    <row r="53" spans="2:10" x14ac:dyDescent="0.25">
      <c r="B53">
        <v>16</v>
      </c>
      <c r="C53" s="2" t="s">
        <v>10</v>
      </c>
      <c r="D53" s="2">
        <f t="shared" si="4"/>
        <v>30</v>
      </c>
      <c r="E53" s="2">
        <v>5</v>
      </c>
      <c r="F53" s="2">
        <v>8</v>
      </c>
      <c r="G53" s="2">
        <v>17</v>
      </c>
      <c r="H53" s="2">
        <v>28</v>
      </c>
      <c r="I53" s="2">
        <v>49</v>
      </c>
      <c r="J53" s="3">
        <f t="shared" si="5"/>
        <v>23</v>
      </c>
    </row>
    <row r="55" spans="2:10" x14ac:dyDescent="0.25">
      <c r="B55" s="33" t="s">
        <v>26</v>
      </c>
      <c r="C55" s="33"/>
      <c r="D55" s="33"/>
      <c r="E55" s="33"/>
      <c r="F55" s="33"/>
      <c r="G55" s="33"/>
      <c r="H55" s="33"/>
      <c r="I55" s="33"/>
      <c r="J55" s="33"/>
    </row>
    <row r="56" spans="2:10" x14ac:dyDescent="0.25">
      <c r="B56">
        <v>1</v>
      </c>
      <c r="C56" s="2" t="s">
        <v>3</v>
      </c>
      <c r="D56" s="2">
        <v>30</v>
      </c>
      <c r="E56" s="2">
        <v>19</v>
      </c>
      <c r="F56" s="2">
        <v>4</v>
      </c>
      <c r="G56" s="2">
        <f>D56-E56-F56</f>
        <v>7</v>
      </c>
      <c r="H56" s="2">
        <v>54</v>
      </c>
      <c r="I56" s="2">
        <v>28</v>
      </c>
      <c r="J56" s="3">
        <f>E56*3+F56*1</f>
        <v>61</v>
      </c>
    </row>
    <row r="57" spans="2:10" x14ac:dyDescent="0.25">
      <c r="B57">
        <v>2</v>
      </c>
      <c r="C57" s="2" t="s">
        <v>24</v>
      </c>
      <c r="D57" s="2">
        <v>30</v>
      </c>
      <c r="E57" s="2">
        <v>15</v>
      </c>
      <c r="F57" s="2">
        <v>10</v>
      </c>
      <c r="G57" s="2">
        <f t="shared" ref="G57:G71" si="6">D57-E57-F57</f>
        <v>5</v>
      </c>
      <c r="H57" s="2">
        <v>39</v>
      </c>
      <c r="I57" s="2">
        <v>26</v>
      </c>
      <c r="J57" s="3">
        <f t="shared" ref="J57:J71" si="7">E57*3+F57*1</f>
        <v>55</v>
      </c>
    </row>
    <row r="58" spans="2:10" x14ac:dyDescent="0.25">
      <c r="B58">
        <v>3</v>
      </c>
      <c r="C58" s="2" t="s">
        <v>23</v>
      </c>
      <c r="D58" s="2">
        <v>30</v>
      </c>
      <c r="E58" s="2">
        <v>16</v>
      </c>
      <c r="F58" s="2">
        <v>7</v>
      </c>
      <c r="G58" s="2">
        <f t="shared" si="6"/>
        <v>7</v>
      </c>
      <c r="H58" s="2">
        <v>37</v>
      </c>
      <c r="I58" s="2">
        <v>27</v>
      </c>
      <c r="J58" s="3">
        <f t="shared" si="7"/>
        <v>55</v>
      </c>
    </row>
    <row r="59" spans="2:10" x14ac:dyDescent="0.25">
      <c r="B59">
        <v>4</v>
      </c>
      <c r="C59" s="2" t="s">
        <v>27</v>
      </c>
      <c r="D59" s="2">
        <v>30</v>
      </c>
      <c r="E59" s="2">
        <v>16</v>
      </c>
      <c r="F59" s="2">
        <v>6</v>
      </c>
      <c r="G59" s="2">
        <f t="shared" si="6"/>
        <v>8</v>
      </c>
      <c r="H59" s="2">
        <v>56</v>
      </c>
      <c r="I59" s="2">
        <v>36</v>
      </c>
      <c r="J59" s="3">
        <f t="shared" si="7"/>
        <v>54</v>
      </c>
    </row>
    <row r="60" spans="2:10" x14ac:dyDescent="0.25">
      <c r="B60">
        <v>5</v>
      </c>
      <c r="C60" s="2" t="s">
        <v>4</v>
      </c>
      <c r="D60" s="2">
        <v>30</v>
      </c>
      <c r="E60" s="2">
        <v>14</v>
      </c>
      <c r="F60" s="2">
        <v>11</v>
      </c>
      <c r="G60" s="2">
        <f t="shared" si="6"/>
        <v>5</v>
      </c>
      <c r="H60" s="2">
        <v>50</v>
      </c>
      <c r="I60" s="2">
        <v>34</v>
      </c>
      <c r="J60" s="3">
        <f t="shared" si="7"/>
        <v>53</v>
      </c>
    </row>
    <row r="61" spans="2:10" x14ac:dyDescent="0.25">
      <c r="B61">
        <v>6</v>
      </c>
      <c r="C61" s="2" t="s">
        <v>6</v>
      </c>
      <c r="D61" s="2">
        <v>30</v>
      </c>
      <c r="E61" s="2">
        <v>14</v>
      </c>
      <c r="F61" s="2">
        <v>8</v>
      </c>
      <c r="G61" s="2">
        <f t="shared" si="6"/>
        <v>8</v>
      </c>
      <c r="H61" s="2">
        <v>44</v>
      </c>
      <c r="I61" s="2">
        <v>35</v>
      </c>
      <c r="J61" s="3">
        <f t="shared" si="7"/>
        <v>50</v>
      </c>
    </row>
    <row r="62" spans="2:10" x14ac:dyDescent="0.25">
      <c r="B62">
        <v>7</v>
      </c>
      <c r="C62" s="2" t="s">
        <v>25</v>
      </c>
      <c r="D62" s="2">
        <v>30</v>
      </c>
      <c r="E62" s="2">
        <v>13</v>
      </c>
      <c r="F62" s="2">
        <v>8</v>
      </c>
      <c r="G62" s="2">
        <f t="shared" si="6"/>
        <v>9</v>
      </c>
      <c r="H62" s="2">
        <v>42</v>
      </c>
      <c r="I62" s="2">
        <v>37</v>
      </c>
      <c r="J62" s="3">
        <f t="shared" si="7"/>
        <v>47</v>
      </c>
    </row>
    <row r="63" spans="2:10" x14ac:dyDescent="0.25">
      <c r="B63">
        <v>8</v>
      </c>
      <c r="C63" s="2" t="s">
        <v>28</v>
      </c>
      <c r="D63" s="2">
        <v>30</v>
      </c>
      <c r="E63" s="2">
        <v>14</v>
      </c>
      <c r="F63" s="2">
        <v>4</v>
      </c>
      <c r="G63" s="2">
        <f t="shared" si="6"/>
        <v>12</v>
      </c>
      <c r="H63" s="2">
        <v>45</v>
      </c>
      <c r="I63" s="2">
        <v>41</v>
      </c>
      <c r="J63" s="3">
        <f t="shared" si="7"/>
        <v>46</v>
      </c>
    </row>
    <row r="64" spans="2:10" x14ac:dyDescent="0.25">
      <c r="B64">
        <v>9</v>
      </c>
      <c r="C64" s="2" t="s">
        <v>0</v>
      </c>
      <c r="D64" s="2">
        <v>30</v>
      </c>
      <c r="E64" s="2">
        <v>13</v>
      </c>
      <c r="F64" s="2">
        <v>6</v>
      </c>
      <c r="G64" s="2">
        <f t="shared" si="6"/>
        <v>11</v>
      </c>
      <c r="H64" s="2">
        <v>49</v>
      </c>
      <c r="I64" s="2">
        <v>38</v>
      </c>
      <c r="J64" s="3">
        <f t="shared" si="7"/>
        <v>45</v>
      </c>
    </row>
    <row r="65" spans="2:10" x14ac:dyDescent="0.25">
      <c r="B65">
        <v>10</v>
      </c>
      <c r="C65" s="2" t="s">
        <v>1</v>
      </c>
      <c r="D65" s="2">
        <v>30</v>
      </c>
      <c r="E65" s="2">
        <v>10</v>
      </c>
      <c r="F65" s="2">
        <v>11</v>
      </c>
      <c r="G65" s="2">
        <f t="shared" si="6"/>
        <v>9</v>
      </c>
      <c r="H65" s="2">
        <v>37</v>
      </c>
      <c r="I65" s="2">
        <v>30</v>
      </c>
      <c r="J65" s="3">
        <f t="shared" si="7"/>
        <v>41</v>
      </c>
    </row>
    <row r="66" spans="2:10" x14ac:dyDescent="0.25">
      <c r="B66">
        <v>11</v>
      </c>
      <c r="C66" s="2" t="s">
        <v>18</v>
      </c>
      <c r="D66" s="2">
        <v>30</v>
      </c>
      <c r="E66" s="2">
        <v>11</v>
      </c>
      <c r="F66" s="2">
        <v>5</v>
      </c>
      <c r="G66" s="2">
        <f t="shared" si="6"/>
        <v>14</v>
      </c>
      <c r="H66" s="2">
        <v>33</v>
      </c>
      <c r="I66" s="2">
        <v>35</v>
      </c>
      <c r="J66" s="3">
        <f t="shared" si="7"/>
        <v>38</v>
      </c>
    </row>
    <row r="67" spans="2:10" x14ac:dyDescent="0.25">
      <c r="B67">
        <v>12</v>
      </c>
      <c r="C67" s="2" t="s">
        <v>7</v>
      </c>
      <c r="D67" s="2">
        <v>30</v>
      </c>
      <c r="E67" s="2">
        <v>8</v>
      </c>
      <c r="F67" s="2">
        <v>8</v>
      </c>
      <c r="G67" s="2">
        <f t="shared" si="6"/>
        <v>14</v>
      </c>
      <c r="H67" s="2">
        <v>30</v>
      </c>
      <c r="I67" s="2">
        <v>39</v>
      </c>
      <c r="J67" s="3">
        <f t="shared" si="7"/>
        <v>32</v>
      </c>
    </row>
    <row r="68" spans="2:10" x14ac:dyDescent="0.25">
      <c r="B68">
        <v>13</v>
      </c>
      <c r="C68" s="2" t="s">
        <v>9</v>
      </c>
      <c r="D68" s="2">
        <v>30</v>
      </c>
      <c r="E68" s="2">
        <v>5</v>
      </c>
      <c r="F68" s="2">
        <v>9</v>
      </c>
      <c r="G68" s="2">
        <f t="shared" si="6"/>
        <v>16</v>
      </c>
      <c r="H68" s="2">
        <v>23</v>
      </c>
      <c r="I68" s="2">
        <v>47</v>
      </c>
      <c r="J68" s="3">
        <f t="shared" si="7"/>
        <v>24</v>
      </c>
    </row>
    <row r="69" spans="2:10" x14ac:dyDescent="0.25">
      <c r="B69">
        <v>14</v>
      </c>
      <c r="C69" s="2" t="s">
        <v>17</v>
      </c>
      <c r="D69" s="2">
        <v>30</v>
      </c>
      <c r="E69" s="2">
        <v>5</v>
      </c>
      <c r="F69" s="2">
        <v>7</v>
      </c>
      <c r="G69" s="2">
        <f t="shared" si="6"/>
        <v>18</v>
      </c>
      <c r="H69" s="2">
        <v>19</v>
      </c>
      <c r="I69" s="2">
        <v>48</v>
      </c>
      <c r="J69" s="3">
        <f t="shared" si="7"/>
        <v>22</v>
      </c>
    </row>
    <row r="70" spans="2:10" x14ac:dyDescent="0.25">
      <c r="B70">
        <v>15</v>
      </c>
      <c r="C70" s="2" t="s">
        <v>5</v>
      </c>
      <c r="D70" s="2">
        <v>30</v>
      </c>
      <c r="E70" s="2">
        <v>5</v>
      </c>
      <c r="F70" s="2">
        <v>5</v>
      </c>
      <c r="G70" s="2">
        <f t="shared" si="6"/>
        <v>20</v>
      </c>
      <c r="H70" s="2">
        <v>22</v>
      </c>
      <c r="I70" s="2">
        <v>55</v>
      </c>
      <c r="J70" s="3">
        <f t="shared" si="7"/>
        <v>20</v>
      </c>
    </row>
    <row r="71" spans="2:10" x14ac:dyDescent="0.25">
      <c r="B71">
        <v>16</v>
      </c>
      <c r="C71" s="2" t="s">
        <v>13</v>
      </c>
      <c r="D71" s="2">
        <v>30</v>
      </c>
      <c r="E71" s="2">
        <v>4</v>
      </c>
      <c r="F71" s="2">
        <v>7</v>
      </c>
      <c r="G71" s="2">
        <f t="shared" si="6"/>
        <v>19</v>
      </c>
      <c r="H71" s="2">
        <v>21</v>
      </c>
      <c r="I71" s="2">
        <v>45</v>
      </c>
      <c r="J71" s="3">
        <f t="shared" si="7"/>
        <v>19</v>
      </c>
    </row>
    <row r="73" spans="2:10" x14ac:dyDescent="0.25">
      <c r="B73" s="33" t="s">
        <v>29</v>
      </c>
      <c r="C73" s="33"/>
      <c r="D73" s="33"/>
      <c r="E73" s="33"/>
      <c r="F73" s="33"/>
      <c r="G73" s="33"/>
      <c r="H73" s="33"/>
      <c r="I73" s="33"/>
      <c r="J73" s="33"/>
    </row>
    <row r="74" spans="2:10" x14ac:dyDescent="0.25">
      <c r="B74">
        <v>1</v>
      </c>
      <c r="C74" s="2" t="s">
        <v>4</v>
      </c>
      <c r="D74" s="2">
        <v>30</v>
      </c>
      <c r="E74" s="2">
        <v>19</v>
      </c>
      <c r="F74" s="2">
        <v>8</v>
      </c>
      <c r="G74" s="2">
        <f>D74-E74-F74</f>
        <v>3</v>
      </c>
      <c r="H74" s="2">
        <v>48</v>
      </c>
      <c r="I74" s="2">
        <v>24</v>
      </c>
      <c r="J74" s="3">
        <f>E74*3+F74*1</f>
        <v>65</v>
      </c>
    </row>
    <row r="75" spans="2:10" x14ac:dyDescent="0.25">
      <c r="B75">
        <v>2</v>
      </c>
      <c r="C75" s="2" t="s">
        <v>0</v>
      </c>
      <c r="D75" s="2">
        <v>30</v>
      </c>
      <c r="E75" s="2">
        <v>16</v>
      </c>
      <c r="F75" s="2">
        <v>10</v>
      </c>
      <c r="G75" s="2">
        <f t="shared" ref="G75:G89" si="8">D75-E75-F75</f>
        <v>4</v>
      </c>
      <c r="H75" s="2">
        <v>47</v>
      </c>
      <c r="I75" s="2">
        <v>24</v>
      </c>
      <c r="J75" s="3">
        <f t="shared" ref="J75:J89" si="9">E75*3+F75*1</f>
        <v>58</v>
      </c>
    </row>
    <row r="76" spans="2:10" x14ac:dyDescent="0.25">
      <c r="B76">
        <v>3</v>
      </c>
      <c r="C76" s="2" t="s">
        <v>23</v>
      </c>
      <c r="D76" s="2">
        <v>30</v>
      </c>
      <c r="E76" s="2">
        <v>16</v>
      </c>
      <c r="F76" s="2">
        <v>7</v>
      </c>
      <c r="G76" s="2">
        <f t="shared" si="8"/>
        <v>7</v>
      </c>
      <c r="H76" s="2">
        <v>50</v>
      </c>
      <c r="I76" s="2">
        <v>33</v>
      </c>
      <c r="J76" s="3">
        <f t="shared" si="9"/>
        <v>55</v>
      </c>
    </row>
    <row r="77" spans="2:10" x14ac:dyDescent="0.25">
      <c r="B77">
        <v>4</v>
      </c>
      <c r="C77" s="2" t="s">
        <v>7</v>
      </c>
      <c r="D77" s="2">
        <v>30</v>
      </c>
      <c r="E77" s="2">
        <v>13</v>
      </c>
      <c r="F77" s="2">
        <v>8</v>
      </c>
      <c r="G77" s="2">
        <f t="shared" si="8"/>
        <v>9</v>
      </c>
      <c r="H77" s="2">
        <v>42</v>
      </c>
      <c r="I77" s="2">
        <v>34</v>
      </c>
      <c r="J77" s="3">
        <f t="shared" si="9"/>
        <v>47</v>
      </c>
    </row>
    <row r="78" spans="2:10" x14ac:dyDescent="0.25">
      <c r="B78">
        <v>5</v>
      </c>
      <c r="C78" s="2" t="s">
        <v>18</v>
      </c>
      <c r="D78" s="2">
        <v>30</v>
      </c>
      <c r="E78" s="2">
        <v>12</v>
      </c>
      <c r="F78" s="2">
        <v>9</v>
      </c>
      <c r="G78" s="2">
        <f t="shared" si="8"/>
        <v>9</v>
      </c>
      <c r="H78" s="2">
        <v>33</v>
      </c>
      <c r="I78" s="2">
        <v>36</v>
      </c>
      <c r="J78" s="3">
        <f t="shared" si="9"/>
        <v>45</v>
      </c>
    </row>
    <row r="79" spans="2:10" x14ac:dyDescent="0.25">
      <c r="B79">
        <v>6</v>
      </c>
      <c r="C79" s="2" t="s">
        <v>24</v>
      </c>
      <c r="D79" s="2">
        <v>30</v>
      </c>
      <c r="E79" s="2">
        <v>12</v>
      </c>
      <c r="F79" s="2">
        <v>7</v>
      </c>
      <c r="G79" s="2">
        <f t="shared" si="8"/>
        <v>11</v>
      </c>
      <c r="H79" s="2">
        <v>40</v>
      </c>
      <c r="I79" s="2">
        <v>40</v>
      </c>
      <c r="J79" s="3">
        <f t="shared" si="9"/>
        <v>43</v>
      </c>
    </row>
    <row r="80" spans="2:10" x14ac:dyDescent="0.25">
      <c r="B80">
        <v>7</v>
      </c>
      <c r="C80" s="2" t="s">
        <v>25</v>
      </c>
      <c r="D80" s="2">
        <v>30</v>
      </c>
      <c r="E80" s="2">
        <v>10</v>
      </c>
      <c r="F80" s="2">
        <v>11</v>
      </c>
      <c r="G80" s="2">
        <f t="shared" si="8"/>
        <v>9</v>
      </c>
      <c r="H80" s="2">
        <v>40</v>
      </c>
      <c r="I80" s="2">
        <v>41</v>
      </c>
      <c r="J80" s="3">
        <f t="shared" si="9"/>
        <v>41</v>
      </c>
    </row>
    <row r="81" spans="2:10" x14ac:dyDescent="0.25">
      <c r="B81">
        <v>8</v>
      </c>
      <c r="C81" s="2" t="s">
        <v>27</v>
      </c>
      <c r="D81" s="2">
        <v>30</v>
      </c>
      <c r="E81" s="2">
        <v>10</v>
      </c>
      <c r="F81" s="2">
        <v>11</v>
      </c>
      <c r="G81" s="2">
        <f t="shared" si="8"/>
        <v>9</v>
      </c>
      <c r="H81" s="2">
        <v>41</v>
      </c>
      <c r="I81" s="2">
        <v>50</v>
      </c>
      <c r="J81" s="3">
        <f t="shared" si="9"/>
        <v>41</v>
      </c>
    </row>
    <row r="82" spans="2:10" x14ac:dyDescent="0.25">
      <c r="B82">
        <v>9</v>
      </c>
      <c r="C82" s="2" t="s">
        <v>3</v>
      </c>
      <c r="D82" s="2">
        <v>30</v>
      </c>
      <c r="E82" s="2">
        <v>10</v>
      </c>
      <c r="F82" s="2">
        <v>10</v>
      </c>
      <c r="G82" s="2">
        <f t="shared" si="8"/>
        <v>10</v>
      </c>
      <c r="H82" s="2">
        <v>44</v>
      </c>
      <c r="I82" s="2">
        <v>42</v>
      </c>
      <c r="J82" s="3">
        <f t="shared" si="9"/>
        <v>40</v>
      </c>
    </row>
    <row r="83" spans="2:10" x14ac:dyDescent="0.25">
      <c r="B83">
        <v>10</v>
      </c>
      <c r="C83" s="2" t="s">
        <v>28</v>
      </c>
      <c r="D83" s="2">
        <v>30</v>
      </c>
      <c r="E83" s="2">
        <v>11</v>
      </c>
      <c r="F83" s="2">
        <v>4</v>
      </c>
      <c r="G83" s="2">
        <f t="shared" si="8"/>
        <v>15</v>
      </c>
      <c r="H83" s="2">
        <v>41</v>
      </c>
      <c r="I83" s="2">
        <v>41</v>
      </c>
      <c r="J83" s="3">
        <f t="shared" si="9"/>
        <v>37</v>
      </c>
    </row>
    <row r="84" spans="2:10" x14ac:dyDescent="0.25">
      <c r="B84">
        <v>11</v>
      </c>
      <c r="C84" s="2" t="s">
        <v>6</v>
      </c>
      <c r="D84" s="2">
        <v>30</v>
      </c>
      <c r="E84" s="2">
        <v>8</v>
      </c>
      <c r="F84" s="2">
        <v>10</v>
      </c>
      <c r="G84" s="2">
        <f t="shared" si="8"/>
        <v>12</v>
      </c>
      <c r="H84" s="2">
        <v>36</v>
      </c>
      <c r="I84" s="2">
        <v>44</v>
      </c>
      <c r="J84" s="3">
        <f t="shared" si="9"/>
        <v>34</v>
      </c>
    </row>
    <row r="85" spans="2:10" x14ac:dyDescent="0.25">
      <c r="B85">
        <v>12</v>
      </c>
      <c r="C85" s="2" t="s">
        <v>1</v>
      </c>
      <c r="D85" s="2">
        <v>30</v>
      </c>
      <c r="E85" s="2">
        <v>9</v>
      </c>
      <c r="F85" s="2">
        <v>7</v>
      </c>
      <c r="G85" s="2">
        <f t="shared" si="8"/>
        <v>14</v>
      </c>
      <c r="H85" s="2">
        <v>34</v>
      </c>
      <c r="I85" s="2">
        <v>46</v>
      </c>
      <c r="J85" s="3">
        <f t="shared" si="9"/>
        <v>34</v>
      </c>
    </row>
    <row r="86" spans="2:10" x14ac:dyDescent="0.25">
      <c r="B86">
        <v>13</v>
      </c>
      <c r="C86" s="2" t="s">
        <v>2</v>
      </c>
      <c r="D86" s="2">
        <v>30</v>
      </c>
      <c r="E86" s="2">
        <v>7</v>
      </c>
      <c r="F86" s="2">
        <v>11</v>
      </c>
      <c r="G86" s="2">
        <f t="shared" si="8"/>
        <v>12</v>
      </c>
      <c r="H86" s="2">
        <v>38</v>
      </c>
      <c r="I86" s="2">
        <v>36</v>
      </c>
      <c r="J86" s="3">
        <f t="shared" si="9"/>
        <v>32</v>
      </c>
    </row>
    <row r="87" spans="2:10" x14ac:dyDescent="0.25">
      <c r="B87">
        <v>14</v>
      </c>
      <c r="C87" s="2" t="s">
        <v>9</v>
      </c>
      <c r="D87" s="2">
        <v>30</v>
      </c>
      <c r="E87" s="2">
        <v>6</v>
      </c>
      <c r="F87" s="2">
        <v>10</v>
      </c>
      <c r="G87" s="2">
        <f t="shared" si="8"/>
        <v>14</v>
      </c>
      <c r="H87" s="2">
        <v>30</v>
      </c>
      <c r="I87" s="2">
        <v>38</v>
      </c>
      <c r="J87" s="3">
        <f t="shared" si="9"/>
        <v>28</v>
      </c>
    </row>
    <row r="88" spans="2:10" x14ac:dyDescent="0.25">
      <c r="B88">
        <v>15</v>
      </c>
      <c r="C88" s="2" t="s">
        <v>30</v>
      </c>
      <c r="D88" s="2">
        <v>30</v>
      </c>
      <c r="E88" s="2">
        <v>6</v>
      </c>
      <c r="F88" s="2">
        <v>8</v>
      </c>
      <c r="G88" s="2">
        <f t="shared" si="8"/>
        <v>16</v>
      </c>
      <c r="H88" s="2">
        <v>38</v>
      </c>
      <c r="I88" s="2">
        <v>47</v>
      </c>
      <c r="J88" s="3">
        <f t="shared" si="9"/>
        <v>26</v>
      </c>
    </row>
    <row r="89" spans="2:10" x14ac:dyDescent="0.25">
      <c r="B89">
        <v>16</v>
      </c>
      <c r="C89" s="2" t="s">
        <v>17</v>
      </c>
      <c r="D89" s="2">
        <v>30</v>
      </c>
      <c r="E89" s="2">
        <v>5</v>
      </c>
      <c r="F89" s="2">
        <v>9</v>
      </c>
      <c r="G89" s="2">
        <f t="shared" si="8"/>
        <v>16</v>
      </c>
      <c r="H89" s="2">
        <v>28</v>
      </c>
      <c r="I89" s="2">
        <v>54</v>
      </c>
      <c r="J89" s="3">
        <f t="shared" si="9"/>
        <v>24</v>
      </c>
    </row>
    <row r="91" spans="2:10" x14ac:dyDescent="0.25">
      <c r="B91" s="33" t="s">
        <v>31</v>
      </c>
      <c r="C91" s="33"/>
      <c r="D91" s="33"/>
      <c r="E91" s="33"/>
      <c r="F91" s="33"/>
      <c r="G91" s="33"/>
      <c r="H91" s="33"/>
      <c r="I91" s="33"/>
      <c r="J91" s="33"/>
    </row>
    <row r="92" spans="2:10" x14ac:dyDescent="0.25">
      <c r="B92">
        <v>1</v>
      </c>
      <c r="C92" s="2" t="s">
        <v>4</v>
      </c>
      <c r="D92" s="2">
        <v>30</v>
      </c>
      <c r="E92" s="2">
        <v>20</v>
      </c>
      <c r="F92" s="2">
        <v>3</v>
      </c>
      <c r="G92" s="2">
        <f>D92-E92-F92</f>
        <v>7</v>
      </c>
      <c r="H92" s="2">
        <v>67</v>
      </c>
      <c r="I92" s="2">
        <v>29</v>
      </c>
      <c r="J92" s="3">
        <f>E92*3+F92*1</f>
        <v>63</v>
      </c>
    </row>
    <row r="93" spans="2:10" x14ac:dyDescent="0.25">
      <c r="B93">
        <v>2</v>
      </c>
      <c r="C93" s="2" t="s">
        <v>24</v>
      </c>
      <c r="D93" s="2">
        <v>30</v>
      </c>
      <c r="E93" s="2">
        <v>19</v>
      </c>
      <c r="F93" s="2">
        <v>4</v>
      </c>
      <c r="G93" s="2">
        <f t="shared" ref="G93:G107" si="10">D93-E93-F93</f>
        <v>7</v>
      </c>
      <c r="H93" s="2">
        <v>59</v>
      </c>
      <c r="I93" s="2">
        <v>32</v>
      </c>
      <c r="J93" s="3">
        <f t="shared" ref="J93:J107" si="11">E93*3+F93*1</f>
        <v>61</v>
      </c>
    </row>
    <row r="94" spans="2:10" x14ac:dyDescent="0.25">
      <c r="B94">
        <v>3</v>
      </c>
      <c r="C94" s="2" t="s">
        <v>32</v>
      </c>
      <c r="D94" s="2">
        <v>30</v>
      </c>
      <c r="E94" s="2">
        <v>17</v>
      </c>
      <c r="F94" s="2">
        <v>8</v>
      </c>
      <c r="G94" s="2">
        <f t="shared" si="10"/>
        <v>5</v>
      </c>
      <c r="H94" s="2">
        <v>60</v>
      </c>
      <c r="I94" s="2">
        <v>26</v>
      </c>
      <c r="J94" s="3">
        <f t="shared" si="11"/>
        <v>59</v>
      </c>
    </row>
    <row r="95" spans="2:10" x14ac:dyDescent="0.25">
      <c r="B95">
        <v>4</v>
      </c>
      <c r="C95" s="2" t="s">
        <v>23</v>
      </c>
      <c r="D95" s="2">
        <v>30</v>
      </c>
      <c r="E95" s="2">
        <v>16</v>
      </c>
      <c r="F95" s="2">
        <v>6</v>
      </c>
      <c r="G95" s="2">
        <f t="shared" si="10"/>
        <v>8</v>
      </c>
      <c r="H95" s="2">
        <v>61</v>
      </c>
      <c r="I95" s="2">
        <v>33</v>
      </c>
      <c r="J95" s="3">
        <f t="shared" si="11"/>
        <v>54</v>
      </c>
    </row>
    <row r="96" spans="2:10" x14ac:dyDescent="0.25">
      <c r="B96">
        <v>5</v>
      </c>
      <c r="C96" s="2" t="s">
        <v>0</v>
      </c>
      <c r="D96" s="2">
        <v>30</v>
      </c>
      <c r="E96" s="2">
        <v>16</v>
      </c>
      <c r="F96" s="2">
        <v>5</v>
      </c>
      <c r="G96" s="2">
        <f t="shared" si="10"/>
        <v>9</v>
      </c>
      <c r="H96" s="2">
        <v>67</v>
      </c>
      <c r="I96" s="2">
        <v>29</v>
      </c>
      <c r="J96" s="3">
        <f t="shared" si="11"/>
        <v>53</v>
      </c>
    </row>
    <row r="97" spans="2:10" x14ac:dyDescent="0.25">
      <c r="B97">
        <v>6</v>
      </c>
      <c r="C97" s="2" t="s">
        <v>3</v>
      </c>
      <c r="D97" s="2">
        <v>30</v>
      </c>
      <c r="E97" s="2">
        <v>15</v>
      </c>
      <c r="F97" s="2">
        <v>7</v>
      </c>
      <c r="G97" s="2">
        <f t="shared" si="10"/>
        <v>8</v>
      </c>
      <c r="H97" s="2">
        <v>52</v>
      </c>
      <c r="I97" s="2">
        <v>35</v>
      </c>
      <c r="J97" s="3">
        <f t="shared" si="11"/>
        <v>52</v>
      </c>
    </row>
    <row r="98" spans="2:10" x14ac:dyDescent="0.25">
      <c r="B98">
        <v>7</v>
      </c>
      <c r="C98" s="2" t="s">
        <v>33</v>
      </c>
      <c r="D98" s="2">
        <v>30</v>
      </c>
      <c r="E98" s="2">
        <v>14</v>
      </c>
      <c r="F98" s="2">
        <v>6</v>
      </c>
      <c r="G98" s="2">
        <f t="shared" si="10"/>
        <v>10</v>
      </c>
      <c r="H98" s="2">
        <v>63</v>
      </c>
      <c r="I98" s="2">
        <v>34</v>
      </c>
      <c r="J98" s="3">
        <f t="shared" si="11"/>
        <v>48</v>
      </c>
    </row>
    <row r="99" spans="2:10" x14ac:dyDescent="0.25">
      <c r="B99">
        <v>8</v>
      </c>
      <c r="C99" s="2" t="s">
        <v>18</v>
      </c>
      <c r="D99" s="2">
        <v>30</v>
      </c>
      <c r="E99" s="2">
        <v>13</v>
      </c>
      <c r="F99" s="2">
        <v>5</v>
      </c>
      <c r="G99" s="2">
        <f t="shared" si="10"/>
        <v>12</v>
      </c>
      <c r="H99" s="2">
        <v>52</v>
      </c>
      <c r="I99" s="2">
        <v>31</v>
      </c>
      <c r="J99" s="3">
        <f t="shared" si="11"/>
        <v>44</v>
      </c>
    </row>
    <row r="100" spans="2:10" x14ac:dyDescent="0.25">
      <c r="B100">
        <v>9</v>
      </c>
      <c r="C100" s="2" t="s">
        <v>27</v>
      </c>
      <c r="D100" s="2">
        <v>30</v>
      </c>
      <c r="E100" s="2">
        <v>13</v>
      </c>
      <c r="F100" s="2">
        <v>4</v>
      </c>
      <c r="G100" s="2">
        <f t="shared" si="10"/>
        <v>13</v>
      </c>
      <c r="H100" s="2">
        <v>44</v>
      </c>
      <c r="I100" s="2">
        <v>48</v>
      </c>
      <c r="J100" s="3">
        <f t="shared" si="11"/>
        <v>43</v>
      </c>
    </row>
    <row r="101" spans="2:10" x14ac:dyDescent="0.25">
      <c r="B101">
        <v>10</v>
      </c>
      <c r="C101" s="2" t="s">
        <v>6</v>
      </c>
      <c r="D101" s="2">
        <v>30</v>
      </c>
      <c r="E101" s="2">
        <v>11</v>
      </c>
      <c r="F101" s="2">
        <v>8</v>
      </c>
      <c r="G101" s="2">
        <f t="shared" si="10"/>
        <v>11</v>
      </c>
      <c r="H101" s="2">
        <v>52</v>
      </c>
      <c r="I101" s="2">
        <v>40</v>
      </c>
      <c r="J101" s="3">
        <f t="shared" si="11"/>
        <v>41</v>
      </c>
    </row>
    <row r="102" spans="2:10" x14ac:dyDescent="0.25">
      <c r="B102">
        <v>11</v>
      </c>
      <c r="C102" s="2" t="s">
        <v>28</v>
      </c>
      <c r="D102" s="2">
        <v>30</v>
      </c>
      <c r="E102" s="2">
        <v>11</v>
      </c>
      <c r="F102" s="2">
        <v>7</v>
      </c>
      <c r="G102" s="2">
        <f t="shared" si="10"/>
        <v>12</v>
      </c>
      <c r="H102" s="2">
        <v>43</v>
      </c>
      <c r="I102" s="2">
        <v>42</v>
      </c>
      <c r="J102" s="3">
        <f t="shared" si="11"/>
        <v>40</v>
      </c>
    </row>
    <row r="103" spans="2:10" x14ac:dyDescent="0.25">
      <c r="B103">
        <v>12</v>
      </c>
      <c r="C103" s="2" t="s">
        <v>1</v>
      </c>
      <c r="D103" s="2">
        <v>30</v>
      </c>
      <c r="E103" s="2">
        <v>10</v>
      </c>
      <c r="F103" s="2">
        <v>6</v>
      </c>
      <c r="G103" s="2">
        <f t="shared" si="10"/>
        <v>14</v>
      </c>
      <c r="H103" s="2">
        <v>47</v>
      </c>
      <c r="I103" s="2">
        <v>50</v>
      </c>
      <c r="J103" s="3">
        <f t="shared" si="11"/>
        <v>36</v>
      </c>
    </row>
    <row r="104" spans="2:10" x14ac:dyDescent="0.25">
      <c r="B104">
        <v>13</v>
      </c>
      <c r="C104" s="2" t="s">
        <v>25</v>
      </c>
      <c r="D104" s="2">
        <v>30</v>
      </c>
      <c r="E104" s="2">
        <v>9</v>
      </c>
      <c r="F104" s="2">
        <v>3</v>
      </c>
      <c r="G104" s="2">
        <f t="shared" si="10"/>
        <v>18</v>
      </c>
      <c r="H104" s="2">
        <v>44</v>
      </c>
      <c r="I104" s="2">
        <v>58</v>
      </c>
      <c r="J104" s="3">
        <f t="shared" si="11"/>
        <v>30</v>
      </c>
    </row>
    <row r="105" spans="2:10" x14ac:dyDescent="0.25">
      <c r="B105">
        <v>14</v>
      </c>
      <c r="C105" s="2" t="s">
        <v>2</v>
      </c>
      <c r="D105" s="2">
        <v>30</v>
      </c>
      <c r="E105" s="2">
        <v>8</v>
      </c>
      <c r="F105" s="2">
        <v>5</v>
      </c>
      <c r="G105" s="2">
        <f t="shared" si="10"/>
        <v>17</v>
      </c>
      <c r="H105" s="2">
        <v>49</v>
      </c>
      <c r="I105" s="2">
        <v>60</v>
      </c>
      <c r="J105" s="3">
        <f t="shared" si="11"/>
        <v>29</v>
      </c>
    </row>
    <row r="106" spans="2:10" x14ac:dyDescent="0.25">
      <c r="B106">
        <v>15</v>
      </c>
      <c r="C106" s="2" t="s">
        <v>9</v>
      </c>
      <c r="D106" s="2">
        <v>30</v>
      </c>
      <c r="E106" s="2">
        <v>8</v>
      </c>
      <c r="F106" s="2">
        <v>3</v>
      </c>
      <c r="G106" s="2">
        <f t="shared" si="10"/>
        <v>19</v>
      </c>
      <c r="H106" s="2">
        <v>37</v>
      </c>
      <c r="I106" s="2">
        <v>58</v>
      </c>
      <c r="J106" s="3">
        <f t="shared" si="11"/>
        <v>27</v>
      </c>
    </row>
    <row r="107" spans="2:10" x14ac:dyDescent="0.25">
      <c r="B107">
        <v>16</v>
      </c>
      <c r="C107" t="s">
        <v>34</v>
      </c>
      <c r="D107">
        <v>30</v>
      </c>
      <c r="E107">
        <v>0</v>
      </c>
      <c r="F107">
        <v>0</v>
      </c>
      <c r="G107">
        <f t="shared" si="10"/>
        <v>30</v>
      </c>
      <c r="H107">
        <v>4</v>
      </c>
      <c r="I107">
        <v>196</v>
      </c>
      <c r="J107" s="1">
        <f t="shared" si="11"/>
        <v>0</v>
      </c>
    </row>
    <row r="109" spans="2:10" x14ac:dyDescent="0.25">
      <c r="B109" s="33" t="s">
        <v>35</v>
      </c>
      <c r="C109" s="33"/>
      <c r="D109" s="33"/>
      <c r="E109" s="33"/>
      <c r="F109" s="33"/>
      <c r="G109" s="33"/>
      <c r="H109" s="33"/>
      <c r="I109" s="33"/>
      <c r="J109" s="33"/>
    </row>
    <row r="110" spans="2:10" x14ac:dyDescent="0.25">
      <c r="B110">
        <v>1</v>
      </c>
      <c r="C110" s="2" t="s">
        <v>4</v>
      </c>
      <c r="D110" s="2">
        <v>30</v>
      </c>
      <c r="E110" s="2">
        <v>21</v>
      </c>
      <c r="F110" s="2">
        <v>5</v>
      </c>
      <c r="G110" s="2">
        <f>D110-E110-F110</f>
        <v>4</v>
      </c>
      <c r="H110" s="2">
        <v>60</v>
      </c>
      <c r="I110" s="2">
        <v>28</v>
      </c>
      <c r="J110" s="3">
        <f>E110*3+F110*1</f>
        <v>68</v>
      </c>
    </row>
    <row r="111" spans="2:10" x14ac:dyDescent="0.25">
      <c r="B111">
        <v>2</v>
      </c>
      <c r="C111" s="2" t="s">
        <v>0</v>
      </c>
      <c r="D111" s="2">
        <v>30</v>
      </c>
      <c r="E111" s="2">
        <v>17</v>
      </c>
      <c r="F111" s="2">
        <v>9</v>
      </c>
      <c r="G111" s="2">
        <f t="shared" ref="G111:G125" si="12">D111-E111-F111</f>
        <v>4</v>
      </c>
      <c r="H111" s="2">
        <v>60</v>
      </c>
      <c r="I111" s="2">
        <v>29</v>
      </c>
      <c r="J111" s="3">
        <f t="shared" ref="J111:J125" si="13">E111*3+F111*1</f>
        <v>60</v>
      </c>
    </row>
    <row r="112" spans="2:10" x14ac:dyDescent="0.25">
      <c r="B112">
        <v>3</v>
      </c>
      <c r="C112" s="2" t="s">
        <v>18</v>
      </c>
      <c r="D112" s="2">
        <v>30</v>
      </c>
      <c r="E112" s="2">
        <v>17</v>
      </c>
      <c r="F112" s="2">
        <v>9</v>
      </c>
      <c r="G112" s="2">
        <f t="shared" si="12"/>
        <v>4</v>
      </c>
      <c r="H112" s="2">
        <v>62</v>
      </c>
      <c r="I112" s="2">
        <v>35</v>
      </c>
      <c r="J112" s="3">
        <f t="shared" si="13"/>
        <v>60</v>
      </c>
    </row>
    <row r="113" spans="2:10" x14ac:dyDescent="0.25">
      <c r="B113">
        <v>4</v>
      </c>
      <c r="C113" s="2" t="s">
        <v>23</v>
      </c>
      <c r="D113" s="2">
        <v>30</v>
      </c>
      <c r="E113" s="2">
        <v>15</v>
      </c>
      <c r="F113" s="2">
        <v>8</v>
      </c>
      <c r="G113" s="2">
        <f t="shared" si="12"/>
        <v>7</v>
      </c>
      <c r="H113" s="2">
        <v>51</v>
      </c>
      <c r="I113" s="2">
        <v>32</v>
      </c>
      <c r="J113" s="3">
        <f t="shared" si="13"/>
        <v>53</v>
      </c>
    </row>
    <row r="114" spans="2:10" x14ac:dyDescent="0.25">
      <c r="B114">
        <v>5</v>
      </c>
      <c r="C114" s="2" t="s">
        <v>33</v>
      </c>
      <c r="D114" s="2">
        <v>30</v>
      </c>
      <c r="E114" s="2">
        <v>17</v>
      </c>
      <c r="F114" s="2">
        <v>2</v>
      </c>
      <c r="G114" s="2">
        <f t="shared" si="12"/>
        <v>11</v>
      </c>
      <c r="H114" s="2">
        <v>41</v>
      </c>
      <c r="I114" s="2">
        <v>33</v>
      </c>
      <c r="J114" s="3">
        <f t="shared" si="13"/>
        <v>53</v>
      </c>
    </row>
    <row r="115" spans="2:10" x14ac:dyDescent="0.25">
      <c r="B115">
        <v>6</v>
      </c>
      <c r="C115" s="2" t="s">
        <v>32</v>
      </c>
      <c r="D115" s="2">
        <v>30</v>
      </c>
      <c r="E115" s="2">
        <v>16</v>
      </c>
      <c r="F115" s="2">
        <v>0</v>
      </c>
      <c r="G115" s="2">
        <f t="shared" si="12"/>
        <v>14</v>
      </c>
      <c r="H115" s="2">
        <v>47</v>
      </c>
      <c r="I115" s="2">
        <v>41</v>
      </c>
      <c r="J115" s="3">
        <f t="shared" si="13"/>
        <v>48</v>
      </c>
    </row>
    <row r="116" spans="2:10" x14ac:dyDescent="0.25">
      <c r="B116">
        <v>7</v>
      </c>
      <c r="C116" s="2" t="s">
        <v>3</v>
      </c>
      <c r="D116" s="2">
        <v>30</v>
      </c>
      <c r="E116" s="2">
        <v>12</v>
      </c>
      <c r="F116" s="2">
        <v>10</v>
      </c>
      <c r="G116" s="2">
        <f t="shared" si="12"/>
        <v>8</v>
      </c>
      <c r="H116" s="2">
        <v>48</v>
      </c>
      <c r="I116" s="2">
        <v>42</v>
      </c>
      <c r="J116" s="3">
        <f t="shared" si="13"/>
        <v>46</v>
      </c>
    </row>
    <row r="117" spans="2:10" x14ac:dyDescent="0.25">
      <c r="B117">
        <v>8</v>
      </c>
      <c r="C117" s="2" t="s">
        <v>1</v>
      </c>
      <c r="D117" s="2">
        <v>30</v>
      </c>
      <c r="E117" s="2">
        <v>10</v>
      </c>
      <c r="F117" s="2">
        <v>10</v>
      </c>
      <c r="G117" s="2">
        <f t="shared" si="12"/>
        <v>10</v>
      </c>
      <c r="H117" s="2">
        <v>46</v>
      </c>
      <c r="I117" s="2">
        <v>50</v>
      </c>
      <c r="J117" s="3">
        <f t="shared" si="13"/>
        <v>40</v>
      </c>
    </row>
    <row r="118" spans="2:10" x14ac:dyDescent="0.25">
      <c r="B118">
        <v>9</v>
      </c>
      <c r="C118" s="2" t="s">
        <v>24</v>
      </c>
      <c r="D118" s="2">
        <v>30</v>
      </c>
      <c r="E118" s="2">
        <v>11</v>
      </c>
      <c r="F118" s="2">
        <v>6</v>
      </c>
      <c r="G118" s="2">
        <f t="shared" si="12"/>
        <v>13</v>
      </c>
      <c r="H118" s="2">
        <v>37</v>
      </c>
      <c r="I118" s="2">
        <v>46</v>
      </c>
      <c r="J118" s="3">
        <f t="shared" si="13"/>
        <v>39</v>
      </c>
    </row>
    <row r="119" spans="2:10" x14ac:dyDescent="0.25">
      <c r="B119">
        <v>10</v>
      </c>
      <c r="C119" s="2" t="s">
        <v>27</v>
      </c>
      <c r="D119" s="2">
        <v>30</v>
      </c>
      <c r="E119" s="2">
        <v>10</v>
      </c>
      <c r="F119" s="2">
        <v>8</v>
      </c>
      <c r="G119" s="2">
        <f t="shared" si="12"/>
        <v>12</v>
      </c>
      <c r="H119" s="2">
        <v>37</v>
      </c>
      <c r="I119" s="2">
        <v>39</v>
      </c>
      <c r="J119" s="3">
        <f t="shared" si="13"/>
        <v>38</v>
      </c>
    </row>
    <row r="120" spans="2:10" x14ac:dyDescent="0.25">
      <c r="B120">
        <v>11</v>
      </c>
      <c r="C120" s="2" t="s">
        <v>30</v>
      </c>
      <c r="D120" s="2">
        <v>30</v>
      </c>
      <c r="E120" s="2">
        <v>10</v>
      </c>
      <c r="F120" s="2">
        <v>6</v>
      </c>
      <c r="G120" s="2">
        <f t="shared" si="12"/>
        <v>14</v>
      </c>
      <c r="H120" s="2">
        <v>25</v>
      </c>
      <c r="I120" s="2">
        <v>36</v>
      </c>
      <c r="J120" s="3">
        <f t="shared" si="13"/>
        <v>36</v>
      </c>
    </row>
    <row r="121" spans="2:10" x14ac:dyDescent="0.25">
      <c r="B121">
        <v>12</v>
      </c>
      <c r="C121" s="2" t="s">
        <v>36</v>
      </c>
      <c r="D121" s="2">
        <v>30</v>
      </c>
      <c r="E121" s="2">
        <v>10</v>
      </c>
      <c r="F121" s="2">
        <v>4</v>
      </c>
      <c r="G121" s="2">
        <f t="shared" si="12"/>
        <v>16</v>
      </c>
      <c r="H121" s="2">
        <v>43</v>
      </c>
      <c r="I121" s="2">
        <v>49</v>
      </c>
      <c r="J121" s="3">
        <f t="shared" si="13"/>
        <v>34</v>
      </c>
    </row>
    <row r="122" spans="2:10" x14ac:dyDescent="0.25">
      <c r="B122">
        <v>13</v>
      </c>
      <c r="C122" s="2" t="s">
        <v>6</v>
      </c>
      <c r="D122" s="2">
        <v>30</v>
      </c>
      <c r="E122" s="2">
        <v>9</v>
      </c>
      <c r="F122" s="2">
        <v>6</v>
      </c>
      <c r="G122" s="2">
        <f t="shared" si="12"/>
        <v>15</v>
      </c>
      <c r="H122" s="2">
        <v>39</v>
      </c>
      <c r="I122" s="2">
        <v>45</v>
      </c>
      <c r="J122" s="3">
        <f t="shared" si="13"/>
        <v>33</v>
      </c>
    </row>
    <row r="123" spans="2:10" x14ac:dyDescent="0.25">
      <c r="B123">
        <v>14</v>
      </c>
      <c r="C123" s="2" t="s">
        <v>28</v>
      </c>
      <c r="D123" s="2">
        <v>30</v>
      </c>
      <c r="E123" s="2">
        <v>9</v>
      </c>
      <c r="F123" s="2">
        <v>6</v>
      </c>
      <c r="G123" s="2">
        <f t="shared" si="12"/>
        <v>15</v>
      </c>
      <c r="H123" s="2">
        <v>28</v>
      </c>
      <c r="I123" s="2">
        <v>43</v>
      </c>
      <c r="J123" s="3">
        <f t="shared" si="13"/>
        <v>33</v>
      </c>
    </row>
    <row r="124" spans="2:10" x14ac:dyDescent="0.25">
      <c r="B124">
        <v>15</v>
      </c>
      <c r="C124" s="2" t="s">
        <v>25</v>
      </c>
      <c r="D124" s="2">
        <v>30</v>
      </c>
      <c r="E124" s="2">
        <v>3</v>
      </c>
      <c r="F124" s="2">
        <v>9</v>
      </c>
      <c r="G124" s="2">
        <f t="shared" si="12"/>
        <v>18</v>
      </c>
      <c r="H124" s="2">
        <v>32</v>
      </c>
      <c r="I124" s="2">
        <v>63</v>
      </c>
      <c r="J124" s="3">
        <f t="shared" si="13"/>
        <v>18</v>
      </c>
    </row>
    <row r="125" spans="2:10" x14ac:dyDescent="0.25">
      <c r="B125">
        <v>16</v>
      </c>
      <c r="C125" s="2" t="s">
        <v>2</v>
      </c>
      <c r="D125" s="2">
        <v>30</v>
      </c>
      <c r="E125" s="2">
        <v>1</v>
      </c>
      <c r="F125" s="2">
        <v>6</v>
      </c>
      <c r="G125" s="2">
        <f t="shared" si="12"/>
        <v>23</v>
      </c>
      <c r="H125" s="2">
        <v>23</v>
      </c>
      <c r="I125" s="2">
        <v>68</v>
      </c>
      <c r="J125" s="3">
        <f t="shared" si="13"/>
        <v>9</v>
      </c>
    </row>
    <row r="127" spans="2:10" x14ac:dyDescent="0.25">
      <c r="B127" s="33" t="s">
        <v>37</v>
      </c>
      <c r="C127" s="33"/>
      <c r="D127" s="33"/>
      <c r="E127" s="33"/>
      <c r="F127" s="33"/>
      <c r="G127" s="33"/>
      <c r="H127" s="33"/>
      <c r="I127" s="33"/>
      <c r="J127" s="33"/>
    </row>
    <row r="128" spans="2:10" x14ac:dyDescent="0.25">
      <c r="B128">
        <v>1</v>
      </c>
      <c r="C128" s="2" t="s">
        <v>6</v>
      </c>
      <c r="D128" s="2">
        <v>30</v>
      </c>
      <c r="E128" s="2">
        <v>19</v>
      </c>
      <c r="F128" s="2">
        <v>2</v>
      </c>
      <c r="G128" s="2">
        <f>D128-E128-F128</f>
        <v>9</v>
      </c>
      <c r="H128" s="2">
        <v>58</v>
      </c>
      <c r="I128" s="2">
        <v>43</v>
      </c>
      <c r="J128" s="3">
        <f>E128*3+F128*1</f>
        <v>59</v>
      </c>
    </row>
    <row r="129" spans="2:10" x14ac:dyDescent="0.25">
      <c r="B129">
        <v>2</v>
      </c>
      <c r="C129" s="2" t="s">
        <v>0</v>
      </c>
      <c r="D129" s="2">
        <v>30</v>
      </c>
      <c r="E129" s="2">
        <v>18</v>
      </c>
      <c r="F129" s="2">
        <v>4</v>
      </c>
      <c r="G129" s="2">
        <f t="shared" ref="G129:G143" si="14">D129-E129-F129</f>
        <v>8</v>
      </c>
      <c r="H129" s="2">
        <v>57</v>
      </c>
      <c r="I129" s="2">
        <v>34</v>
      </c>
      <c r="J129" s="3">
        <f t="shared" ref="J129:J143" si="15">E129*3+F129*1</f>
        <v>58</v>
      </c>
    </row>
    <row r="130" spans="2:10" x14ac:dyDescent="0.25">
      <c r="B130">
        <v>3</v>
      </c>
      <c r="C130" s="2" t="s">
        <v>23</v>
      </c>
      <c r="D130" s="2">
        <v>30</v>
      </c>
      <c r="E130" s="2">
        <v>17</v>
      </c>
      <c r="F130" s="2">
        <v>7</v>
      </c>
      <c r="G130" s="2">
        <f t="shared" si="14"/>
        <v>6</v>
      </c>
      <c r="H130" s="2">
        <v>49</v>
      </c>
      <c r="I130" s="2">
        <v>30</v>
      </c>
      <c r="J130" s="3">
        <f t="shared" si="15"/>
        <v>58</v>
      </c>
    </row>
    <row r="131" spans="2:10" x14ac:dyDescent="0.25">
      <c r="B131">
        <v>4</v>
      </c>
      <c r="C131" s="2" t="s">
        <v>24</v>
      </c>
      <c r="D131" s="2">
        <v>30</v>
      </c>
      <c r="E131" s="2">
        <v>16</v>
      </c>
      <c r="F131" s="2">
        <v>6</v>
      </c>
      <c r="G131" s="2">
        <f t="shared" si="14"/>
        <v>8</v>
      </c>
      <c r="H131" s="2">
        <v>61</v>
      </c>
      <c r="I131" s="2">
        <v>36</v>
      </c>
      <c r="J131" s="3">
        <f t="shared" si="15"/>
        <v>54</v>
      </c>
    </row>
    <row r="132" spans="2:10" x14ac:dyDescent="0.25">
      <c r="B132">
        <v>5</v>
      </c>
      <c r="C132" s="2" t="s">
        <v>4</v>
      </c>
      <c r="D132" s="2">
        <v>30</v>
      </c>
      <c r="E132" s="2">
        <v>17</v>
      </c>
      <c r="F132" s="2">
        <v>3</v>
      </c>
      <c r="G132" s="2">
        <f t="shared" si="14"/>
        <v>10</v>
      </c>
      <c r="H132" s="2">
        <v>54</v>
      </c>
      <c r="I132" s="2">
        <v>48</v>
      </c>
      <c r="J132" s="3">
        <f t="shared" si="15"/>
        <v>54</v>
      </c>
    </row>
    <row r="133" spans="2:10" x14ac:dyDescent="0.25">
      <c r="B133">
        <v>6</v>
      </c>
      <c r="C133" s="2" t="s">
        <v>18</v>
      </c>
      <c r="D133" s="2">
        <v>30</v>
      </c>
      <c r="E133" s="2">
        <v>16</v>
      </c>
      <c r="F133" s="2">
        <v>5</v>
      </c>
      <c r="G133" s="2">
        <f t="shared" si="14"/>
        <v>9</v>
      </c>
      <c r="H133" s="2">
        <v>58</v>
      </c>
      <c r="I133" s="2">
        <v>43</v>
      </c>
      <c r="J133" s="3">
        <f t="shared" si="15"/>
        <v>53</v>
      </c>
    </row>
    <row r="134" spans="2:10" x14ac:dyDescent="0.25">
      <c r="B134">
        <v>7</v>
      </c>
      <c r="C134" s="2" t="s">
        <v>33</v>
      </c>
      <c r="D134" s="2">
        <v>30</v>
      </c>
      <c r="E134" s="2">
        <v>14</v>
      </c>
      <c r="F134" s="2">
        <v>6</v>
      </c>
      <c r="G134" s="2">
        <f t="shared" si="14"/>
        <v>10</v>
      </c>
      <c r="H134" s="2">
        <v>55</v>
      </c>
      <c r="I134" s="2">
        <v>51</v>
      </c>
      <c r="J134" s="3">
        <f t="shared" si="15"/>
        <v>48</v>
      </c>
    </row>
    <row r="135" spans="2:10" x14ac:dyDescent="0.25">
      <c r="B135">
        <v>8</v>
      </c>
      <c r="C135" s="2" t="s">
        <v>27</v>
      </c>
      <c r="D135" s="2">
        <v>30</v>
      </c>
      <c r="E135" s="2">
        <v>14</v>
      </c>
      <c r="F135" s="2">
        <v>4</v>
      </c>
      <c r="G135" s="2">
        <f t="shared" si="14"/>
        <v>12</v>
      </c>
      <c r="H135" s="2">
        <v>42</v>
      </c>
      <c r="I135" s="2">
        <v>47</v>
      </c>
      <c r="J135" s="3">
        <f t="shared" si="15"/>
        <v>46</v>
      </c>
    </row>
    <row r="136" spans="2:10" x14ac:dyDescent="0.25">
      <c r="B136">
        <v>9</v>
      </c>
      <c r="C136" s="2" t="s">
        <v>32</v>
      </c>
      <c r="D136" s="2">
        <v>30</v>
      </c>
      <c r="E136" s="2">
        <v>10</v>
      </c>
      <c r="F136" s="2">
        <v>10</v>
      </c>
      <c r="G136" s="2">
        <f t="shared" si="14"/>
        <v>10</v>
      </c>
      <c r="H136" s="2">
        <v>43</v>
      </c>
      <c r="I136" s="2">
        <v>33</v>
      </c>
      <c r="J136" s="3">
        <f t="shared" si="15"/>
        <v>40</v>
      </c>
    </row>
    <row r="137" spans="2:10" x14ac:dyDescent="0.25">
      <c r="B137">
        <v>10</v>
      </c>
      <c r="C137" s="2" t="s">
        <v>38</v>
      </c>
      <c r="D137" s="2">
        <v>30</v>
      </c>
      <c r="E137" s="2">
        <v>10</v>
      </c>
      <c r="F137" s="2">
        <v>6</v>
      </c>
      <c r="G137" s="2">
        <f t="shared" si="14"/>
        <v>14</v>
      </c>
      <c r="H137" s="2">
        <v>45</v>
      </c>
      <c r="I137" s="2">
        <v>55</v>
      </c>
      <c r="J137" s="3">
        <f t="shared" si="15"/>
        <v>36</v>
      </c>
    </row>
    <row r="138" spans="2:10" x14ac:dyDescent="0.25">
      <c r="B138">
        <v>11</v>
      </c>
      <c r="C138" s="2" t="s">
        <v>28</v>
      </c>
      <c r="D138" s="2">
        <v>30</v>
      </c>
      <c r="E138" s="2">
        <v>9</v>
      </c>
      <c r="F138" s="2">
        <v>6</v>
      </c>
      <c r="G138" s="2">
        <f t="shared" si="14"/>
        <v>15</v>
      </c>
      <c r="H138" s="2">
        <v>27</v>
      </c>
      <c r="I138" s="2">
        <v>44</v>
      </c>
      <c r="J138" s="3">
        <f t="shared" si="15"/>
        <v>33</v>
      </c>
    </row>
    <row r="139" spans="2:10" x14ac:dyDescent="0.25">
      <c r="B139">
        <v>12</v>
      </c>
      <c r="C139" s="2" t="s">
        <v>39</v>
      </c>
      <c r="D139" s="2">
        <v>30</v>
      </c>
      <c r="E139" s="2">
        <v>8</v>
      </c>
      <c r="F139" s="2">
        <v>7</v>
      </c>
      <c r="G139" s="2">
        <f t="shared" si="14"/>
        <v>15</v>
      </c>
      <c r="H139" s="2">
        <v>44</v>
      </c>
      <c r="I139" s="2">
        <v>55</v>
      </c>
      <c r="J139" s="3">
        <f t="shared" si="15"/>
        <v>31</v>
      </c>
    </row>
    <row r="140" spans="2:10" x14ac:dyDescent="0.25">
      <c r="B140">
        <v>13</v>
      </c>
      <c r="C140" s="2" t="s">
        <v>1</v>
      </c>
      <c r="D140" s="2">
        <v>30</v>
      </c>
      <c r="E140" s="2">
        <v>7</v>
      </c>
      <c r="F140" s="2">
        <v>9</v>
      </c>
      <c r="G140" s="2">
        <f t="shared" si="14"/>
        <v>14</v>
      </c>
      <c r="H140" s="2">
        <v>43</v>
      </c>
      <c r="I140" s="2">
        <v>51</v>
      </c>
      <c r="J140" s="3">
        <f t="shared" si="15"/>
        <v>30</v>
      </c>
    </row>
    <row r="141" spans="2:10" x14ac:dyDescent="0.25">
      <c r="B141">
        <v>14</v>
      </c>
      <c r="C141" s="2" t="s">
        <v>3</v>
      </c>
      <c r="D141" s="2">
        <v>30</v>
      </c>
      <c r="E141" s="2">
        <v>8</v>
      </c>
      <c r="F141" s="2">
        <v>6</v>
      </c>
      <c r="G141" s="2">
        <f t="shared" si="14"/>
        <v>16</v>
      </c>
      <c r="H141" s="2">
        <v>33</v>
      </c>
      <c r="I141" s="2">
        <v>48</v>
      </c>
      <c r="J141" s="3">
        <f t="shared" si="15"/>
        <v>30</v>
      </c>
    </row>
    <row r="142" spans="2:10" x14ac:dyDescent="0.25">
      <c r="B142">
        <v>15</v>
      </c>
      <c r="C142" s="2" t="s">
        <v>30</v>
      </c>
      <c r="D142" s="2">
        <v>30</v>
      </c>
      <c r="E142" s="2">
        <v>5</v>
      </c>
      <c r="F142" s="2">
        <v>7</v>
      </c>
      <c r="G142" s="2">
        <f t="shared" si="14"/>
        <v>18</v>
      </c>
      <c r="H142" s="2">
        <v>24</v>
      </c>
      <c r="I142" s="2">
        <v>50</v>
      </c>
      <c r="J142" s="3">
        <f t="shared" si="15"/>
        <v>22</v>
      </c>
    </row>
    <row r="143" spans="2:10" x14ac:dyDescent="0.25">
      <c r="B143">
        <v>16</v>
      </c>
      <c r="C143" s="2" t="s">
        <v>36</v>
      </c>
      <c r="D143" s="2">
        <v>30</v>
      </c>
      <c r="E143" s="2">
        <v>3</v>
      </c>
      <c r="F143" s="2">
        <v>10</v>
      </c>
      <c r="G143" s="2">
        <f t="shared" si="14"/>
        <v>17</v>
      </c>
      <c r="H143" s="2">
        <v>35</v>
      </c>
      <c r="I143" s="2">
        <v>60</v>
      </c>
      <c r="J143" s="3">
        <f t="shared" si="15"/>
        <v>19</v>
      </c>
    </row>
    <row r="145" spans="2:10" x14ac:dyDescent="0.25">
      <c r="B145" s="33" t="s">
        <v>40</v>
      </c>
      <c r="C145" s="33"/>
      <c r="D145" s="33"/>
      <c r="E145" s="33"/>
      <c r="F145" s="33"/>
      <c r="G145" s="33"/>
      <c r="H145" s="33"/>
      <c r="I145" s="33"/>
      <c r="J145" s="33"/>
    </row>
    <row r="146" spans="2:10" x14ac:dyDescent="0.25">
      <c r="B146">
        <v>1</v>
      </c>
      <c r="C146" s="2" t="s">
        <v>23</v>
      </c>
      <c r="D146" s="2">
        <v>30</v>
      </c>
      <c r="E146" s="2">
        <v>21</v>
      </c>
      <c r="F146" s="2">
        <v>3</v>
      </c>
      <c r="G146" s="2">
        <f>D146-E146-F146</f>
        <v>6</v>
      </c>
      <c r="H146" s="2">
        <v>86</v>
      </c>
      <c r="I146" s="2">
        <v>34</v>
      </c>
      <c r="J146" s="3">
        <f>E146*3+F146*1</f>
        <v>66</v>
      </c>
    </row>
    <row r="147" spans="2:10" x14ac:dyDescent="0.25">
      <c r="B147">
        <v>2</v>
      </c>
      <c r="C147" s="2" t="s">
        <v>24</v>
      </c>
      <c r="D147" s="2">
        <v>30</v>
      </c>
      <c r="E147" s="2">
        <v>19</v>
      </c>
      <c r="F147" s="2">
        <v>5</v>
      </c>
      <c r="G147" s="2">
        <f t="shared" ref="G147:G161" si="16">D147-E147-F147</f>
        <v>6</v>
      </c>
      <c r="H147" s="2">
        <v>70</v>
      </c>
      <c r="I147" s="2">
        <v>33</v>
      </c>
      <c r="J147" s="3">
        <f t="shared" ref="J147:J161" si="17">E147*3+F147*1</f>
        <v>62</v>
      </c>
    </row>
    <row r="148" spans="2:10" x14ac:dyDescent="0.25">
      <c r="B148">
        <v>3</v>
      </c>
      <c r="C148" s="2" t="s">
        <v>18</v>
      </c>
      <c r="D148" s="2">
        <v>30</v>
      </c>
      <c r="E148" s="2">
        <v>16</v>
      </c>
      <c r="F148" s="2">
        <v>6</v>
      </c>
      <c r="G148" s="2">
        <f t="shared" si="16"/>
        <v>8</v>
      </c>
      <c r="H148" s="2">
        <v>89</v>
      </c>
      <c r="I148" s="2">
        <v>53</v>
      </c>
      <c r="J148" s="3">
        <f t="shared" si="17"/>
        <v>54</v>
      </c>
    </row>
    <row r="149" spans="2:10" x14ac:dyDescent="0.25">
      <c r="B149">
        <v>4</v>
      </c>
      <c r="C149" s="2" t="s">
        <v>32</v>
      </c>
      <c r="D149" s="2">
        <v>30</v>
      </c>
      <c r="E149" s="2">
        <v>13</v>
      </c>
      <c r="F149" s="2">
        <v>8</v>
      </c>
      <c r="G149" s="2">
        <f t="shared" si="16"/>
        <v>9</v>
      </c>
      <c r="H149" s="2">
        <v>63</v>
      </c>
      <c r="I149" s="2">
        <v>42</v>
      </c>
      <c r="J149" s="3">
        <f t="shared" si="17"/>
        <v>47</v>
      </c>
    </row>
    <row r="150" spans="2:10" x14ac:dyDescent="0.25">
      <c r="B150">
        <v>5</v>
      </c>
      <c r="C150" s="2" t="s">
        <v>27</v>
      </c>
      <c r="D150" s="2">
        <v>30</v>
      </c>
      <c r="E150" s="2">
        <v>14</v>
      </c>
      <c r="F150" s="2">
        <v>5</v>
      </c>
      <c r="G150" s="2">
        <f t="shared" si="16"/>
        <v>11</v>
      </c>
      <c r="H150" s="2">
        <v>61</v>
      </c>
      <c r="I150" s="2">
        <v>45</v>
      </c>
      <c r="J150" s="3">
        <f t="shared" si="17"/>
        <v>47</v>
      </c>
    </row>
    <row r="151" spans="2:10" x14ac:dyDescent="0.25">
      <c r="B151">
        <v>6</v>
      </c>
      <c r="C151" s="2" t="s">
        <v>0</v>
      </c>
      <c r="D151" s="2">
        <v>30</v>
      </c>
      <c r="E151" s="2">
        <v>14</v>
      </c>
      <c r="F151" s="2">
        <v>4</v>
      </c>
      <c r="G151" s="2">
        <f t="shared" si="16"/>
        <v>12</v>
      </c>
      <c r="H151" s="2">
        <v>67</v>
      </c>
      <c r="I151" s="2">
        <v>43</v>
      </c>
      <c r="J151" s="3">
        <f t="shared" si="17"/>
        <v>46</v>
      </c>
    </row>
    <row r="152" spans="2:10" x14ac:dyDescent="0.25">
      <c r="B152">
        <v>7</v>
      </c>
      <c r="C152" s="2" t="s">
        <v>33</v>
      </c>
      <c r="D152" s="2">
        <v>30</v>
      </c>
      <c r="E152" s="2">
        <v>13</v>
      </c>
      <c r="F152" s="2">
        <v>6</v>
      </c>
      <c r="G152" s="2">
        <f t="shared" si="16"/>
        <v>11</v>
      </c>
      <c r="H152" s="2">
        <v>67</v>
      </c>
      <c r="I152" s="2">
        <v>47</v>
      </c>
      <c r="J152" s="3">
        <f t="shared" si="17"/>
        <v>45</v>
      </c>
    </row>
    <row r="153" spans="2:10" x14ac:dyDescent="0.25">
      <c r="B153">
        <v>8</v>
      </c>
      <c r="C153" s="2" t="s">
        <v>3</v>
      </c>
      <c r="D153" s="2">
        <v>30</v>
      </c>
      <c r="E153" s="2">
        <v>11</v>
      </c>
      <c r="F153" s="2">
        <v>9</v>
      </c>
      <c r="G153" s="2">
        <f t="shared" si="16"/>
        <v>10</v>
      </c>
      <c r="H153" s="2">
        <v>54</v>
      </c>
      <c r="I153" s="2">
        <v>53</v>
      </c>
      <c r="J153" s="3">
        <f t="shared" si="17"/>
        <v>42</v>
      </c>
    </row>
    <row r="154" spans="2:10" x14ac:dyDescent="0.25">
      <c r="B154">
        <v>9</v>
      </c>
      <c r="C154" s="2" t="s">
        <v>28</v>
      </c>
      <c r="D154" s="2">
        <v>30</v>
      </c>
      <c r="E154" s="2">
        <v>10</v>
      </c>
      <c r="F154" s="2">
        <v>10</v>
      </c>
      <c r="G154" s="2">
        <f t="shared" si="16"/>
        <v>10</v>
      </c>
      <c r="H154" s="2">
        <v>38</v>
      </c>
      <c r="I154" s="2">
        <v>43</v>
      </c>
      <c r="J154" s="3">
        <f t="shared" si="17"/>
        <v>40</v>
      </c>
    </row>
    <row r="155" spans="2:10" x14ac:dyDescent="0.25">
      <c r="B155">
        <v>10</v>
      </c>
      <c r="C155" s="2" t="s">
        <v>25</v>
      </c>
      <c r="D155" s="2">
        <v>30</v>
      </c>
      <c r="E155" s="2">
        <v>11</v>
      </c>
      <c r="F155" s="2">
        <v>5</v>
      </c>
      <c r="G155" s="2">
        <f t="shared" si="16"/>
        <v>14</v>
      </c>
      <c r="H155" s="2">
        <v>58</v>
      </c>
      <c r="I155" s="2">
        <v>48</v>
      </c>
      <c r="J155" s="3">
        <f t="shared" si="17"/>
        <v>38</v>
      </c>
    </row>
    <row r="156" spans="2:10" x14ac:dyDescent="0.25">
      <c r="B156">
        <v>11</v>
      </c>
      <c r="C156" s="2" t="s">
        <v>38</v>
      </c>
      <c r="D156" s="2">
        <v>30</v>
      </c>
      <c r="E156" s="2">
        <v>12</v>
      </c>
      <c r="F156" s="2">
        <v>1</v>
      </c>
      <c r="G156" s="2">
        <f t="shared" si="16"/>
        <v>17</v>
      </c>
      <c r="H156" s="2">
        <v>44</v>
      </c>
      <c r="I156" s="2">
        <v>57</v>
      </c>
      <c r="J156" s="3">
        <f t="shared" si="17"/>
        <v>37</v>
      </c>
    </row>
    <row r="157" spans="2:10" x14ac:dyDescent="0.25">
      <c r="B157">
        <v>12</v>
      </c>
      <c r="C157" s="2" t="s">
        <v>6</v>
      </c>
      <c r="D157" s="2">
        <v>30</v>
      </c>
      <c r="E157" s="2">
        <v>9</v>
      </c>
      <c r="F157" s="2">
        <v>9</v>
      </c>
      <c r="G157" s="2">
        <f t="shared" si="16"/>
        <v>12</v>
      </c>
      <c r="H157" s="2">
        <v>48</v>
      </c>
      <c r="I157" s="2">
        <v>52</v>
      </c>
      <c r="J157" s="3">
        <f t="shared" si="17"/>
        <v>36</v>
      </c>
    </row>
    <row r="158" spans="2:10" x14ac:dyDescent="0.25">
      <c r="B158">
        <v>13</v>
      </c>
      <c r="C158" s="2" t="s">
        <v>4</v>
      </c>
      <c r="D158" s="2">
        <v>30</v>
      </c>
      <c r="E158" s="2">
        <v>9</v>
      </c>
      <c r="F158" s="2">
        <v>6</v>
      </c>
      <c r="G158" s="2">
        <f t="shared" si="16"/>
        <v>15</v>
      </c>
      <c r="H158" s="2">
        <v>33</v>
      </c>
      <c r="I158" s="2">
        <v>48</v>
      </c>
      <c r="J158" s="3">
        <f t="shared" si="17"/>
        <v>33</v>
      </c>
    </row>
    <row r="159" spans="2:10" x14ac:dyDescent="0.25">
      <c r="B159">
        <v>14</v>
      </c>
      <c r="C159" s="2" t="s">
        <v>41</v>
      </c>
      <c r="D159" s="2">
        <v>30</v>
      </c>
      <c r="E159" s="2">
        <v>7</v>
      </c>
      <c r="F159" s="2">
        <v>7</v>
      </c>
      <c r="G159" s="2">
        <f t="shared" si="16"/>
        <v>16</v>
      </c>
      <c r="H159" s="2">
        <v>44</v>
      </c>
      <c r="I159" s="2">
        <v>73</v>
      </c>
      <c r="J159" s="3">
        <f t="shared" si="17"/>
        <v>28</v>
      </c>
    </row>
    <row r="160" spans="2:10" x14ac:dyDescent="0.25">
      <c r="B160">
        <v>15</v>
      </c>
      <c r="C160" t="s">
        <v>34</v>
      </c>
      <c r="D160">
        <v>27</v>
      </c>
      <c r="E160">
        <v>3</v>
      </c>
      <c r="F160">
        <v>0</v>
      </c>
      <c r="G160">
        <f t="shared" si="16"/>
        <v>24</v>
      </c>
      <c r="H160">
        <v>11</v>
      </c>
      <c r="I160">
        <v>167</v>
      </c>
      <c r="J160" s="1">
        <f t="shared" si="17"/>
        <v>9</v>
      </c>
    </row>
    <row r="161" spans="2:10" x14ac:dyDescent="0.25">
      <c r="B161">
        <v>16</v>
      </c>
      <c r="C161" t="s">
        <v>34</v>
      </c>
      <c r="D161">
        <v>0</v>
      </c>
      <c r="E161">
        <v>0</v>
      </c>
      <c r="F161">
        <v>0</v>
      </c>
      <c r="G161">
        <f t="shared" si="16"/>
        <v>0</v>
      </c>
      <c r="H161">
        <v>0</v>
      </c>
      <c r="I161">
        <v>0</v>
      </c>
      <c r="J161" s="1">
        <f t="shared" si="17"/>
        <v>0</v>
      </c>
    </row>
    <row r="163" spans="2:10" x14ac:dyDescent="0.25">
      <c r="B163" s="33" t="s">
        <v>42</v>
      </c>
      <c r="C163" s="33"/>
      <c r="D163" s="33"/>
      <c r="E163" s="33"/>
      <c r="F163" s="33"/>
      <c r="G163" s="33"/>
      <c r="H163" s="33"/>
      <c r="I163" s="33"/>
      <c r="J163" s="33"/>
    </row>
    <row r="164" spans="2:10" x14ac:dyDescent="0.25">
      <c r="B164">
        <v>1</v>
      </c>
      <c r="C164" s="2" t="s">
        <v>43</v>
      </c>
      <c r="D164" s="2">
        <v>30</v>
      </c>
      <c r="E164" s="2">
        <v>21</v>
      </c>
      <c r="F164" s="2">
        <v>7</v>
      </c>
      <c r="G164" s="2">
        <f>D164-E164-F164</f>
        <v>2</v>
      </c>
      <c r="H164" s="2">
        <v>73</v>
      </c>
      <c r="I164" s="2">
        <v>21</v>
      </c>
      <c r="J164" s="3">
        <f>E164*3+F164*1</f>
        <v>70</v>
      </c>
    </row>
    <row r="165" spans="2:10" x14ac:dyDescent="0.25">
      <c r="B165">
        <v>2</v>
      </c>
      <c r="C165" s="2" t="s">
        <v>24</v>
      </c>
      <c r="D165" s="2">
        <v>30</v>
      </c>
      <c r="E165" s="2">
        <v>21</v>
      </c>
      <c r="F165" s="2">
        <v>6</v>
      </c>
      <c r="G165" s="2">
        <f t="shared" ref="G165:G179" si="18">D165-E165-F165</f>
        <v>3</v>
      </c>
      <c r="H165" s="2">
        <v>69</v>
      </c>
      <c r="I165" s="2">
        <v>17</v>
      </c>
      <c r="J165" s="3">
        <f t="shared" ref="J165:J179" si="19">E165*3+F165*1</f>
        <v>69</v>
      </c>
    </row>
    <row r="166" spans="2:10" x14ac:dyDescent="0.25">
      <c r="B166">
        <v>3</v>
      </c>
      <c r="C166" s="2" t="s">
        <v>18</v>
      </c>
      <c r="D166" s="2">
        <v>30</v>
      </c>
      <c r="E166" s="2">
        <v>21</v>
      </c>
      <c r="F166" s="2">
        <v>4</v>
      </c>
      <c r="G166" s="2">
        <f t="shared" si="18"/>
        <v>5</v>
      </c>
      <c r="H166" s="2">
        <v>92</v>
      </c>
      <c r="I166" s="2">
        <v>32</v>
      </c>
      <c r="J166" s="3">
        <f t="shared" si="19"/>
        <v>67</v>
      </c>
    </row>
    <row r="167" spans="2:10" x14ac:dyDescent="0.25">
      <c r="B167">
        <v>4</v>
      </c>
      <c r="C167" s="2" t="s">
        <v>23</v>
      </c>
      <c r="D167" s="2">
        <v>30</v>
      </c>
      <c r="E167" s="2">
        <v>15</v>
      </c>
      <c r="F167" s="2">
        <v>8</v>
      </c>
      <c r="G167" s="2">
        <f t="shared" si="18"/>
        <v>7</v>
      </c>
      <c r="H167" s="2">
        <v>60</v>
      </c>
      <c r="I167" s="2">
        <v>27</v>
      </c>
      <c r="J167" s="3">
        <f t="shared" si="19"/>
        <v>53</v>
      </c>
    </row>
    <row r="168" spans="2:10" x14ac:dyDescent="0.25">
      <c r="B168">
        <v>5</v>
      </c>
      <c r="C168" s="2" t="s">
        <v>0</v>
      </c>
      <c r="D168" s="2">
        <v>30</v>
      </c>
      <c r="E168" s="2">
        <v>15</v>
      </c>
      <c r="F168" s="2">
        <v>6</v>
      </c>
      <c r="G168" s="2">
        <f t="shared" si="18"/>
        <v>9</v>
      </c>
      <c r="H168" s="2">
        <v>73</v>
      </c>
      <c r="I168" s="2">
        <v>36</v>
      </c>
      <c r="J168" s="3">
        <f t="shared" si="19"/>
        <v>51</v>
      </c>
    </row>
    <row r="169" spans="2:10" x14ac:dyDescent="0.25">
      <c r="B169">
        <v>6</v>
      </c>
      <c r="C169" s="2" t="s">
        <v>33</v>
      </c>
      <c r="D169" s="2">
        <v>30</v>
      </c>
      <c r="E169" s="2">
        <v>14</v>
      </c>
      <c r="F169" s="2">
        <v>5</v>
      </c>
      <c r="G169" s="2">
        <f t="shared" si="18"/>
        <v>11</v>
      </c>
      <c r="H169" s="2">
        <v>53</v>
      </c>
      <c r="I169" s="2">
        <v>36</v>
      </c>
      <c r="J169" s="3">
        <f t="shared" si="19"/>
        <v>47</v>
      </c>
    </row>
    <row r="170" spans="2:10" x14ac:dyDescent="0.25">
      <c r="B170">
        <v>7</v>
      </c>
      <c r="C170" s="2" t="s">
        <v>27</v>
      </c>
      <c r="D170" s="2">
        <v>30</v>
      </c>
      <c r="E170" s="2">
        <v>11</v>
      </c>
      <c r="F170" s="2">
        <v>10</v>
      </c>
      <c r="G170" s="2">
        <f t="shared" si="18"/>
        <v>9</v>
      </c>
      <c r="H170" s="2">
        <v>47</v>
      </c>
      <c r="I170" s="2">
        <v>27</v>
      </c>
      <c r="J170" s="3">
        <f t="shared" si="19"/>
        <v>43</v>
      </c>
    </row>
    <row r="171" spans="2:10" x14ac:dyDescent="0.25">
      <c r="B171">
        <v>8</v>
      </c>
      <c r="C171" s="2" t="s">
        <v>4</v>
      </c>
      <c r="D171" s="2">
        <v>30</v>
      </c>
      <c r="E171" s="2">
        <v>12</v>
      </c>
      <c r="F171" s="2">
        <v>5</v>
      </c>
      <c r="G171" s="2">
        <f t="shared" si="18"/>
        <v>13</v>
      </c>
      <c r="H171" s="2">
        <v>48</v>
      </c>
      <c r="I171" s="2">
        <v>46</v>
      </c>
      <c r="J171" s="3">
        <f t="shared" si="19"/>
        <v>41</v>
      </c>
    </row>
    <row r="172" spans="2:10" x14ac:dyDescent="0.25">
      <c r="B172">
        <v>9</v>
      </c>
      <c r="C172" s="2" t="s">
        <v>32</v>
      </c>
      <c r="D172" s="2">
        <v>30</v>
      </c>
      <c r="E172" s="2">
        <v>11</v>
      </c>
      <c r="F172" s="2">
        <v>7</v>
      </c>
      <c r="G172" s="2">
        <f t="shared" si="18"/>
        <v>12</v>
      </c>
      <c r="H172" s="2">
        <v>50</v>
      </c>
      <c r="I172" s="2">
        <v>42</v>
      </c>
      <c r="J172" s="3">
        <f t="shared" si="19"/>
        <v>40</v>
      </c>
    </row>
    <row r="173" spans="2:10" x14ac:dyDescent="0.25">
      <c r="B173">
        <v>10</v>
      </c>
      <c r="C173" s="2" t="s">
        <v>9</v>
      </c>
      <c r="D173" s="2">
        <v>30</v>
      </c>
      <c r="E173" s="2">
        <v>11</v>
      </c>
      <c r="F173" s="2">
        <v>5</v>
      </c>
      <c r="G173" s="2">
        <f t="shared" si="18"/>
        <v>14</v>
      </c>
      <c r="H173" s="2">
        <v>42</v>
      </c>
      <c r="I173" s="2">
        <v>40</v>
      </c>
      <c r="J173" s="3">
        <f t="shared" si="19"/>
        <v>38</v>
      </c>
    </row>
    <row r="174" spans="2:10" x14ac:dyDescent="0.25">
      <c r="B174">
        <v>11</v>
      </c>
      <c r="C174" s="2" t="s">
        <v>3</v>
      </c>
      <c r="D174" s="2">
        <v>30</v>
      </c>
      <c r="E174" s="2">
        <v>10</v>
      </c>
      <c r="F174" s="2">
        <v>4</v>
      </c>
      <c r="G174" s="2">
        <f t="shared" si="18"/>
        <v>16</v>
      </c>
      <c r="H174" s="2">
        <v>41</v>
      </c>
      <c r="I174" s="2">
        <v>54</v>
      </c>
      <c r="J174" s="3">
        <f t="shared" si="19"/>
        <v>34</v>
      </c>
    </row>
    <row r="175" spans="2:10" x14ac:dyDescent="0.25">
      <c r="B175">
        <v>12</v>
      </c>
      <c r="C175" s="2" t="s">
        <v>25</v>
      </c>
      <c r="D175" s="2">
        <v>30</v>
      </c>
      <c r="E175" s="2">
        <v>9</v>
      </c>
      <c r="F175" s="2">
        <v>6</v>
      </c>
      <c r="G175" s="2">
        <f t="shared" si="18"/>
        <v>15</v>
      </c>
      <c r="H175" s="2">
        <v>44</v>
      </c>
      <c r="I175" s="2">
        <v>51</v>
      </c>
      <c r="J175" s="3">
        <f t="shared" si="19"/>
        <v>33</v>
      </c>
    </row>
    <row r="176" spans="2:10" x14ac:dyDescent="0.25">
      <c r="B176">
        <v>13</v>
      </c>
      <c r="C176" s="2" t="s">
        <v>41</v>
      </c>
      <c r="D176" s="2">
        <v>30</v>
      </c>
      <c r="E176" s="2">
        <v>9</v>
      </c>
      <c r="F176" s="2">
        <v>4</v>
      </c>
      <c r="G176" s="2">
        <f t="shared" si="18"/>
        <v>17</v>
      </c>
      <c r="H176" s="2">
        <v>42</v>
      </c>
      <c r="I176" s="2">
        <v>53</v>
      </c>
      <c r="J176" s="3">
        <f t="shared" si="19"/>
        <v>31</v>
      </c>
    </row>
    <row r="177" spans="2:10" x14ac:dyDescent="0.25">
      <c r="B177">
        <v>14</v>
      </c>
      <c r="C177" s="2" t="s">
        <v>38</v>
      </c>
      <c r="D177" s="2">
        <v>30</v>
      </c>
      <c r="E177" s="2">
        <v>4</v>
      </c>
      <c r="F177" s="2">
        <v>3</v>
      </c>
      <c r="G177" s="2">
        <f t="shared" si="18"/>
        <v>23</v>
      </c>
      <c r="H177" s="2">
        <v>26</v>
      </c>
      <c r="I177" s="2">
        <v>88</v>
      </c>
      <c r="J177" s="3">
        <f t="shared" si="19"/>
        <v>15</v>
      </c>
    </row>
    <row r="178" spans="2:10" x14ac:dyDescent="0.25">
      <c r="B178">
        <v>15</v>
      </c>
      <c r="C178" t="s">
        <v>34</v>
      </c>
      <c r="D178">
        <v>0</v>
      </c>
      <c r="E178">
        <v>0</v>
      </c>
      <c r="F178">
        <v>0</v>
      </c>
      <c r="G178">
        <f t="shared" si="18"/>
        <v>0</v>
      </c>
      <c r="H178">
        <v>0</v>
      </c>
      <c r="I178">
        <v>0</v>
      </c>
      <c r="J178" s="1">
        <f t="shared" si="19"/>
        <v>0</v>
      </c>
    </row>
    <row r="179" spans="2:10" x14ac:dyDescent="0.25">
      <c r="B179">
        <v>16</v>
      </c>
      <c r="C179" t="s">
        <v>34</v>
      </c>
      <c r="D179">
        <v>18</v>
      </c>
      <c r="E179">
        <v>0</v>
      </c>
      <c r="F179">
        <v>0</v>
      </c>
      <c r="G179">
        <f t="shared" si="18"/>
        <v>18</v>
      </c>
      <c r="H179">
        <v>0</v>
      </c>
      <c r="I179">
        <v>180</v>
      </c>
      <c r="J179" s="1">
        <f t="shared" si="19"/>
        <v>0</v>
      </c>
    </row>
    <row r="181" spans="2:10" x14ac:dyDescent="0.25">
      <c r="B181" s="33" t="s">
        <v>44</v>
      </c>
      <c r="C181" s="33"/>
      <c r="D181" s="33"/>
      <c r="E181" s="33"/>
      <c r="F181" s="33"/>
      <c r="G181" s="33"/>
      <c r="H181" s="33"/>
      <c r="I181" s="33"/>
      <c r="J181" s="33"/>
    </row>
    <row r="182" spans="2:10" x14ac:dyDescent="0.25">
      <c r="B182">
        <v>1</v>
      </c>
      <c r="C182" s="2" t="s">
        <v>24</v>
      </c>
      <c r="D182" s="2">
        <v>30</v>
      </c>
      <c r="E182" s="2">
        <v>24</v>
      </c>
      <c r="F182" s="2">
        <v>4</v>
      </c>
      <c r="G182" s="2">
        <f>D182-E182-F182</f>
        <v>2</v>
      </c>
      <c r="H182" s="2">
        <v>83</v>
      </c>
      <c r="I182" s="2">
        <v>15</v>
      </c>
      <c r="J182" s="3">
        <f>E182*3+F182*1</f>
        <v>76</v>
      </c>
    </row>
    <row r="183" spans="2:10" x14ac:dyDescent="0.25">
      <c r="B183">
        <v>2</v>
      </c>
      <c r="C183" s="2" t="s">
        <v>23</v>
      </c>
      <c r="D183" s="2">
        <v>30</v>
      </c>
      <c r="E183" s="2">
        <v>23</v>
      </c>
      <c r="F183" s="2">
        <v>4</v>
      </c>
      <c r="G183" s="2">
        <f t="shared" ref="G183:G197" si="20">D183-E183-F183</f>
        <v>3</v>
      </c>
      <c r="H183" s="2">
        <v>106</v>
      </c>
      <c r="I183" s="2">
        <v>18</v>
      </c>
      <c r="J183" s="3">
        <f t="shared" ref="J183:J197" si="21">E183*3+F183*1</f>
        <v>73</v>
      </c>
    </row>
    <row r="184" spans="2:10" x14ac:dyDescent="0.25">
      <c r="B184">
        <v>3</v>
      </c>
      <c r="C184" s="2" t="s">
        <v>18</v>
      </c>
      <c r="D184" s="2">
        <v>30</v>
      </c>
      <c r="E184" s="2">
        <v>21</v>
      </c>
      <c r="F184" s="2">
        <v>3</v>
      </c>
      <c r="G184" s="2">
        <f t="shared" si="20"/>
        <v>6</v>
      </c>
      <c r="H184" s="2">
        <v>104</v>
      </c>
      <c r="I184" s="2">
        <v>30</v>
      </c>
      <c r="J184" s="3">
        <f t="shared" si="21"/>
        <v>66</v>
      </c>
    </row>
    <row r="185" spans="2:10" x14ac:dyDescent="0.25">
      <c r="B185">
        <v>4</v>
      </c>
      <c r="C185" s="2" t="s">
        <v>32</v>
      </c>
      <c r="D185" s="2">
        <v>30</v>
      </c>
      <c r="E185" s="2">
        <v>19</v>
      </c>
      <c r="F185" s="2">
        <v>6</v>
      </c>
      <c r="G185" s="2">
        <f t="shared" si="20"/>
        <v>5</v>
      </c>
      <c r="H185" s="2">
        <v>83</v>
      </c>
      <c r="I185" s="2">
        <v>22</v>
      </c>
      <c r="J185" s="3">
        <f t="shared" si="21"/>
        <v>63</v>
      </c>
    </row>
    <row r="186" spans="2:10" x14ac:dyDescent="0.25">
      <c r="B186">
        <v>5</v>
      </c>
      <c r="C186" s="2" t="s">
        <v>27</v>
      </c>
      <c r="D186" s="2">
        <v>30</v>
      </c>
      <c r="E186" s="2">
        <v>19</v>
      </c>
      <c r="F186" s="2">
        <v>4</v>
      </c>
      <c r="G186" s="2">
        <f t="shared" si="20"/>
        <v>7</v>
      </c>
      <c r="H186" s="2">
        <v>92</v>
      </c>
      <c r="I186" s="2">
        <v>29</v>
      </c>
      <c r="J186" s="3">
        <f t="shared" si="21"/>
        <v>61</v>
      </c>
    </row>
    <row r="187" spans="2:10" x14ac:dyDescent="0.25">
      <c r="B187">
        <v>6</v>
      </c>
      <c r="C187" s="2" t="s">
        <v>43</v>
      </c>
      <c r="D187" s="2">
        <v>30</v>
      </c>
      <c r="E187" s="2">
        <v>16</v>
      </c>
      <c r="F187" s="2">
        <v>5</v>
      </c>
      <c r="G187" s="2">
        <f t="shared" si="20"/>
        <v>9</v>
      </c>
      <c r="H187" s="2">
        <v>73</v>
      </c>
      <c r="I187" s="2">
        <v>30</v>
      </c>
      <c r="J187" s="3">
        <f t="shared" si="21"/>
        <v>53</v>
      </c>
    </row>
    <row r="188" spans="2:10" x14ac:dyDescent="0.25">
      <c r="B188">
        <v>7</v>
      </c>
      <c r="C188" s="2" t="s">
        <v>33</v>
      </c>
      <c r="D188" s="2">
        <v>30</v>
      </c>
      <c r="E188" s="2">
        <v>13</v>
      </c>
      <c r="F188" s="2">
        <v>7</v>
      </c>
      <c r="G188" s="2">
        <f t="shared" si="20"/>
        <v>10</v>
      </c>
      <c r="H188" s="2">
        <v>71</v>
      </c>
      <c r="I188" s="2">
        <v>39</v>
      </c>
      <c r="J188" s="3">
        <f t="shared" si="21"/>
        <v>46</v>
      </c>
    </row>
    <row r="189" spans="2:10" x14ac:dyDescent="0.25">
      <c r="B189">
        <v>8</v>
      </c>
      <c r="C189" s="2" t="s">
        <v>25</v>
      </c>
      <c r="D189" s="2">
        <v>30</v>
      </c>
      <c r="E189" s="2">
        <v>13</v>
      </c>
      <c r="F189" s="2">
        <v>6</v>
      </c>
      <c r="G189" s="2">
        <f t="shared" si="20"/>
        <v>11</v>
      </c>
      <c r="H189" s="2">
        <v>74</v>
      </c>
      <c r="I189" s="2">
        <v>50</v>
      </c>
      <c r="J189" s="3">
        <f t="shared" si="21"/>
        <v>45</v>
      </c>
    </row>
    <row r="190" spans="2:10" x14ac:dyDescent="0.25">
      <c r="B190">
        <v>9</v>
      </c>
      <c r="C190" s="2" t="s">
        <v>9</v>
      </c>
      <c r="D190" s="2">
        <v>30</v>
      </c>
      <c r="E190" s="2">
        <v>10</v>
      </c>
      <c r="F190" s="2">
        <v>7</v>
      </c>
      <c r="G190" s="2">
        <f t="shared" si="20"/>
        <v>13</v>
      </c>
      <c r="H190" s="2">
        <v>64</v>
      </c>
      <c r="I190" s="2">
        <v>45</v>
      </c>
      <c r="J190" s="3">
        <f t="shared" si="21"/>
        <v>37</v>
      </c>
    </row>
    <row r="191" spans="2:10" x14ac:dyDescent="0.25">
      <c r="B191">
        <v>10</v>
      </c>
      <c r="C191" s="2" t="s">
        <v>4</v>
      </c>
      <c r="D191" s="2">
        <v>30</v>
      </c>
      <c r="E191" s="2">
        <v>10</v>
      </c>
      <c r="F191" s="2">
        <v>7</v>
      </c>
      <c r="G191" s="2">
        <f t="shared" si="20"/>
        <v>13</v>
      </c>
      <c r="H191" s="2">
        <v>52</v>
      </c>
      <c r="I191" s="2">
        <v>56</v>
      </c>
      <c r="J191" s="3">
        <f t="shared" si="21"/>
        <v>37</v>
      </c>
    </row>
    <row r="192" spans="2:10" x14ac:dyDescent="0.25">
      <c r="B192">
        <v>11</v>
      </c>
      <c r="C192" s="2" t="s">
        <v>3</v>
      </c>
      <c r="D192" s="2">
        <v>30</v>
      </c>
      <c r="E192" s="2">
        <v>10</v>
      </c>
      <c r="F192" s="2">
        <v>5</v>
      </c>
      <c r="G192" s="2">
        <f t="shared" si="20"/>
        <v>15</v>
      </c>
      <c r="H192" s="2">
        <v>52</v>
      </c>
      <c r="I192" s="2">
        <v>58</v>
      </c>
      <c r="J192" s="3">
        <f t="shared" si="21"/>
        <v>35</v>
      </c>
    </row>
    <row r="193" spans="2:10" x14ac:dyDescent="0.25">
      <c r="B193">
        <v>12</v>
      </c>
      <c r="C193" s="2" t="s">
        <v>45</v>
      </c>
      <c r="D193" s="2">
        <v>30</v>
      </c>
      <c r="E193" s="2">
        <v>9</v>
      </c>
      <c r="F193" s="2">
        <v>4</v>
      </c>
      <c r="G193" s="2">
        <f t="shared" si="20"/>
        <v>17</v>
      </c>
      <c r="H193" s="2">
        <v>45</v>
      </c>
      <c r="I193" s="2">
        <v>57</v>
      </c>
      <c r="J193" s="3">
        <f t="shared" si="21"/>
        <v>31</v>
      </c>
    </row>
    <row r="194" spans="2:10" x14ac:dyDescent="0.25">
      <c r="B194">
        <v>13</v>
      </c>
      <c r="C194" s="2" t="s">
        <v>41</v>
      </c>
      <c r="D194" s="2">
        <v>30</v>
      </c>
      <c r="E194" s="2">
        <v>9</v>
      </c>
      <c r="F194" s="2">
        <v>4</v>
      </c>
      <c r="G194" s="2">
        <f t="shared" si="20"/>
        <v>17</v>
      </c>
      <c r="H194" s="2">
        <v>57</v>
      </c>
      <c r="I194" s="2">
        <v>73</v>
      </c>
      <c r="J194" s="3">
        <f t="shared" si="21"/>
        <v>31</v>
      </c>
    </row>
    <row r="195" spans="2:10" x14ac:dyDescent="0.25">
      <c r="B195">
        <v>14</v>
      </c>
      <c r="C195" s="2" t="s">
        <v>38</v>
      </c>
      <c r="D195" s="2">
        <v>30</v>
      </c>
      <c r="E195" s="2">
        <v>3</v>
      </c>
      <c r="F195" s="2">
        <v>1</v>
      </c>
      <c r="G195" s="2">
        <f t="shared" si="20"/>
        <v>26</v>
      </c>
      <c r="H195" s="2">
        <v>23</v>
      </c>
      <c r="I195" s="2">
        <v>122</v>
      </c>
      <c r="J195" s="3">
        <f t="shared" si="21"/>
        <v>10</v>
      </c>
    </row>
    <row r="196" spans="2:10" x14ac:dyDescent="0.25">
      <c r="B196">
        <v>15</v>
      </c>
      <c r="C196" t="s">
        <v>34</v>
      </c>
      <c r="D196">
        <v>21</v>
      </c>
      <c r="E196">
        <v>2</v>
      </c>
      <c r="F196">
        <v>0</v>
      </c>
      <c r="G196">
        <f t="shared" si="20"/>
        <v>19</v>
      </c>
      <c r="H196">
        <v>5</v>
      </c>
      <c r="I196">
        <v>177</v>
      </c>
      <c r="J196" s="1">
        <f t="shared" si="21"/>
        <v>6</v>
      </c>
    </row>
    <row r="197" spans="2:10" x14ac:dyDescent="0.25">
      <c r="B197">
        <v>16</v>
      </c>
      <c r="C197" t="s">
        <v>34</v>
      </c>
      <c r="D197">
        <v>14</v>
      </c>
      <c r="E197">
        <v>1</v>
      </c>
      <c r="F197">
        <v>0</v>
      </c>
      <c r="G197">
        <f t="shared" si="20"/>
        <v>13</v>
      </c>
      <c r="H197">
        <v>3</v>
      </c>
      <c r="I197">
        <v>123</v>
      </c>
      <c r="J197" s="1">
        <f t="shared" si="21"/>
        <v>3</v>
      </c>
    </row>
    <row r="199" spans="2:10" x14ac:dyDescent="0.25">
      <c r="B199" s="33" t="s">
        <v>46</v>
      </c>
      <c r="C199" s="33"/>
      <c r="D199" s="33"/>
      <c r="E199" s="33"/>
      <c r="F199" s="33"/>
      <c r="G199" s="33"/>
      <c r="H199" s="33"/>
      <c r="I199" s="33"/>
      <c r="J199" s="33"/>
    </row>
    <row r="200" spans="2:10" x14ac:dyDescent="0.25">
      <c r="B200">
        <v>1</v>
      </c>
      <c r="C200" s="2" t="s">
        <v>24</v>
      </c>
      <c r="D200" s="2">
        <v>30</v>
      </c>
      <c r="E200" s="2">
        <v>27</v>
      </c>
      <c r="F200" s="2">
        <v>3</v>
      </c>
      <c r="G200" s="2">
        <f>D200-E200-F200</f>
        <v>0</v>
      </c>
      <c r="H200" s="2">
        <v>115</v>
      </c>
      <c r="I200" s="2">
        <v>8</v>
      </c>
      <c r="J200" s="3">
        <f>E200*3+F200*1</f>
        <v>84</v>
      </c>
    </row>
    <row r="201" spans="2:10" x14ac:dyDescent="0.25">
      <c r="B201">
        <v>2</v>
      </c>
      <c r="C201" s="2" t="s">
        <v>18</v>
      </c>
      <c r="D201" s="2">
        <v>30</v>
      </c>
      <c r="E201" s="2">
        <v>21</v>
      </c>
      <c r="F201" s="2">
        <v>5</v>
      </c>
      <c r="G201" s="2">
        <f t="shared" ref="G201:G215" si="22">D201-E201-F201</f>
        <v>4</v>
      </c>
      <c r="H201" s="2">
        <v>142</v>
      </c>
      <c r="I201" s="2">
        <v>28</v>
      </c>
      <c r="J201" s="3">
        <f t="shared" ref="J201:J215" si="23">E201*3+F201*1</f>
        <v>68</v>
      </c>
    </row>
    <row r="202" spans="2:10" x14ac:dyDescent="0.25">
      <c r="B202">
        <v>3</v>
      </c>
      <c r="C202" s="2" t="s">
        <v>33</v>
      </c>
      <c r="D202" s="2">
        <v>30</v>
      </c>
      <c r="E202" s="2">
        <v>21</v>
      </c>
      <c r="F202" s="2">
        <v>3</v>
      </c>
      <c r="G202" s="2">
        <f t="shared" si="22"/>
        <v>6</v>
      </c>
      <c r="H202" s="2">
        <v>121</v>
      </c>
      <c r="I202" s="2">
        <v>25</v>
      </c>
      <c r="J202" s="3">
        <f t="shared" si="23"/>
        <v>66</v>
      </c>
    </row>
    <row r="203" spans="2:10" x14ac:dyDescent="0.25">
      <c r="B203">
        <v>4</v>
      </c>
      <c r="C203" s="2" t="s">
        <v>23</v>
      </c>
      <c r="D203" s="2">
        <v>30</v>
      </c>
      <c r="E203" s="2">
        <v>20</v>
      </c>
      <c r="F203" s="2">
        <v>5</v>
      </c>
      <c r="G203" s="2">
        <f t="shared" si="22"/>
        <v>5</v>
      </c>
      <c r="H203" s="2">
        <v>116</v>
      </c>
      <c r="I203" s="2">
        <v>25</v>
      </c>
      <c r="J203" s="3">
        <f t="shared" si="23"/>
        <v>65</v>
      </c>
    </row>
    <row r="204" spans="2:10" x14ac:dyDescent="0.25">
      <c r="B204">
        <v>5</v>
      </c>
      <c r="C204" s="2" t="s">
        <v>32</v>
      </c>
      <c r="D204" s="2">
        <v>30</v>
      </c>
      <c r="E204" s="2">
        <v>20</v>
      </c>
      <c r="F204" s="2">
        <v>4</v>
      </c>
      <c r="G204" s="2">
        <f t="shared" si="22"/>
        <v>6</v>
      </c>
      <c r="H204" s="2">
        <v>92</v>
      </c>
      <c r="I204" s="2">
        <v>22</v>
      </c>
      <c r="J204" s="3">
        <f t="shared" si="23"/>
        <v>64</v>
      </c>
    </row>
    <row r="205" spans="2:10" x14ac:dyDescent="0.25">
      <c r="B205">
        <v>6</v>
      </c>
      <c r="C205" s="2" t="s">
        <v>43</v>
      </c>
      <c r="D205" s="2">
        <v>30</v>
      </c>
      <c r="E205" s="2">
        <v>17</v>
      </c>
      <c r="F205" s="2">
        <v>3</v>
      </c>
      <c r="G205" s="2">
        <f t="shared" si="22"/>
        <v>10</v>
      </c>
      <c r="H205" s="2">
        <v>100</v>
      </c>
      <c r="I205" s="2">
        <v>36</v>
      </c>
      <c r="J205" s="3">
        <f t="shared" si="23"/>
        <v>54</v>
      </c>
    </row>
    <row r="206" spans="2:10" x14ac:dyDescent="0.25">
      <c r="B206">
        <v>7</v>
      </c>
      <c r="C206" s="2" t="s">
        <v>27</v>
      </c>
      <c r="D206" s="2">
        <v>30</v>
      </c>
      <c r="E206" s="2">
        <v>16</v>
      </c>
      <c r="F206" s="2">
        <v>2</v>
      </c>
      <c r="G206" s="2">
        <f t="shared" si="22"/>
        <v>12</v>
      </c>
      <c r="H206" s="2">
        <v>96</v>
      </c>
      <c r="I206" s="2">
        <v>38</v>
      </c>
      <c r="J206" s="3">
        <f t="shared" si="23"/>
        <v>50</v>
      </c>
    </row>
    <row r="207" spans="2:10" x14ac:dyDescent="0.25">
      <c r="B207">
        <v>8</v>
      </c>
      <c r="C207" s="2" t="s">
        <v>4</v>
      </c>
      <c r="D207" s="2">
        <v>30</v>
      </c>
      <c r="E207" s="2">
        <v>14</v>
      </c>
      <c r="F207" s="2">
        <v>4</v>
      </c>
      <c r="G207" s="2">
        <f t="shared" si="22"/>
        <v>12</v>
      </c>
      <c r="H207" s="2">
        <v>93</v>
      </c>
      <c r="I207" s="2">
        <v>34</v>
      </c>
      <c r="J207" s="3">
        <f t="shared" si="23"/>
        <v>46</v>
      </c>
    </row>
    <row r="208" spans="2:10" x14ac:dyDescent="0.25">
      <c r="B208">
        <v>9</v>
      </c>
      <c r="C208" s="2" t="s">
        <v>9</v>
      </c>
      <c r="D208" s="2">
        <v>30</v>
      </c>
      <c r="E208" s="2">
        <v>12</v>
      </c>
      <c r="F208" s="2">
        <v>7</v>
      </c>
      <c r="G208" s="2">
        <f t="shared" si="22"/>
        <v>11</v>
      </c>
      <c r="H208" s="2">
        <v>87</v>
      </c>
      <c r="I208" s="2">
        <v>46</v>
      </c>
      <c r="J208" s="3">
        <f t="shared" si="23"/>
        <v>43</v>
      </c>
    </row>
    <row r="209" spans="2:10" x14ac:dyDescent="0.25">
      <c r="B209">
        <v>10</v>
      </c>
      <c r="C209" s="2" t="s">
        <v>47</v>
      </c>
      <c r="D209" s="2">
        <v>30</v>
      </c>
      <c r="E209" s="2">
        <v>12</v>
      </c>
      <c r="F209" s="2">
        <v>3</v>
      </c>
      <c r="G209" s="2">
        <f t="shared" si="22"/>
        <v>15</v>
      </c>
      <c r="H209" s="2">
        <v>85</v>
      </c>
      <c r="I209" s="2">
        <v>52</v>
      </c>
      <c r="J209" s="3">
        <f t="shared" si="23"/>
        <v>39</v>
      </c>
    </row>
    <row r="210" spans="2:10" x14ac:dyDescent="0.25">
      <c r="B210">
        <v>11</v>
      </c>
      <c r="C210" s="2" t="s">
        <v>41</v>
      </c>
      <c r="D210" s="2">
        <v>30</v>
      </c>
      <c r="E210" s="2">
        <v>11</v>
      </c>
      <c r="F210" s="2">
        <v>3</v>
      </c>
      <c r="G210" s="2">
        <f t="shared" si="22"/>
        <v>16</v>
      </c>
      <c r="H210" s="2">
        <v>70</v>
      </c>
      <c r="I210" s="2">
        <v>58</v>
      </c>
      <c r="J210" s="3">
        <f t="shared" si="23"/>
        <v>36</v>
      </c>
    </row>
    <row r="211" spans="2:10" x14ac:dyDescent="0.25">
      <c r="B211">
        <v>12</v>
      </c>
      <c r="C211" s="2" t="s">
        <v>48</v>
      </c>
      <c r="D211" s="2">
        <v>30</v>
      </c>
      <c r="E211" s="2">
        <v>10</v>
      </c>
      <c r="F211" s="2">
        <v>5</v>
      </c>
      <c r="G211" s="2">
        <f t="shared" si="22"/>
        <v>15</v>
      </c>
      <c r="H211" s="2">
        <v>70</v>
      </c>
      <c r="I211" s="2">
        <v>55</v>
      </c>
      <c r="J211" s="3">
        <f t="shared" si="23"/>
        <v>35</v>
      </c>
    </row>
    <row r="212" spans="2:10" x14ac:dyDescent="0.25">
      <c r="B212">
        <v>13</v>
      </c>
      <c r="C212" t="s">
        <v>34</v>
      </c>
      <c r="D212">
        <v>24</v>
      </c>
      <c r="E212">
        <v>2</v>
      </c>
      <c r="F212">
        <v>1</v>
      </c>
      <c r="G212">
        <f t="shared" si="22"/>
        <v>21</v>
      </c>
      <c r="H212">
        <v>4</v>
      </c>
      <c r="I212">
        <v>210</v>
      </c>
      <c r="J212" s="1">
        <f t="shared" si="23"/>
        <v>7</v>
      </c>
    </row>
    <row r="213" spans="2:10" x14ac:dyDescent="0.25">
      <c r="B213">
        <v>14</v>
      </c>
      <c r="C213" t="s">
        <v>34</v>
      </c>
      <c r="D213">
        <v>26</v>
      </c>
      <c r="E213">
        <v>2</v>
      </c>
      <c r="F213">
        <v>1</v>
      </c>
      <c r="G213">
        <f t="shared" si="22"/>
        <v>23</v>
      </c>
      <c r="H213">
        <v>3</v>
      </c>
      <c r="I213">
        <v>236</v>
      </c>
      <c r="J213" s="1">
        <f t="shared" si="23"/>
        <v>7</v>
      </c>
    </row>
    <row r="214" spans="2:10" x14ac:dyDescent="0.25">
      <c r="B214">
        <v>15</v>
      </c>
      <c r="C214" t="s">
        <v>34</v>
      </c>
      <c r="D214">
        <v>17</v>
      </c>
      <c r="E214">
        <v>2</v>
      </c>
      <c r="F214">
        <v>0</v>
      </c>
      <c r="G214">
        <f t="shared" si="22"/>
        <v>15</v>
      </c>
      <c r="H214">
        <v>4</v>
      </c>
      <c r="I214">
        <v>144</v>
      </c>
      <c r="J214" s="1">
        <f t="shared" si="23"/>
        <v>6</v>
      </c>
    </row>
    <row r="215" spans="2:10" x14ac:dyDescent="0.25">
      <c r="B215">
        <v>16</v>
      </c>
      <c r="C215" t="s">
        <v>34</v>
      </c>
      <c r="D215">
        <v>13</v>
      </c>
      <c r="E215">
        <v>0</v>
      </c>
      <c r="F215">
        <v>0</v>
      </c>
      <c r="G215">
        <f t="shared" si="22"/>
        <v>13</v>
      </c>
      <c r="H215">
        <v>0</v>
      </c>
      <c r="I215">
        <v>111</v>
      </c>
      <c r="J215" s="1">
        <f t="shared" si="23"/>
        <v>0</v>
      </c>
    </row>
    <row r="217" spans="2:10" x14ac:dyDescent="0.25">
      <c r="B217" s="33" t="s">
        <v>49</v>
      </c>
      <c r="C217" s="33"/>
      <c r="D217" s="33"/>
      <c r="E217" s="33"/>
      <c r="F217" s="33"/>
      <c r="G217" s="33"/>
      <c r="H217" s="33"/>
      <c r="I217" s="33"/>
      <c r="J217" s="33"/>
    </row>
    <row r="218" spans="2:10" x14ac:dyDescent="0.25">
      <c r="B218">
        <v>1</v>
      </c>
      <c r="C218" s="2" t="s">
        <v>43</v>
      </c>
      <c r="D218" s="2">
        <v>30</v>
      </c>
      <c r="E218" s="2">
        <v>25</v>
      </c>
      <c r="F218" s="2">
        <v>3</v>
      </c>
      <c r="G218" s="2">
        <f>D218-E218-F218</f>
        <v>2</v>
      </c>
      <c r="H218" s="2">
        <v>104</v>
      </c>
      <c r="I218" s="2">
        <v>15</v>
      </c>
      <c r="J218" s="3">
        <f>E218*3+F218*1</f>
        <v>78</v>
      </c>
    </row>
    <row r="219" spans="2:10" x14ac:dyDescent="0.25">
      <c r="B219">
        <v>2</v>
      </c>
      <c r="C219" s="2" t="s">
        <v>24</v>
      </c>
      <c r="D219" s="2">
        <v>30</v>
      </c>
      <c r="E219" s="2">
        <v>24</v>
      </c>
      <c r="F219" s="2">
        <v>3</v>
      </c>
      <c r="G219" s="2">
        <f t="shared" ref="G219:G233" si="24">D219-E219-F219</f>
        <v>3</v>
      </c>
      <c r="H219" s="2">
        <v>103</v>
      </c>
      <c r="I219" s="2">
        <v>26</v>
      </c>
      <c r="J219" s="3">
        <f t="shared" ref="J219:J233" si="25">E219*3+F219*1</f>
        <v>75</v>
      </c>
    </row>
    <row r="220" spans="2:10" x14ac:dyDescent="0.25">
      <c r="B220">
        <v>3</v>
      </c>
      <c r="C220" s="2" t="s">
        <v>18</v>
      </c>
      <c r="D220" s="2">
        <v>30</v>
      </c>
      <c r="E220" s="2">
        <v>22</v>
      </c>
      <c r="F220" s="2">
        <v>4</v>
      </c>
      <c r="G220" s="2">
        <f t="shared" si="24"/>
        <v>4</v>
      </c>
      <c r="H220" s="2">
        <v>120</v>
      </c>
      <c r="I220" s="2">
        <v>27</v>
      </c>
      <c r="J220" s="3">
        <f t="shared" si="25"/>
        <v>70</v>
      </c>
    </row>
    <row r="221" spans="2:10" x14ac:dyDescent="0.25">
      <c r="B221">
        <v>4</v>
      </c>
      <c r="C221" s="2" t="s">
        <v>33</v>
      </c>
      <c r="D221" s="2">
        <v>30</v>
      </c>
      <c r="E221" s="2">
        <v>21</v>
      </c>
      <c r="F221" s="2">
        <v>3</v>
      </c>
      <c r="G221" s="2">
        <f t="shared" si="24"/>
        <v>6</v>
      </c>
      <c r="H221" s="2">
        <v>86</v>
      </c>
      <c r="I221" s="2">
        <v>31</v>
      </c>
      <c r="J221" s="3">
        <f t="shared" si="25"/>
        <v>66</v>
      </c>
    </row>
    <row r="222" spans="2:10" x14ac:dyDescent="0.25">
      <c r="B222">
        <v>5</v>
      </c>
      <c r="C222" s="2" t="s">
        <v>32</v>
      </c>
      <c r="D222" s="2">
        <v>30</v>
      </c>
      <c r="E222" s="2">
        <v>20</v>
      </c>
      <c r="F222" s="2">
        <v>3</v>
      </c>
      <c r="G222" s="2">
        <f t="shared" si="24"/>
        <v>7</v>
      </c>
      <c r="H222" s="2">
        <v>72</v>
      </c>
      <c r="I222" s="2">
        <v>22</v>
      </c>
      <c r="J222" s="3">
        <f t="shared" si="25"/>
        <v>63</v>
      </c>
    </row>
    <row r="223" spans="2:10" x14ac:dyDescent="0.25">
      <c r="B223">
        <v>6</v>
      </c>
      <c r="C223" s="2" t="s">
        <v>27</v>
      </c>
      <c r="D223" s="2">
        <v>30</v>
      </c>
      <c r="E223" s="2">
        <v>15</v>
      </c>
      <c r="F223" s="2">
        <v>9</v>
      </c>
      <c r="G223" s="2">
        <f t="shared" si="24"/>
        <v>6</v>
      </c>
      <c r="H223" s="2">
        <v>69</v>
      </c>
      <c r="I223" s="2">
        <v>29</v>
      </c>
      <c r="J223" s="3">
        <f t="shared" si="25"/>
        <v>54</v>
      </c>
    </row>
    <row r="224" spans="2:10" x14ac:dyDescent="0.25">
      <c r="B224">
        <v>7</v>
      </c>
      <c r="C224" s="2" t="s">
        <v>50</v>
      </c>
      <c r="D224" s="2">
        <v>30</v>
      </c>
      <c r="E224" s="2">
        <v>13</v>
      </c>
      <c r="F224" s="2">
        <v>2</v>
      </c>
      <c r="G224" s="2">
        <f t="shared" si="24"/>
        <v>15</v>
      </c>
      <c r="H224" s="2">
        <v>49</v>
      </c>
      <c r="I224" s="2">
        <v>55</v>
      </c>
      <c r="J224" s="3">
        <f t="shared" si="25"/>
        <v>41</v>
      </c>
    </row>
    <row r="225" spans="2:10" x14ac:dyDescent="0.25">
      <c r="B225">
        <v>8</v>
      </c>
      <c r="C225" s="2" t="s">
        <v>47</v>
      </c>
      <c r="D225" s="2">
        <v>30</v>
      </c>
      <c r="E225" s="2">
        <v>12</v>
      </c>
      <c r="F225" s="2">
        <v>4</v>
      </c>
      <c r="G225" s="2">
        <f t="shared" si="24"/>
        <v>14</v>
      </c>
      <c r="H225" s="2">
        <v>60</v>
      </c>
      <c r="I225" s="2">
        <v>41</v>
      </c>
      <c r="J225" s="3">
        <f t="shared" si="25"/>
        <v>40</v>
      </c>
    </row>
    <row r="226" spans="2:10" x14ac:dyDescent="0.25">
      <c r="B226">
        <v>9</v>
      </c>
      <c r="C226" s="2" t="s">
        <v>51</v>
      </c>
      <c r="D226" s="2">
        <v>30</v>
      </c>
      <c r="E226" s="2">
        <v>12</v>
      </c>
      <c r="F226" s="2">
        <v>2</v>
      </c>
      <c r="G226" s="2">
        <f t="shared" si="24"/>
        <v>16</v>
      </c>
      <c r="H226" s="2">
        <v>56</v>
      </c>
      <c r="I226" s="2">
        <v>50</v>
      </c>
      <c r="J226" s="3">
        <f t="shared" si="25"/>
        <v>38</v>
      </c>
    </row>
    <row r="227" spans="2:10" x14ac:dyDescent="0.25">
      <c r="B227">
        <v>10</v>
      </c>
      <c r="C227" s="2" t="s">
        <v>48</v>
      </c>
      <c r="D227" s="2">
        <v>30</v>
      </c>
      <c r="E227" s="2">
        <v>8</v>
      </c>
      <c r="F227" s="2">
        <v>8</v>
      </c>
      <c r="G227" s="2">
        <f t="shared" si="24"/>
        <v>14</v>
      </c>
      <c r="H227" s="2">
        <v>46</v>
      </c>
      <c r="I227" s="2">
        <v>59</v>
      </c>
      <c r="J227" s="3">
        <f t="shared" si="25"/>
        <v>32</v>
      </c>
    </row>
    <row r="228" spans="2:10" x14ac:dyDescent="0.25">
      <c r="B228">
        <v>11</v>
      </c>
      <c r="C228" s="2" t="s">
        <v>52</v>
      </c>
      <c r="D228" s="2">
        <v>30</v>
      </c>
      <c r="E228" s="2">
        <v>9</v>
      </c>
      <c r="F228" s="2">
        <v>5</v>
      </c>
      <c r="G228" s="2">
        <f t="shared" si="24"/>
        <v>16</v>
      </c>
      <c r="H228" s="2">
        <v>45</v>
      </c>
      <c r="I228" s="2">
        <v>72</v>
      </c>
      <c r="J228" s="3">
        <f t="shared" si="25"/>
        <v>32</v>
      </c>
    </row>
    <row r="229" spans="2:10" x14ac:dyDescent="0.25">
      <c r="B229">
        <v>12</v>
      </c>
      <c r="C229" s="2" t="s">
        <v>53</v>
      </c>
      <c r="D229" s="2">
        <v>30</v>
      </c>
      <c r="E229" s="2">
        <v>8</v>
      </c>
      <c r="F229" s="2">
        <v>3</v>
      </c>
      <c r="G229" s="2">
        <f t="shared" si="24"/>
        <v>19</v>
      </c>
      <c r="H229" s="2">
        <v>31</v>
      </c>
      <c r="I229" s="2">
        <v>50</v>
      </c>
      <c r="J229" s="3">
        <f t="shared" si="25"/>
        <v>27</v>
      </c>
    </row>
    <row r="230" spans="2:10" x14ac:dyDescent="0.25">
      <c r="B230">
        <v>13</v>
      </c>
      <c r="C230" s="2" t="s">
        <v>9</v>
      </c>
      <c r="D230" s="2">
        <v>30</v>
      </c>
      <c r="E230" s="2">
        <v>3</v>
      </c>
      <c r="F230" s="2">
        <v>6</v>
      </c>
      <c r="G230" s="2">
        <f t="shared" si="24"/>
        <v>21</v>
      </c>
      <c r="H230" s="2">
        <v>17</v>
      </c>
      <c r="I230" s="2">
        <v>64</v>
      </c>
      <c r="J230" s="3">
        <f t="shared" si="25"/>
        <v>15</v>
      </c>
    </row>
    <row r="231" spans="2:10" x14ac:dyDescent="0.25">
      <c r="B231">
        <v>14</v>
      </c>
      <c r="C231" s="2" t="s">
        <v>41</v>
      </c>
      <c r="D231" s="2">
        <v>30</v>
      </c>
      <c r="E231" s="2">
        <v>3</v>
      </c>
      <c r="F231" s="2">
        <v>5</v>
      </c>
      <c r="G231" s="2">
        <f t="shared" si="24"/>
        <v>22</v>
      </c>
      <c r="H231" s="2">
        <v>26</v>
      </c>
      <c r="I231" s="2">
        <v>73</v>
      </c>
      <c r="J231" s="3">
        <f t="shared" si="25"/>
        <v>14</v>
      </c>
    </row>
    <row r="232" spans="2:10" x14ac:dyDescent="0.25">
      <c r="B232">
        <v>15</v>
      </c>
      <c r="C232" t="s">
        <v>34</v>
      </c>
      <c r="D232">
        <v>30</v>
      </c>
      <c r="E232">
        <v>2</v>
      </c>
      <c r="F232">
        <v>0</v>
      </c>
      <c r="G232">
        <f t="shared" si="24"/>
        <v>28</v>
      </c>
      <c r="H232">
        <v>6</v>
      </c>
      <c r="I232">
        <v>283</v>
      </c>
      <c r="J232" s="1">
        <f t="shared" si="25"/>
        <v>6</v>
      </c>
    </row>
    <row r="233" spans="2:10" x14ac:dyDescent="0.25">
      <c r="B233">
        <v>16</v>
      </c>
      <c r="C233" t="s">
        <v>34</v>
      </c>
      <c r="D233">
        <v>1</v>
      </c>
      <c r="E233">
        <v>0</v>
      </c>
      <c r="F233">
        <v>0</v>
      </c>
      <c r="G233">
        <f t="shared" si="24"/>
        <v>1</v>
      </c>
      <c r="H233">
        <v>0</v>
      </c>
      <c r="I233">
        <v>9</v>
      </c>
      <c r="J233" s="1">
        <f t="shared" si="25"/>
        <v>0</v>
      </c>
    </row>
    <row r="235" spans="2:10" x14ac:dyDescent="0.25">
      <c r="B235" s="33" t="s">
        <v>54</v>
      </c>
      <c r="C235" s="33"/>
      <c r="D235" s="33"/>
      <c r="E235" s="33"/>
      <c r="F235" s="33"/>
      <c r="G235" s="33"/>
      <c r="H235" s="33"/>
      <c r="I235" s="33"/>
      <c r="J235" s="33"/>
    </row>
    <row r="236" spans="2:10" x14ac:dyDescent="0.25">
      <c r="B236">
        <v>1</v>
      </c>
      <c r="C236" s="2" t="s">
        <v>18</v>
      </c>
      <c r="D236" s="2">
        <v>30</v>
      </c>
      <c r="E236" s="2">
        <v>27</v>
      </c>
      <c r="F236" s="2">
        <v>1</v>
      </c>
      <c r="G236" s="2">
        <f>D236-E236-F236</f>
        <v>2</v>
      </c>
      <c r="H236" s="2">
        <v>163</v>
      </c>
      <c r="I236" s="2">
        <v>16</v>
      </c>
      <c r="J236" s="3">
        <f>E236*3+F236*1</f>
        <v>82</v>
      </c>
    </row>
    <row r="237" spans="2:10" x14ac:dyDescent="0.25">
      <c r="B237">
        <v>2</v>
      </c>
      <c r="C237" s="2" t="s">
        <v>43</v>
      </c>
      <c r="D237" s="2">
        <v>30</v>
      </c>
      <c r="E237" s="2">
        <v>25</v>
      </c>
      <c r="F237" s="2">
        <v>2</v>
      </c>
      <c r="G237" s="2">
        <f t="shared" ref="G237:G251" si="26">D237-E237-F237</f>
        <v>3</v>
      </c>
      <c r="H237" s="2">
        <v>108</v>
      </c>
      <c r="I237" s="2">
        <v>17</v>
      </c>
      <c r="J237" s="3">
        <f t="shared" ref="J237:J251" si="27">E237*3+F237*1</f>
        <v>77</v>
      </c>
    </row>
    <row r="238" spans="2:10" x14ac:dyDescent="0.25">
      <c r="B238">
        <v>3</v>
      </c>
      <c r="C238" s="2" t="s">
        <v>32</v>
      </c>
      <c r="D238" s="2">
        <v>30</v>
      </c>
      <c r="E238" s="2">
        <v>21</v>
      </c>
      <c r="F238" s="2">
        <v>7</v>
      </c>
      <c r="G238" s="2">
        <f t="shared" si="26"/>
        <v>2</v>
      </c>
      <c r="H238" s="2">
        <v>104</v>
      </c>
      <c r="I238" s="2">
        <v>17</v>
      </c>
      <c r="J238" s="3">
        <f t="shared" si="27"/>
        <v>70</v>
      </c>
    </row>
    <row r="239" spans="2:10" x14ac:dyDescent="0.25">
      <c r="B239">
        <v>4</v>
      </c>
      <c r="C239" s="2" t="s">
        <v>33</v>
      </c>
      <c r="D239" s="2">
        <v>30</v>
      </c>
      <c r="E239" s="2">
        <v>18</v>
      </c>
      <c r="F239" s="2">
        <v>6</v>
      </c>
      <c r="G239" s="2">
        <f t="shared" si="26"/>
        <v>6</v>
      </c>
      <c r="H239" s="2">
        <v>105</v>
      </c>
      <c r="I239" s="2">
        <v>30</v>
      </c>
      <c r="J239" s="3">
        <f t="shared" si="27"/>
        <v>60</v>
      </c>
    </row>
    <row r="240" spans="2:10" x14ac:dyDescent="0.25">
      <c r="B240">
        <v>5</v>
      </c>
      <c r="C240" s="2" t="s">
        <v>27</v>
      </c>
      <c r="D240" s="2">
        <v>30</v>
      </c>
      <c r="E240" s="2">
        <v>17</v>
      </c>
      <c r="F240" s="2">
        <v>7</v>
      </c>
      <c r="G240" s="2">
        <f t="shared" si="26"/>
        <v>6</v>
      </c>
      <c r="H240" s="2">
        <v>78</v>
      </c>
      <c r="I240" s="2">
        <v>18</v>
      </c>
      <c r="J240" s="3">
        <f t="shared" si="27"/>
        <v>58</v>
      </c>
    </row>
    <row r="241" spans="2:10" x14ac:dyDescent="0.25">
      <c r="B241">
        <v>6</v>
      </c>
      <c r="C241" s="2" t="s">
        <v>51</v>
      </c>
      <c r="D241" s="2">
        <v>30</v>
      </c>
      <c r="E241" s="2">
        <v>17</v>
      </c>
      <c r="F241" s="2">
        <v>4</v>
      </c>
      <c r="G241" s="2">
        <f t="shared" si="26"/>
        <v>9</v>
      </c>
      <c r="H241" s="2">
        <v>82</v>
      </c>
      <c r="I241" s="2">
        <v>36</v>
      </c>
      <c r="J241" s="3">
        <f t="shared" si="27"/>
        <v>55</v>
      </c>
    </row>
    <row r="242" spans="2:10" x14ac:dyDescent="0.25">
      <c r="B242">
        <v>7</v>
      </c>
      <c r="C242" s="2" t="s">
        <v>55</v>
      </c>
      <c r="D242" s="2">
        <v>30</v>
      </c>
      <c r="E242" s="2">
        <v>14</v>
      </c>
      <c r="F242" s="2">
        <v>4</v>
      </c>
      <c r="G242" s="2">
        <f t="shared" si="26"/>
        <v>12</v>
      </c>
      <c r="H242" s="2">
        <v>64</v>
      </c>
      <c r="I242" s="2">
        <v>37</v>
      </c>
      <c r="J242" s="3">
        <f t="shared" si="27"/>
        <v>46</v>
      </c>
    </row>
    <row r="243" spans="2:10" x14ac:dyDescent="0.25">
      <c r="B243">
        <v>8</v>
      </c>
      <c r="C243" s="2" t="s">
        <v>53</v>
      </c>
      <c r="D243" s="2">
        <v>30</v>
      </c>
      <c r="E243" s="2">
        <v>12</v>
      </c>
      <c r="F243" s="2">
        <v>4</v>
      </c>
      <c r="G243" s="2">
        <f t="shared" si="26"/>
        <v>14</v>
      </c>
      <c r="H243" s="2">
        <v>64</v>
      </c>
      <c r="I243" s="2">
        <v>54</v>
      </c>
      <c r="J243" s="3">
        <f t="shared" si="27"/>
        <v>40</v>
      </c>
    </row>
    <row r="244" spans="2:10" x14ac:dyDescent="0.25">
      <c r="B244">
        <v>9</v>
      </c>
      <c r="C244" s="2" t="s">
        <v>41</v>
      </c>
      <c r="D244" s="2">
        <v>30</v>
      </c>
      <c r="E244" s="2">
        <v>11</v>
      </c>
      <c r="F244" s="2">
        <v>5</v>
      </c>
      <c r="G244" s="2">
        <f t="shared" si="26"/>
        <v>14</v>
      </c>
      <c r="H244" s="2">
        <v>56</v>
      </c>
      <c r="I244" s="2">
        <v>42</v>
      </c>
      <c r="J244" s="3">
        <f t="shared" si="27"/>
        <v>38</v>
      </c>
    </row>
    <row r="245" spans="2:10" x14ac:dyDescent="0.25">
      <c r="B245">
        <v>10</v>
      </c>
      <c r="C245" s="2" t="s">
        <v>47</v>
      </c>
      <c r="D245" s="2">
        <v>30</v>
      </c>
      <c r="E245" s="2">
        <v>11</v>
      </c>
      <c r="F245" s="2">
        <v>5</v>
      </c>
      <c r="G245" s="2">
        <f t="shared" si="26"/>
        <v>14</v>
      </c>
      <c r="H245" s="2">
        <v>67</v>
      </c>
      <c r="I245" s="2">
        <v>60</v>
      </c>
      <c r="J245" s="3">
        <f t="shared" si="27"/>
        <v>38</v>
      </c>
    </row>
    <row r="246" spans="2:10" x14ac:dyDescent="0.25">
      <c r="B246">
        <v>11</v>
      </c>
      <c r="C246" s="2" t="s">
        <v>50</v>
      </c>
      <c r="D246" s="2">
        <v>30</v>
      </c>
      <c r="E246" s="2">
        <v>12</v>
      </c>
      <c r="F246" s="2">
        <v>0</v>
      </c>
      <c r="G246" s="2">
        <f t="shared" si="26"/>
        <v>18</v>
      </c>
      <c r="H246" s="2">
        <v>72</v>
      </c>
      <c r="I246" s="2">
        <v>55</v>
      </c>
      <c r="J246" s="3">
        <f t="shared" si="27"/>
        <v>36</v>
      </c>
    </row>
    <row r="247" spans="2:10" x14ac:dyDescent="0.25">
      <c r="B247">
        <v>12</v>
      </c>
      <c r="C247" s="2" t="s">
        <v>56</v>
      </c>
      <c r="D247" s="2">
        <v>30</v>
      </c>
      <c r="E247" s="2">
        <v>9</v>
      </c>
      <c r="F247" s="2">
        <v>4</v>
      </c>
      <c r="G247" s="2">
        <f t="shared" si="26"/>
        <v>17</v>
      </c>
      <c r="H247" s="2">
        <v>47</v>
      </c>
      <c r="I247" s="2">
        <v>69</v>
      </c>
      <c r="J247" s="3">
        <f t="shared" si="27"/>
        <v>31</v>
      </c>
    </row>
    <row r="248" spans="2:10" x14ac:dyDescent="0.25">
      <c r="B248">
        <v>13</v>
      </c>
      <c r="C248" s="2" t="s">
        <v>52</v>
      </c>
      <c r="D248" s="2">
        <v>30</v>
      </c>
      <c r="E248" s="2">
        <v>9</v>
      </c>
      <c r="F248" s="2">
        <v>2</v>
      </c>
      <c r="G248" s="2">
        <f t="shared" si="26"/>
        <v>19</v>
      </c>
      <c r="H248" s="2">
        <v>46</v>
      </c>
      <c r="I248" s="2">
        <v>67</v>
      </c>
      <c r="J248" s="3">
        <f t="shared" si="27"/>
        <v>29</v>
      </c>
    </row>
    <row r="249" spans="2:10" x14ac:dyDescent="0.25">
      <c r="B249">
        <v>14</v>
      </c>
      <c r="C249" s="2" t="s">
        <v>24</v>
      </c>
      <c r="D249" s="2">
        <v>30</v>
      </c>
      <c r="E249" s="2">
        <v>5</v>
      </c>
      <c r="F249" s="2">
        <v>1</v>
      </c>
      <c r="G249" s="2">
        <f t="shared" si="26"/>
        <v>24</v>
      </c>
      <c r="H249" s="2">
        <v>31</v>
      </c>
      <c r="I249" s="2">
        <v>175</v>
      </c>
      <c r="J249" s="3">
        <f t="shared" si="27"/>
        <v>16</v>
      </c>
    </row>
    <row r="250" spans="2:10" x14ac:dyDescent="0.25">
      <c r="B250">
        <v>15</v>
      </c>
      <c r="C250" t="s">
        <v>34</v>
      </c>
      <c r="D250">
        <v>30</v>
      </c>
      <c r="E250">
        <v>2</v>
      </c>
      <c r="F250">
        <v>0</v>
      </c>
      <c r="G250">
        <f t="shared" si="26"/>
        <v>28</v>
      </c>
      <c r="H250">
        <v>6</v>
      </c>
      <c r="I250">
        <v>287</v>
      </c>
      <c r="J250" s="1">
        <f t="shared" si="27"/>
        <v>6</v>
      </c>
    </row>
    <row r="251" spans="2:10" x14ac:dyDescent="0.25">
      <c r="B251">
        <v>16</v>
      </c>
      <c r="C251" t="s">
        <v>34</v>
      </c>
      <c r="D251">
        <v>6</v>
      </c>
      <c r="E251">
        <v>0</v>
      </c>
      <c r="F251">
        <v>0</v>
      </c>
      <c r="G251">
        <f t="shared" si="26"/>
        <v>6</v>
      </c>
      <c r="H251">
        <v>0</v>
      </c>
      <c r="I251">
        <v>52</v>
      </c>
      <c r="J251" s="1">
        <f t="shared" si="27"/>
        <v>0</v>
      </c>
    </row>
    <row r="253" spans="2:10" x14ac:dyDescent="0.25">
      <c r="B253" s="33" t="s">
        <v>57</v>
      </c>
      <c r="C253" s="33"/>
      <c r="D253" s="33"/>
      <c r="E253" s="33"/>
      <c r="F253" s="33"/>
      <c r="G253" s="33"/>
      <c r="H253" s="33"/>
      <c r="I253" s="33"/>
      <c r="J253" s="33"/>
    </row>
    <row r="254" spans="2:10" x14ac:dyDescent="0.25">
      <c r="B254">
        <v>1</v>
      </c>
      <c r="C254" s="2" t="s">
        <v>18</v>
      </c>
      <c r="D254" s="2">
        <v>30</v>
      </c>
      <c r="E254" s="2">
        <v>23</v>
      </c>
      <c r="F254" s="2">
        <v>4</v>
      </c>
      <c r="G254" s="2">
        <f>D254-E254-F254</f>
        <v>3</v>
      </c>
      <c r="H254" s="2">
        <v>144</v>
      </c>
      <c r="I254" s="2">
        <v>23</v>
      </c>
      <c r="J254" s="3">
        <f>E254*3+F254*1</f>
        <v>73</v>
      </c>
    </row>
    <row r="255" spans="2:10" x14ac:dyDescent="0.25">
      <c r="B255">
        <v>2</v>
      </c>
      <c r="C255" s="2" t="s">
        <v>33</v>
      </c>
      <c r="D255" s="2">
        <v>30</v>
      </c>
      <c r="E255" s="2">
        <v>22</v>
      </c>
      <c r="F255" s="2">
        <v>5</v>
      </c>
      <c r="G255" s="2">
        <f t="shared" ref="G255:G269" si="28">D255-E255-F255</f>
        <v>3</v>
      </c>
      <c r="H255" s="2">
        <v>107</v>
      </c>
      <c r="I255" s="2">
        <v>19</v>
      </c>
      <c r="J255" s="3">
        <f t="shared" ref="J255:J269" si="29">E255*3+F255*1</f>
        <v>71</v>
      </c>
    </row>
    <row r="256" spans="2:10" x14ac:dyDescent="0.25">
      <c r="B256">
        <v>3</v>
      </c>
      <c r="C256" s="2" t="s">
        <v>32</v>
      </c>
      <c r="D256" s="2">
        <v>30</v>
      </c>
      <c r="E256" s="2">
        <v>20</v>
      </c>
      <c r="F256" s="2">
        <v>9</v>
      </c>
      <c r="G256" s="2">
        <f t="shared" si="28"/>
        <v>1</v>
      </c>
      <c r="H256" s="2">
        <v>121</v>
      </c>
      <c r="I256" s="2">
        <v>19</v>
      </c>
      <c r="J256" s="3">
        <f t="shared" si="29"/>
        <v>69</v>
      </c>
    </row>
    <row r="257" spans="2:10" x14ac:dyDescent="0.25">
      <c r="B257">
        <v>4</v>
      </c>
      <c r="C257" s="2" t="s">
        <v>27</v>
      </c>
      <c r="D257" s="2">
        <v>30</v>
      </c>
      <c r="E257" s="2">
        <v>19</v>
      </c>
      <c r="F257" s="2">
        <v>4</v>
      </c>
      <c r="G257" s="2">
        <f t="shared" si="28"/>
        <v>7</v>
      </c>
      <c r="H257" s="2">
        <v>77</v>
      </c>
      <c r="I257" s="2">
        <v>30</v>
      </c>
      <c r="J257" s="3">
        <f t="shared" si="29"/>
        <v>61</v>
      </c>
    </row>
    <row r="258" spans="2:10" x14ac:dyDescent="0.25">
      <c r="B258">
        <v>5</v>
      </c>
      <c r="C258" s="2" t="s">
        <v>51</v>
      </c>
      <c r="D258" s="2">
        <v>30</v>
      </c>
      <c r="E258" s="2">
        <v>17</v>
      </c>
      <c r="F258" s="2">
        <v>7</v>
      </c>
      <c r="G258" s="2">
        <f t="shared" si="28"/>
        <v>6</v>
      </c>
      <c r="H258" s="2">
        <v>69</v>
      </c>
      <c r="I258" s="2">
        <v>31</v>
      </c>
      <c r="J258" s="3">
        <f t="shared" si="29"/>
        <v>58</v>
      </c>
    </row>
    <row r="259" spans="2:10" x14ac:dyDescent="0.25">
      <c r="B259">
        <v>6</v>
      </c>
      <c r="C259" s="2" t="s">
        <v>43</v>
      </c>
      <c r="D259" s="2">
        <v>30</v>
      </c>
      <c r="E259" s="2">
        <v>16</v>
      </c>
      <c r="F259" s="2">
        <v>8</v>
      </c>
      <c r="G259" s="2">
        <f t="shared" si="28"/>
        <v>6</v>
      </c>
      <c r="H259" s="2">
        <v>78</v>
      </c>
      <c r="I259" s="2">
        <v>30</v>
      </c>
      <c r="J259" s="3">
        <f t="shared" si="29"/>
        <v>56</v>
      </c>
    </row>
    <row r="260" spans="2:10" x14ac:dyDescent="0.25">
      <c r="B260">
        <v>7</v>
      </c>
      <c r="C260" s="2" t="s">
        <v>50</v>
      </c>
      <c r="D260" s="2">
        <v>30</v>
      </c>
      <c r="E260" s="2">
        <v>14</v>
      </c>
      <c r="F260" s="2">
        <v>6</v>
      </c>
      <c r="G260" s="2">
        <f t="shared" si="28"/>
        <v>10</v>
      </c>
      <c r="H260" s="2">
        <v>62</v>
      </c>
      <c r="I260" s="2">
        <v>44</v>
      </c>
      <c r="J260" s="3">
        <f t="shared" si="29"/>
        <v>48</v>
      </c>
    </row>
    <row r="261" spans="2:10" x14ac:dyDescent="0.25">
      <c r="B261">
        <v>8</v>
      </c>
      <c r="C261" s="2" t="s">
        <v>24</v>
      </c>
      <c r="D261" s="2">
        <v>30</v>
      </c>
      <c r="E261" s="2">
        <v>14</v>
      </c>
      <c r="F261" s="2">
        <v>5</v>
      </c>
      <c r="G261" s="2">
        <f t="shared" si="28"/>
        <v>11</v>
      </c>
      <c r="H261" s="2">
        <v>94</v>
      </c>
      <c r="I261" s="2">
        <v>43</v>
      </c>
      <c r="J261" s="3">
        <f t="shared" si="29"/>
        <v>47</v>
      </c>
    </row>
    <row r="262" spans="2:10" x14ac:dyDescent="0.25">
      <c r="B262">
        <v>9</v>
      </c>
      <c r="C262" s="2" t="s">
        <v>55</v>
      </c>
      <c r="D262" s="2">
        <v>30</v>
      </c>
      <c r="E262" s="2">
        <v>13</v>
      </c>
      <c r="F262" s="2">
        <v>8</v>
      </c>
      <c r="G262" s="2">
        <f t="shared" si="28"/>
        <v>9</v>
      </c>
      <c r="H262" s="2">
        <v>58</v>
      </c>
      <c r="I262" s="2">
        <v>40</v>
      </c>
      <c r="J262" s="3">
        <f t="shared" si="29"/>
        <v>47</v>
      </c>
    </row>
    <row r="263" spans="2:10" x14ac:dyDescent="0.25">
      <c r="B263">
        <v>10</v>
      </c>
      <c r="C263" s="2" t="s">
        <v>58</v>
      </c>
      <c r="D263" s="2">
        <v>30</v>
      </c>
      <c r="E263" s="2">
        <v>9</v>
      </c>
      <c r="F263" s="2">
        <v>7</v>
      </c>
      <c r="G263" s="2">
        <f t="shared" si="28"/>
        <v>14</v>
      </c>
      <c r="H263" s="2">
        <v>67</v>
      </c>
      <c r="I263" s="2">
        <v>61</v>
      </c>
      <c r="J263" s="3">
        <f t="shared" si="29"/>
        <v>34</v>
      </c>
    </row>
    <row r="264" spans="2:10" x14ac:dyDescent="0.25">
      <c r="B264">
        <v>11</v>
      </c>
      <c r="C264" s="2" t="s">
        <v>53</v>
      </c>
      <c r="D264" s="2">
        <v>30</v>
      </c>
      <c r="E264" s="2">
        <v>10</v>
      </c>
      <c r="F264" s="2">
        <v>4</v>
      </c>
      <c r="G264" s="2">
        <f t="shared" si="28"/>
        <v>16</v>
      </c>
      <c r="H264" s="2">
        <v>44</v>
      </c>
      <c r="I264" s="2">
        <v>58</v>
      </c>
      <c r="J264" s="3">
        <f t="shared" si="29"/>
        <v>34</v>
      </c>
    </row>
    <row r="265" spans="2:10" x14ac:dyDescent="0.25">
      <c r="B265">
        <v>12</v>
      </c>
      <c r="C265" s="2" t="s">
        <v>56</v>
      </c>
      <c r="D265" s="2">
        <v>30</v>
      </c>
      <c r="E265" s="2">
        <v>9</v>
      </c>
      <c r="F265" s="2">
        <v>4</v>
      </c>
      <c r="G265" s="2">
        <f t="shared" si="28"/>
        <v>17</v>
      </c>
      <c r="H265" s="2">
        <v>51</v>
      </c>
      <c r="I265" s="2">
        <v>70</v>
      </c>
      <c r="J265" s="3">
        <f t="shared" si="29"/>
        <v>31</v>
      </c>
    </row>
    <row r="266" spans="2:10" x14ac:dyDescent="0.25">
      <c r="B266">
        <v>13</v>
      </c>
      <c r="C266" s="2" t="s">
        <v>59</v>
      </c>
      <c r="D266" s="2">
        <v>30</v>
      </c>
      <c r="E266" s="2">
        <v>6</v>
      </c>
      <c r="F266" s="2">
        <v>3</v>
      </c>
      <c r="G266" s="2">
        <f t="shared" si="28"/>
        <v>21</v>
      </c>
      <c r="H266" s="2">
        <v>27</v>
      </c>
      <c r="I266" s="2">
        <v>69</v>
      </c>
      <c r="J266" s="3">
        <f t="shared" si="29"/>
        <v>21</v>
      </c>
    </row>
    <row r="267" spans="2:10" x14ac:dyDescent="0.25">
      <c r="B267">
        <v>14</v>
      </c>
      <c r="C267" s="2" t="s">
        <v>52</v>
      </c>
      <c r="D267" s="2">
        <v>30</v>
      </c>
      <c r="E267" s="2">
        <v>4</v>
      </c>
      <c r="F267" s="2">
        <v>2</v>
      </c>
      <c r="G267" s="2">
        <f t="shared" si="28"/>
        <v>24</v>
      </c>
      <c r="H267" s="2">
        <v>33</v>
      </c>
      <c r="I267" s="2">
        <v>84</v>
      </c>
      <c r="J267" s="3">
        <f t="shared" si="29"/>
        <v>14</v>
      </c>
    </row>
    <row r="268" spans="2:10" x14ac:dyDescent="0.25">
      <c r="B268">
        <v>15</v>
      </c>
      <c r="C268" t="s">
        <v>34</v>
      </c>
      <c r="D268">
        <v>8</v>
      </c>
      <c r="E268">
        <v>0</v>
      </c>
      <c r="F268">
        <v>0</v>
      </c>
      <c r="G268">
        <f t="shared" si="28"/>
        <v>8</v>
      </c>
      <c r="H268">
        <v>0</v>
      </c>
      <c r="I268">
        <v>92</v>
      </c>
      <c r="J268" s="1">
        <f t="shared" si="29"/>
        <v>0</v>
      </c>
    </row>
    <row r="269" spans="2:10" x14ac:dyDescent="0.25">
      <c r="B269">
        <v>16</v>
      </c>
      <c r="C269" t="s">
        <v>34</v>
      </c>
      <c r="D269">
        <v>24</v>
      </c>
      <c r="E269">
        <v>0</v>
      </c>
      <c r="F269">
        <v>0</v>
      </c>
      <c r="G269">
        <f t="shared" si="28"/>
        <v>24</v>
      </c>
      <c r="H269">
        <v>0</v>
      </c>
      <c r="I269">
        <v>271</v>
      </c>
      <c r="J269" s="1">
        <f t="shared" si="29"/>
        <v>0</v>
      </c>
    </row>
    <row r="271" spans="2:10" x14ac:dyDescent="0.25">
      <c r="B271" s="33" t="s">
        <v>60</v>
      </c>
      <c r="C271" s="33"/>
      <c r="D271" s="33"/>
      <c r="E271" s="33"/>
      <c r="F271" s="33"/>
      <c r="G271" s="33"/>
      <c r="H271" s="33"/>
      <c r="I271" s="33"/>
      <c r="J271" s="33"/>
    </row>
    <row r="272" spans="2:10" x14ac:dyDescent="0.25">
      <c r="B272">
        <v>1</v>
      </c>
      <c r="C272" s="2" t="s">
        <v>33</v>
      </c>
      <c r="D272" s="2">
        <v>30</v>
      </c>
      <c r="E272" s="2">
        <v>28</v>
      </c>
      <c r="F272" s="2">
        <v>1</v>
      </c>
      <c r="G272" s="2">
        <f>D272-E272-F272</f>
        <v>1</v>
      </c>
      <c r="H272" s="2">
        <v>121</v>
      </c>
      <c r="I272" s="2">
        <v>13</v>
      </c>
      <c r="J272" s="3">
        <f>E272*3+F272*1</f>
        <v>85</v>
      </c>
    </row>
    <row r="273" spans="2:10" x14ac:dyDescent="0.25">
      <c r="B273">
        <v>2</v>
      </c>
      <c r="C273" s="2" t="s">
        <v>18</v>
      </c>
      <c r="D273" s="2">
        <v>30</v>
      </c>
      <c r="E273" s="2">
        <v>25</v>
      </c>
      <c r="F273" s="2">
        <v>3</v>
      </c>
      <c r="G273" s="2">
        <f t="shared" ref="G273:G287" si="30">D273-E273-F273</f>
        <v>2</v>
      </c>
      <c r="H273" s="2">
        <v>128</v>
      </c>
      <c r="I273" s="2">
        <v>20</v>
      </c>
      <c r="J273" s="3">
        <f t="shared" ref="J273:J287" si="31">E273*3+F273*1</f>
        <v>78</v>
      </c>
    </row>
    <row r="274" spans="2:10" x14ac:dyDescent="0.25">
      <c r="B274">
        <v>3</v>
      </c>
      <c r="C274" s="2" t="s">
        <v>32</v>
      </c>
      <c r="D274" s="2">
        <v>30</v>
      </c>
      <c r="E274" s="2">
        <v>23</v>
      </c>
      <c r="F274" s="2">
        <v>2</v>
      </c>
      <c r="G274" s="2">
        <f t="shared" si="30"/>
        <v>5</v>
      </c>
      <c r="H274" s="2">
        <v>105</v>
      </c>
      <c r="I274" s="2">
        <v>23</v>
      </c>
      <c r="J274" s="3">
        <f t="shared" si="31"/>
        <v>71</v>
      </c>
    </row>
    <row r="275" spans="2:10" x14ac:dyDescent="0.25">
      <c r="B275">
        <v>4</v>
      </c>
      <c r="C275" s="2" t="s">
        <v>24</v>
      </c>
      <c r="D275" s="2">
        <v>30</v>
      </c>
      <c r="E275" s="2">
        <v>20</v>
      </c>
      <c r="F275" s="2">
        <v>3</v>
      </c>
      <c r="G275" s="2">
        <f t="shared" si="30"/>
        <v>7</v>
      </c>
      <c r="H275" s="2">
        <v>112</v>
      </c>
      <c r="I275" s="2">
        <v>36</v>
      </c>
      <c r="J275" s="3">
        <f t="shared" si="31"/>
        <v>63</v>
      </c>
    </row>
    <row r="276" spans="2:10" x14ac:dyDescent="0.25">
      <c r="B276">
        <v>5</v>
      </c>
      <c r="C276" s="2" t="s">
        <v>51</v>
      </c>
      <c r="D276" s="2">
        <v>30</v>
      </c>
      <c r="E276" s="2">
        <v>19</v>
      </c>
      <c r="F276" s="2">
        <v>4</v>
      </c>
      <c r="G276" s="2">
        <f t="shared" si="30"/>
        <v>7</v>
      </c>
      <c r="H276" s="2">
        <v>81</v>
      </c>
      <c r="I276" s="2">
        <v>34</v>
      </c>
      <c r="J276" s="3">
        <f t="shared" si="31"/>
        <v>61</v>
      </c>
    </row>
    <row r="277" spans="2:10" x14ac:dyDescent="0.25">
      <c r="B277">
        <v>6</v>
      </c>
      <c r="C277" s="2" t="s">
        <v>50</v>
      </c>
      <c r="D277" s="2">
        <v>30</v>
      </c>
      <c r="E277" s="2">
        <v>17</v>
      </c>
      <c r="F277" s="2">
        <v>2</v>
      </c>
      <c r="G277" s="2">
        <f t="shared" si="30"/>
        <v>11</v>
      </c>
      <c r="H277" s="2">
        <v>70</v>
      </c>
      <c r="I277" s="2">
        <v>39</v>
      </c>
      <c r="J277" s="3">
        <f t="shared" si="31"/>
        <v>53</v>
      </c>
    </row>
    <row r="278" spans="2:10" x14ac:dyDescent="0.25">
      <c r="B278">
        <v>7</v>
      </c>
      <c r="C278" s="2" t="s">
        <v>43</v>
      </c>
      <c r="D278" s="2">
        <v>30</v>
      </c>
      <c r="E278" s="2">
        <v>16</v>
      </c>
      <c r="F278" s="2">
        <v>3</v>
      </c>
      <c r="G278" s="2">
        <f t="shared" si="30"/>
        <v>11</v>
      </c>
      <c r="H278" s="2">
        <v>62</v>
      </c>
      <c r="I278" s="2">
        <v>34</v>
      </c>
      <c r="J278" s="3">
        <f t="shared" si="31"/>
        <v>51</v>
      </c>
    </row>
    <row r="279" spans="2:10" x14ac:dyDescent="0.25">
      <c r="B279">
        <v>8</v>
      </c>
      <c r="C279" s="2" t="s">
        <v>55</v>
      </c>
      <c r="D279" s="2">
        <v>30</v>
      </c>
      <c r="E279" s="2">
        <v>13</v>
      </c>
      <c r="F279" s="2">
        <v>4</v>
      </c>
      <c r="G279" s="2">
        <f t="shared" si="30"/>
        <v>13</v>
      </c>
      <c r="H279" s="2">
        <v>56</v>
      </c>
      <c r="I279" s="2">
        <v>44</v>
      </c>
      <c r="J279" s="3">
        <f t="shared" si="31"/>
        <v>43</v>
      </c>
    </row>
    <row r="280" spans="2:10" x14ac:dyDescent="0.25">
      <c r="B280">
        <v>9</v>
      </c>
      <c r="C280" s="2" t="s">
        <v>53</v>
      </c>
      <c r="D280" s="2">
        <v>30</v>
      </c>
      <c r="E280" s="2">
        <v>11</v>
      </c>
      <c r="F280" s="2">
        <v>6</v>
      </c>
      <c r="G280" s="2">
        <f t="shared" si="30"/>
        <v>13</v>
      </c>
      <c r="H280" s="2">
        <v>32</v>
      </c>
      <c r="I280" s="2">
        <v>48</v>
      </c>
      <c r="J280" s="3">
        <f t="shared" si="31"/>
        <v>39</v>
      </c>
    </row>
    <row r="281" spans="2:10" x14ac:dyDescent="0.25">
      <c r="B281">
        <v>10</v>
      </c>
      <c r="C281" s="2" t="s">
        <v>58</v>
      </c>
      <c r="D281" s="2">
        <v>30</v>
      </c>
      <c r="E281" s="2">
        <v>9</v>
      </c>
      <c r="F281" s="2">
        <v>5</v>
      </c>
      <c r="G281" s="2">
        <f t="shared" si="30"/>
        <v>16</v>
      </c>
      <c r="H281" s="2">
        <v>42</v>
      </c>
      <c r="I281" s="2">
        <v>60</v>
      </c>
      <c r="J281" s="3">
        <f t="shared" si="31"/>
        <v>32</v>
      </c>
    </row>
    <row r="282" spans="2:10" x14ac:dyDescent="0.25">
      <c r="B282">
        <v>11</v>
      </c>
      <c r="C282" s="2" t="s">
        <v>56</v>
      </c>
      <c r="D282" s="2">
        <v>30</v>
      </c>
      <c r="E282" s="2">
        <v>8</v>
      </c>
      <c r="F282" s="2">
        <v>3</v>
      </c>
      <c r="G282" s="2">
        <f t="shared" si="30"/>
        <v>19</v>
      </c>
      <c r="H282" s="2">
        <v>38</v>
      </c>
      <c r="I282" s="2">
        <v>77</v>
      </c>
      <c r="J282" s="3">
        <f t="shared" si="31"/>
        <v>27</v>
      </c>
    </row>
    <row r="283" spans="2:10" x14ac:dyDescent="0.25">
      <c r="B283">
        <v>12</v>
      </c>
      <c r="C283" s="2" t="s">
        <v>61</v>
      </c>
      <c r="D283" s="2">
        <v>30</v>
      </c>
      <c r="E283" s="2">
        <v>6</v>
      </c>
      <c r="F283" s="2">
        <v>6</v>
      </c>
      <c r="G283" s="2">
        <f t="shared" si="30"/>
        <v>18</v>
      </c>
      <c r="H283" s="2">
        <v>36</v>
      </c>
      <c r="I283" s="2">
        <v>82</v>
      </c>
      <c r="J283" s="3">
        <f t="shared" si="31"/>
        <v>24</v>
      </c>
    </row>
    <row r="284" spans="2:10" x14ac:dyDescent="0.25">
      <c r="B284">
        <v>13</v>
      </c>
      <c r="C284" s="2" t="s">
        <v>52</v>
      </c>
      <c r="D284" s="2">
        <v>30</v>
      </c>
      <c r="E284" s="2">
        <v>5</v>
      </c>
      <c r="F284" s="2">
        <v>3</v>
      </c>
      <c r="G284" s="2">
        <f t="shared" si="30"/>
        <v>22</v>
      </c>
      <c r="H284" s="2">
        <v>23</v>
      </c>
      <c r="I284" s="2">
        <v>96</v>
      </c>
      <c r="J284" s="3">
        <f t="shared" si="31"/>
        <v>18</v>
      </c>
    </row>
    <row r="285" spans="2:10" x14ac:dyDescent="0.25">
      <c r="B285">
        <v>14</v>
      </c>
      <c r="C285" s="2" t="s">
        <v>59</v>
      </c>
      <c r="D285" s="2">
        <v>30</v>
      </c>
      <c r="E285" s="2">
        <v>4</v>
      </c>
      <c r="F285" s="2">
        <v>5</v>
      </c>
      <c r="G285" s="2">
        <f t="shared" si="30"/>
        <v>21</v>
      </c>
      <c r="H285" s="2">
        <v>16</v>
      </c>
      <c r="I285" s="2">
        <v>83</v>
      </c>
      <c r="J285" s="3">
        <f t="shared" si="31"/>
        <v>17</v>
      </c>
    </row>
    <row r="286" spans="2:10" x14ac:dyDescent="0.25">
      <c r="B286">
        <v>15</v>
      </c>
      <c r="C286" s="2" t="s">
        <v>62</v>
      </c>
      <c r="D286" s="2">
        <v>30</v>
      </c>
      <c r="E286" s="2">
        <v>5</v>
      </c>
      <c r="F286" s="2">
        <v>1</v>
      </c>
      <c r="G286" s="2">
        <f t="shared" si="30"/>
        <v>24</v>
      </c>
      <c r="H286" s="2">
        <v>22</v>
      </c>
      <c r="I286" s="2">
        <v>72</v>
      </c>
      <c r="J286" s="3">
        <f t="shared" si="31"/>
        <v>16</v>
      </c>
    </row>
    <row r="287" spans="2:10" x14ac:dyDescent="0.25">
      <c r="B287">
        <v>16</v>
      </c>
      <c r="C287" t="s">
        <v>34</v>
      </c>
      <c r="D287">
        <v>18</v>
      </c>
      <c r="E287">
        <v>0</v>
      </c>
      <c r="F287">
        <v>0</v>
      </c>
      <c r="G287">
        <f t="shared" si="30"/>
        <v>18</v>
      </c>
      <c r="H287">
        <v>0</v>
      </c>
      <c r="I287">
        <v>183</v>
      </c>
      <c r="J287" s="1">
        <f t="shared" si="31"/>
        <v>0</v>
      </c>
    </row>
    <row r="289" spans="2:10" x14ac:dyDescent="0.25">
      <c r="B289" s="33" t="s">
        <v>63</v>
      </c>
      <c r="C289" s="33"/>
      <c r="D289" s="33"/>
      <c r="E289" s="33"/>
      <c r="F289" s="33"/>
      <c r="G289" s="33"/>
      <c r="H289" s="33"/>
      <c r="I289" s="33"/>
      <c r="J289" s="33"/>
    </row>
    <row r="290" spans="2:10" x14ac:dyDescent="0.25">
      <c r="B290">
        <v>1</v>
      </c>
      <c r="C290" s="2" t="s">
        <v>18</v>
      </c>
      <c r="D290" s="2">
        <v>30</v>
      </c>
      <c r="E290" s="2">
        <v>26</v>
      </c>
      <c r="F290" s="2">
        <v>2</v>
      </c>
      <c r="G290" s="2">
        <f>D290-E290-F290</f>
        <v>2</v>
      </c>
      <c r="H290" s="2">
        <v>136</v>
      </c>
      <c r="I290" s="2">
        <v>14</v>
      </c>
      <c r="J290" s="3">
        <f>E290*3+F290*1</f>
        <v>80</v>
      </c>
    </row>
    <row r="291" spans="2:10" x14ac:dyDescent="0.25">
      <c r="B291">
        <v>2</v>
      </c>
      <c r="C291" s="2" t="s">
        <v>32</v>
      </c>
      <c r="D291" s="2">
        <v>30</v>
      </c>
      <c r="E291" s="2">
        <v>26</v>
      </c>
      <c r="F291" s="2">
        <v>2</v>
      </c>
      <c r="G291" s="2">
        <f t="shared" ref="G291:G305" si="32">D291-E291-F291</f>
        <v>2</v>
      </c>
      <c r="H291" s="2">
        <v>137</v>
      </c>
      <c r="I291" s="2">
        <v>16</v>
      </c>
      <c r="J291" s="3">
        <f t="shared" ref="J291:J305" si="33">E291*3+F291*1</f>
        <v>80</v>
      </c>
    </row>
    <row r="292" spans="2:10" x14ac:dyDescent="0.25">
      <c r="B292">
        <v>3</v>
      </c>
      <c r="C292" s="2" t="s">
        <v>33</v>
      </c>
      <c r="D292" s="2">
        <v>30</v>
      </c>
      <c r="E292" s="2">
        <v>23</v>
      </c>
      <c r="F292" s="2">
        <v>3</v>
      </c>
      <c r="G292" s="2">
        <f t="shared" si="32"/>
        <v>4</v>
      </c>
      <c r="H292" s="2">
        <v>136</v>
      </c>
      <c r="I292" s="2">
        <v>23</v>
      </c>
      <c r="J292" s="3">
        <f t="shared" si="33"/>
        <v>72</v>
      </c>
    </row>
    <row r="293" spans="2:10" x14ac:dyDescent="0.25">
      <c r="B293">
        <v>4</v>
      </c>
      <c r="C293" s="2" t="s">
        <v>43</v>
      </c>
      <c r="D293" s="2">
        <v>30</v>
      </c>
      <c r="E293" s="2">
        <v>20</v>
      </c>
      <c r="F293" s="2">
        <v>7</v>
      </c>
      <c r="G293" s="2">
        <f t="shared" si="32"/>
        <v>3</v>
      </c>
      <c r="H293" s="2">
        <v>115</v>
      </c>
      <c r="I293" s="2">
        <v>20</v>
      </c>
      <c r="J293" s="3">
        <f t="shared" si="33"/>
        <v>67</v>
      </c>
    </row>
    <row r="294" spans="2:10" x14ac:dyDescent="0.25">
      <c r="B294">
        <v>5</v>
      </c>
      <c r="C294" s="2" t="s">
        <v>51</v>
      </c>
      <c r="D294" s="2">
        <v>30</v>
      </c>
      <c r="E294" s="2">
        <v>18</v>
      </c>
      <c r="F294" s="2">
        <v>3</v>
      </c>
      <c r="G294" s="2">
        <f t="shared" si="32"/>
        <v>9</v>
      </c>
      <c r="H294" s="2">
        <v>73</v>
      </c>
      <c r="I294" s="2">
        <v>34</v>
      </c>
      <c r="J294" s="3">
        <f t="shared" si="33"/>
        <v>57</v>
      </c>
    </row>
    <row r="295" spans="2:10" x14ac:dyDescent="0.25">
      <c r="B295">
        <v>6</v>
      </c>
      <c r="C295" s="2" t="s">
        <v>58</v>
      </c>
      <c r="D295" s="2">
        <v>30</v>
      </c>
      <c r="E295" s="2">
        <v>14</v>
      </c>
      <c r="F295" s="2">
        <v>7</v>
      </c>
      <c r="G295" s="2">
        <f t="shared" si="32"/>
        <v>9</v>
      </c>
      <c r="H295" s="2">
        <v>69</v>
      </c>
      <c r="I295" s="2">
        <v>46</v>
      </c>
      <c r="J295" s="3">
        <f t="shared" si="33"/>
        <v>49</v>
      </c>
    </row>
    <row r="296" spans="2:10" x14ac:dyDescent="0.25">
      <c r="B296">
        <v>7</v>
      </c>
      <c r="C296" s="2" t="s">
        <v>61</v>
      </c>
      <c r="D296" s="2">
        <v>30</v>
      </c>
      <c r="E296" s="2">
        <v>14</v>
      </c>
      <c r="F296" s="2">
        <v>5</v>
      </c>
      <c r="G296" s="2">
        <f t="shared" si="32"/>
        <v>11</v>
      </c>
      <c r="H296" s="2">
        <v>50</v>
      </c>
      <c r="I296" s="2">
        <v>63</v>
      </c>
      <c r="J296" s="3">
        <f t="shared" si="33"/>
        <v>47</v>
      </c>
    </row>
    <row r="297" spans="2:10" x14ac:dyDescent="0.25">
      <c r="B297">
        <v>8</v>
      </c>
      <c r="C297" s="2" t="s">
        <v>55</v>
      </c>
      <c r="D297" s="2">
        <v>30</v>
      </c>
      <c r="E297" s="2">
        <v>14</v>
      </c>
      <c r="F297" s="2">
        <v>2</v>
      </c>
      <c r="G297" s="2">
        <f t="shared" si="32"/>
        <v>14</v>
      </c>
      <c r="H297" s="2">
        <v>56</v>
      </c>
      <c r="I297" s="2">
        <v>57</v>
      </c>
      <c r="J297" s="3">
        <f t="shared" si="33"/>
        <v>44</v>
      </c>
    </row>
    <row r="298" spans="2:10" x14ac:dyDescent="0.25">
      <c r="B298">
        <v>9</v>
      </c>
      <c r="C298" s="2" t="s">
        <v>50</v>
      </c>
      <c r="D298" s="2">
        <v>30</v>
      </c>
      <c r="E298" s="2">
        <v>12</v>
      </c>
      <c r="F298" s="2">
        <v>4</v>
      </c>
      <c r="G298" s="2">
        <f t="shared" si="32"/>
        <v>14</v>
      </c>
      <c r="H298" s="2">
        <v>57</v>
      </c>
      <c r="I298" s="2">
        <v>48</v>
      </c>
      <c r="J298" s="3">
        <f t="shared" si="33"/>
        <v>40</v>
      </c>
    </row>
    <row r="299" spans="2:10" x14ac:dyDescent="0.25">
      <c r="B299">
        <v>10</v>
      </c>
      <c r="C299" s="2" t="s">
        <v>64</v>
      </c>
      <c r="D299" s="2">
        <v>30</v>
      </c>
      <c r="E299" s="2">
        <v>11</v>
      </c>
      <c r="F299" s="2">
        <v>2</v>
      </c>
      <c r="G299" s="2">
        <f t="shared" si="32"/>
        <v>17</v>
      </c>
      <c r="H299" s="2">
        <v>47</v>
      </c>
      <c r="I299" s="2">
        <v>55</v>
      </c>
      <c r="J299" s="3">
        <f t="shared" si="33"/>
        <v>35</v>
      </c>
    </row>
    <row r="300" spans="2:10" x14ac:dyDescent="0.25">
      <c r="B300">
        <v>11</v>
      </c>
      <c r="C300" s="2" t="s">
        <v>65</v>
      </c>
      <c r="D300" s="2">
        <v>30</v>
      </c>
      <c r="E300" s="2">
        <v>9</v>
      </c>
      <c r="F300" s="2">
        <v>5</v>
      </c>
      <c r="G300" s="2">
        <f t="shared" si="32"/>
        <v>16</v>
      </c>
      <c r="H300" s="2">
        <v>50</v>
      </c>
      <c r="I300" s="2">
        <v>60</v>
      </c>
      <c r="J300" s="3">
        <f t="shared" si="33"/>
        <v>32</v>
      </c>
    </row>
    <row r="301" spans="2:10" x14ac:dyDescent="0.25">
      <c r="B301">
        <v>12</v>
      </c>
      <c r="C301" s="2" t="s">
        <v>53</v>
      </c>
      <c r="D301" s="2">
        <v>30</v>
      </c>
      <c r="E301" s="2">
        <v>7</v>
      </c>
      <c r="F301" s="2">
        <v>5</v>
      </c>
      <c r="G301" s="2">
        <f t="shared" si="32"/>
        <v>18</v>
      </c>
      <c r="H301" s="2">
        <v>33</v>
      </c>
      <c r="I301" s="2">
        <v>53</v>
      </c>
      <c r="J301" s="3">
        <f t="shared" si="33"/>
        <v>26</v>
      </c>
    </row>
    <row r="302" spans="2:10" x14ac:dyDescent="0.25">
      <c r="B302">
        <v>13</v>
      </c>
      <c r="C302" s="2" t="s">
        <v>56</v>
      </c>
      <c r="D302" s="2">
        <v>30</v>
      </c>
      <c r="E302" s="2">
        <v>7</v>
      </c>
      <c r="F302" s="2">
        <v>5</v>
      </c>
      <c r="G302" s="2">
        <f t="shared" si="32"/>
        <v>18</v>
      </c>
      <c r="H302" s="2">
        <v>42</v>
      </c>
      <c r="I302" s="2">
        <v>75</v>
      </c>
      <c r="J302" s="3">
        <f t="shared" si="33"/>
        <v>26</v>
      </c>
    </row>
    <row r="303" spans="2:10" x14ac:dyDescent="0.25">
      <c r="B303">
        <v>14</v>
      </c>
      <c r="C303" s="2" t="s">
        <v>52</v>
      </c>
      <c r="D303" s="2">
        <v>30</v>
      </c>
      <c r="E303" s="2">
        <v>6</v>
      </c>
      <c r="F303" s="2">
        <v>5</v>
      </c>
      <c r="G303" s="2">
        <f t="shared" si="32"/>
        <v>19</v>
      </c>
      <c r="H303" s="2">
        <v>45</v>
      </c>
      <c r="I303" s="2">
        <v>74</v>
      </c>
      <c r="J303" s="3">
        <f t="shared" si="33"/>
        <v>23</v>
      </c>
    </row>
    <row r="304" spans="2:10" x14ac:dyDescent="0.25">
      <c r="B304">
        <v>15</v>
      </c>
      <c r="C304" t="s">
        <v>34</v>
      </c>
      <c r="D304">
        <v>28</v>
      </c>
      <c r="E304">
        <v>1</v>
      </c>
      <c r="F304">
        <v>0</v>
      </c>
      <c r="G304">
        <f t="shared" si="32"/>
        <v>27</v>
      </c>
      <c r="H304">
        <v>3</v>
      </c>
      <c r="I304">
        <v>303</v>
      </c>
      <c r="J304" s="1">
        <f t="shared" si="33"/>
        <v>3</v>
      </c>
    </row>
    <row r="305" spans="2:10" x14ac:dyDescent="0.25">
      <c r="B305">
        <v>16</v>
      </c>
      <c r="C305" t="s">
        <v>34</v>
      </c>
      <c r="D305">
        <v>0</v>
      </c>
      <c r="E305">
        <v>0</v>
      </c>
      <c r="F305">
        <v>0</v>
      </c>
      <c r="G305">
        <f t="shared" si="32"/>
        <v>0</v>
      </c>
      <c r="H305">
        <v>0</v>
      </c>
      <c r="I305">
        <v>0</v>
      </c>
      <c r="J305" s="1">
        <f t="shared" si="33"/>
        <v>0</v>
      </c>
    </row>
    <row r="307" spans="2:10" x14ac:dyDescent="0.25">
      <c r="B307" s="33" t="s">
        <v>66</v>
      </c>
      <c r="C307" s="33"/>
      <c r="D307" s="33"/>
      <c r="E307" s="33"/>
      <c r="F307" s="33"/>
      <c r="G307" s="33"/>
      <c r="H307" s="33"/>
      <c r="I307" s="33"/>
      <c r="J307" s="33"/>
    </row>
    <row r="308" spans="2:10" x14ac:dyDescent="0.25">
      <c r="B308">
        <v>1</v>
      </c>
      <c r="C308" s="2" t="s">
        <v>18</v>
      </c>
      <c r="D308" s="2">
        <v>30</v>
      </c>
      <c r="E308" s="2">
        <v>27</v>
      </c>
      <c r="F308" s="2">
        <v>2</v>
      </c>
      <c r="G308" s="2">
        <f>D308-E308-F308</f>
        <v>1</v>
      </c>
      <c r="H308" s="2">
        <v>101</v>
      </c>
      <c r="I308" s="2">
        <v>17</v>
      </c>
      <c r="J308" s="3">
        <f>E308*3+F308*1</f>
        <v>83</v>
      </c>
    </row>
    <row r="309" spans="2:10" x14ac:dyDescent="0.25">
      <c r="B309">
        <v>2</v>
      </c>
      <c r="C309" s="2" t="s">
        <v>32</v>
      </c>
      <c r="D309" s="2">
        <v>30</v>
      </c>
      <c r="E309" s="2">
        <v>27</v>
      </c>
      <c r="F309" s="2">
        <v>1</v>
      </c>
      <c r="G309" s="2">
        <f t="shared" ref="G309:G323" si="34">D309-E309-F309</f>
        <v>2</v>
      </c>
      <c r="H309" s="2">
        <v>122</v>
      </c>
      <c r="I309" s="2">
        <v>13</v>
      </c>
      <c r="J309" s="3">
        <f t="shared" ref="J309:J323" si="35">E309*3+F309*1</f>
        <v>82</v>
      </c>
    </row>
    <row r="310" spans="2:10" x14ac:dyDescent="0.25">
      <c r="B310">
        <v>3</v>
      </c>
      <c r="C310" s="2" t="s">
        <v>33</v>
      </c>
      <c r="D310" s="2">
        <v>30</v>
      </c>
      <c r="E310" s="2">
        <v>26</v>
      </c>
      <c r="F310" s="2">
        <v>3</v>
      </c>
      <c r="G310" s="2">
        <f t="shared" si="34"/>
        <v>1</v>
      </c>
      <c r="H310" s="2">
        <v>106</v>
      </c>
      <c r="I310" s="2">
        <v>11</v>
      </c>
      <c r="J310" s="3">
        <f t="shared" si="35"/>
        <v>81</v>
      </c>
    </row>
    <row r="311" spans="2:10" x14ac:dyDescent="0.25">
      <c r="B311">
        <v>4</v>
      </c>
      <c r="C311" s="2" t="s">
        <v>51</v>
      </c>
      <c r="D311" s="2">
        <v>30</v>
      </c>
      <c r="E311" s="2">
        <v>17</v>
      </c>
      <c r="F311" s="2">
        <v>4</v>
      </c>
      <c r="G311" s="2">
        <f t="shared" si="34"/>
        <v>9</v>
      </c>
      <c r="H311" s="2">
        <v>50</v>
      </c>
      <c r="I311" s="2">
        <v>35</v>
      </c>
      <c r="J311" s="3">
        <f t="shared" si="35"/>
        <v>55</v>
      </c>
    </row>
    <row r="312" spans="2:10" x14ac:dyDescent="0.25">
      <c r="B312">
        <v>5</v>
      </c>
      <c r="C312" s="2" t="s">
        <v>43</v>
      </c>
      <c r="D312" s="2">
        <v>30</v>
      </c>
      <c r="E312" s="2">
        <v>16</v>
      </c>
      <c r="F312" s="2">
        <v>3</v>
      </c>
      <c r="G312" s="2">
        <f t="shared" si="34"/>
        <v>11</v>
      </c>
      <c r="H312" s="2">
        <v>72</v>
      </c>
      <c r="I312" s="2">
        <v>37</v>
      </c>
      <c r="J312" s="3">
        <f t="shared" si="35"/>
        <v>51</v>
      </c>
    </row>
    <row r="313" spans="2:10" x14ac:dyDescent="0.25">
      <c r="B313">
        <v>6</v>
      </c>
      <c r="C313" s="2" t="s">
        <v>50</v>
      </c>
      <c r="D313" s="2">
        <v>30</v>
      </c>
      <c r="E313" s="2">
        <v>16</v>
      </c>
      <c r="F313" s="2">
        <v>3</v>
      </c>
      <c r="G313" s="2">
        <f t="shared" si="34"/>
        <v>11</v>
      </c>
      <c r="H313" s="2">
        <v>50</v>
      </c>
      <c r="I313" s="2">
        <v>40</v>
      </c>
      <c r="J313" s="3">
        <f t="shared" si="35"/>
        <v>51</v>
      </c>
    </row>
    <row r="314" spans="2:10" x14ac:dyDescent="0.25">
      <c r="B314">
        <v>7</v>
      </c>
      <c r="C314" s="2" t="s">
        <v>64</v>
      </c>
      <c r="D314" s="2">
        <v>30</v>
      </c>
      <c r="E314" s="2">
        <v>11</v>
      </c>
      <c r="F314" s="2">
        <v>6</v>
      </c>
      <c r="G314" s="2">
        <f t="shared" si="34"/>
        <v>13</v>
      </c>
      <c r="H314" s="2">
        <v>33</v>
      </c>
      <c r="I314" s="2">
        <v>40</v>
      </c>
      <c r="J314" s="3">
        <f t="shared" si="35"/>
        <v>39</v>
      </c>
    </row>
    <row r="315" spans="2:10" x14ac:dyDescent="0.25">
      <c r="B315">
        <v>8</v>
      </c>
      <c r="C315" s="2" t="s">
        <v>58</v>
      </c>
      <c r="D315" s="2">
        <v>30</v>
      </c>
      <c r="E315" s="2">
        <v>11</v>
      </c>
      <c r="F315" s="2">
        <v>5</v>
      </c>
      <c r="G315" s="2">
        <f t="shared" si="34"/>
        <v>14</v>
      </c>
      <c r="H315" s="2">
        <v>35</v>
      </c>
      <c r="I315" s="2">
        <v>50</v>
      </c>
      <c r="J315" s="3">
        <f t="shared" si="35"/>
        <v>38</v>
      </c>
    </row>
    <row r="316" spans="2:10" x14ac:dyDescent="0.25">
      <c r="B316">
        <v>9</v>
      </c>
      <c r="C316" s="2" t="s">
        <v>55</v>
      </c>
      <c r="D316" s="2">
        <v>30</v>
      </c>
      <c r="E316" s="2">
        <v>10</v>
      </c>
      <c r="F316" s="2">
        <v>7</v>
      </c>
      <c r="G316" s="2">
        <f t="shared" si="34"/>
        <v>13</v>
      </c>
      <c r="H316" s="2">
        <v>43</v>
      </c>
      <c r="I316" s="2">
        <v>53</v>
      </c>
      <c r="J316" s="3">
        <f t="shared" si="35"/>
        <v>37</v>
      </c>
    </row>
    <row r="317" spans="2:10" x14ac:dyDescent="0.25">
      <c r="B317">
        <v>10</v>
      </c>
      <c r="C317" s="2" t="s">
        <v>67</v>
      </c>
      <c r="D317" s="2">
        <v>30</v>
      </c>
      <c r="E317" s="2">
        <v>7</v>
      </c>
      <c r="F317" s="2">
        <v>11</v>
      </c>
      <c r="G317" s="2">
        <f t="shared" si="34"/>
        <v>12</v>
      </c>
      <c r="H317" s="2">
        <v>29</v>
      </c>
      <c r="I317" s="2">
        <v>47</v>
      </c>
      <c r="J317" s="3">
        <f t="shared" si="35"/>
        <v>32</v>
      </c>
    </row>
    <row r="318" spans="2:10" x14ac:dyDescent="0.25">
      <c r="B318">
        <v>11</v>
      </c>
      <c r="C318" s="2" t="s">
        <v>61</v>
      </c>
      <c r="D318" s="2">
        <v>30</v>
      </c>
      <c r="E318" s="2">
        <v>8</v>
      </c>
      <c r="F318" s="2">
        <v>5</v>
      </c>
      <c r="G318" s="2">
        <f t="shared" si="34"/>
        <v>17</v>
      </c>
      <c r="H318" s="2">
        <v>35</v>
      </c>
      <c r="I318" s="2">
        <v>72</v>
      </c>
      <c r="J318" s="3">
        <f t="shared" si="35"/>
        <v>29</v>
      </c>
    </row>
    <row r="319" spans="2:10" x14ac:dyDescent="0.25">
      <c r="B319">
        <v>12</v>
      </c>
      <c r="C319" s="2" t="s">
        <v>53</v>
      </c>
      <c r="D319" s="2">
        <v>30</v>
      </c>
      <c r="E319" s="2">
        <v>7</v>
      </c>
      <c r="F319" s="2">
        <v>6</v>
      </c>
      <c r="G319" s="2">
        <f t="shared" si="34"/>
        <v>17</v>
      </c>
      <c r="H319" s="2">
        <v>20</v>
      </c>
      <c r="I319" s="2">
        <v>60</v>
      </c>
      <c r="J319" s="3">
        <f t="shared" si="35"/>
        <v>27</v>
      </c>
    </row>
    <row r="320" spans="2:10" x14ac:dyDescent="0.25">
      <c r="B320">
        <v>13</v>
      </c>
      <c r="C320" s="2" t="s">
        <v>52</v>
      </c>
      <c r="D320" s="2">
        <v>30</v>
      </c>
      <c r="E320" s="2">
        <v>7</v>
      </c>
      <c r="F320" s="2">
        <v>5</v>
      </c>
      <c r="G320" s="2">
        <f t="shared" si="34"/>
        <v>18</v>
      </c>
      <c r="H320" s="2">
        <v>31</v>
      </c>
      <c r="I320" s="2">
        <v>69</v>
      </c>
      <c r="J320" s="3">
        <f t="shared" si="35"/>
        <v>26</v>
      </c>
    </row>
    <row r="321" spans="2:10" x14ac:dyDescent="0.25">
      <c r="B321">
        <v>14</v>
      </c>
      <c r="C321" s="2" t="s">
        <v>56</v>
      </c>
      <c r="D321" s="2">
        <v>30</v>
      </c>
      <c r="E321" s="2">
        <v>6</v>
      </c>
      <c r="F321" s="2">
        <v>5</v>
      </c>
      <c r="G321" s="2">
        <f t="shared" si="34"/>
        <v>19</v>
      </c>
      <c r="H321" s="2">
        <v>26</v>
      </c>
      <c r="I321" s="2">
        <v>81</v>
      </c>
      <c r="J321" s="3">
        <f t="shared" si="35"/>
        <v>23</v>
      </c>
    </row>
    <row r="322" spans="2:10" x14ac:dyDescent="0.25">
      <c r="B322">
        <v>15</v>
      </c>
      <c r="C322" s="2" t="s">
        <v>68</v>
      </c>
      <c r="D322" s="2">
        <v>30</v>
      </c>
      <c r="E322" s="2">
        <v>4</v>
      </c>
      <c r="F322" s="2">
        <v>6</v>
      </c>
      <c r="G322" s="2">
        <f t="shared" si="34"/>
        <v>20</v>
      </c>
      <c r="H322" s="2">
        <v>24</v>
      </c>
      <c r="I322" s="2">
        <v>86</v>
      </c>
      <c r="J322" s="3">
        <f t="shared" si="35"/>
        <v>18</v>
      </c>
    </row>
    <row r="323" spans="2:10" x14ac:dyDescent="0.25">
      <c r="B323">
        <v>16</v>
      </c>
      <c r="C323" s="2" t="s">
        <v>65</v>
      </c>
      <c r="D323" s="2">
        <v>30</v>
      </c>
      <c r="E323" s="2">
        <v>3</v>
      </c>
      <c r="F323" s="2">
        <v>2</v>
      </c>
      <c r="G323" s="2">
        <f t="shared" si="34"/>
        <v>25</v>
      </c>
      <c r="H323" s="2">
        <v>19</v>
      </c>
      <c r="I323" s="2">
        <v>85</v>
      </c>
      <c r="J323" s="3">
        <f t="shared" si="35"/>
        <v>11</v>
      </c>
    </row>
    <row r="325" spans="2:10" x14ac:dyDescent="0.25">
      <c r="B325" s="33" t="s">
        <v>69</v>
      </c>
      <c r="C325" s="33"/>
      <c r="D325" s="33"/>
      <c r="E325" s="33"/>
      <c r="F325" s="33"/>
      <c r="G325" s="33"/>
      <c r="H325" s="33"/>
      <c r="I325" s="33"/>
      <c r="J325" s="33"/>
    </row>
    <row r="326" spans="2:10" x14ac:dyDescent="0.25">
      <c r="B326">
        <v>1</v>
      </c>
      <c r="C326" s="2" t="s">
        <v>32</v>
      </c>
      <c r="D326" s="2">
        <v>30</v>
      </c>
      <c r="E326" s="2">
        <v>26</v>
      </c>
      <c r="F326" s="2">
        <v>2</v>
      </c>
      <c r="G326" s="2">
        <f>D326-E326-F326</f>
        <v>2</v>
      </c>
      <c r="H326" s="2">
        <v>121</v>
      </c>
      <c r="I326" s="2">
        <v>12</v>
      </c>
      <c r="J326" s="3">
        <f>E326*3+F326*1</f>
        <v>80</v>
      </c>
    </row>
    <row r="327" spans="2:10" x14ac:dyDescent="0.25">
      <c r="B327">
        <v>2</v>
      </c>
      <c r="C327" s="2" t="s">
        <v>18</v>
      </c>
      <c r="D327" s="2">
        <v>30</v>
      </c>
      <c r="E327" s="2">
        <v>26</v>
      </c>
      <c r="F327" s="2">
        <v>1</v>
      </c>
      <c r="G327" s="2">
        <f t="shared" ref="G327:G341" si="36">D327-E327-F327</f>
        <v>3</v>
      </c>
      <c r="H327" s="2">
        <v>115</v>
      </c>
      <c r="I327" s="2">
        <v>16</v>
      </c>
      <c r="J327" s="3">
        <f t="shared" ref="J327:J341" si="37">E327*3+F327*1</f>
        <v>79</v>
      </c>
    </row>
    <row r="328" spans="2:10" x14ac:dyDescent="0.25">
      <c r="B328">
        <v>3</v>
      </c>
      <c r="C328" s="2" t="s">
        <v>33</v>
      </c>
      <c r="D328" s="2">
        <v>30</v>
      </c>
      <c r="E328" s="2">
        <v>24</v>
      </c>
      <c r="F328" s="2">
        <v>2</v>
      </c>
      <c r="G328" s="2">
        <f t="shared" si="36"/>
        <v>4</v>
      </c>
      <c r="H328" s="2">
        <v>91</v>
      </c>
      <c r="I328" s="2">
        <v>21</v>
      </c>
      <c r="J328" s="3">
        <f t="shared" si="37"/>
        <v>74</v>
      </c>
    </row>
    <row r="329" spans="2:10" x14ac:dyDescent="0.25">
      <c r="B329">
        <v>4</v>
      </c>
      <c r="C329" s="2" t="s">
        <v>51</v>
      </c>
      <c r="D329" s="2">
        <v>30</v>
      </c>
      <c r="E329" s="2">
        <v>20</v>
      </c>
      <c r="F329" s="2">
        <v>3</v>
      </c>
      <c r="G329" s="2">
        <f t="shared" si="36"/>
        <v>7</v>
      </c>
      <c r="H329" s="2">
        <v>78</v>
      </c>
      <c r="I329" s="2">
        <v>25</v>
      </c>
      <c r="J329" s="3">
        <f t="shared" si="37"/>
        <v>63</v>
      </c>
    </row>
    <row r="330" spans="2:10" x14ac:dyDescent="0.25">
      <c r="B330">
        <v>5</v>
      </c>
      <c r="C330" s="2" t="s">
        <v>43</v>
      </c>
      <c r="D330" s="2">
        <v>30</v>
      </c>
      <c r="E330" s="2">
        <v>19</v>
      </c>
      <c r="F330" s="2">
        <v>5</v>
      </c>
      <c r="G330" s="2">
        <f t="shared" si="36"/>
        <v>6</v>
      </c>
      <c r="H330" s="2">
        <v>70</v>
      </c>
      <c r="I330" s="2">
        <v>23</v>
      </c>
      <c r="J330" s="3">
        <f t="shared" si="37"/>
        <v>62</v>
      </c>
    </row>
    <row r="331" spans="2:10" x14ac:dyDescent="0.25">
      <c r="B331">
        <v>6</v>
      </c>
      <c r="C331" s="2" t="s">
        <v>70</v>
      </c>
      <c r="D331" s="2">
        <v>30</v>
      </c>
      <c r="E331" s="2">
        <v>16</v>
      </c>
      <c r="F331" s="2">
        <v>6</v>
      </c>
      <c r="G331" s="2">
        <f t="shared" si="36"/>
        <v>8</v>
      </c>
      <c r="H331" s="2">
        <v>65</v>
      </c>
      <c r="I331" s="2">
        <v>37</v>
      </c>
      <c r="J331" s="3">
        <f t="shared" si="37"/>
        <v>54</v>
      </c>
    </row>
    <row r="332" spans="2:10" x14ac:dyDescent="0.25">
      <c r="B332">
        <v>7</v>
      </c>
      <c r="C332" s="2" t="s">
        <v>64</v>
      </c>
      <c r="D332" s="2">
        <v>30</v>
      </c>
      <c r="E332" s="2">
        <v>12</v>
      </c>
      <c r="F332" s="2">
        <v>6</v>
      </c>
      <c r="G332" s="2">
        <f t="shared" si="36"/>
        <v>12</v>
      </c>
      <c r="H332" s="2">
        <v>35</v>
      </c>
      <c r="I332" s="2">
        <v>37</v>
      </c>
      <c r="J332" s="3">
        <f t="shared" si="37"/>
        <v>42</v>
      </c>
    </row>
    <row r="333" spans="2:10" x14ac:dyDescent="0.25">
      <c r="B333">
        <v>8</v>
      </c>
      <c r="C333" s="2" t="s">
        <v>50</v>
      </c>
      <c r="D333" s="2">
        <v>30</v>
      </c>
      <c r="E333" s="2">
        <v>12</v>
      </c>
      <c r="F333" s="2">
        <v>3</v>
      </c>
      <c r="G333" s="2">
        <f t="shared" si="36"/>
        <v>15</v>
      </c>
      <c r="H333" s="2">
        <v>34</v>
      </c>
      <c r="I333" s="2">
        <v>49</v>
      </c>
      <c r="J333" s="3">
        <f t="shared" si="37"/>
        <v>39</v>
      </c>
    </row>
    <row r="334" spans="2:10" x14ac:dyDescent="0.25">
      <c r="B334">
        <v>9</v>
      </c>
      <c r="C334" s="2" t="s">
        <v>71</v>
      </c>
      <c r="D334" s="2">
        <v>30</v>
      </c>
      <c r="E334" s="2">
        <v>11</v>
      </c>
      <c r="F334" s="2">
        <v>4</v>
      </c>
      <c r="G334" s="2">
        <f t="shared" si="36"/>
        <v>15</v>
      </c>
      <c r="H334" s="2">
        <v>41</v>
      </c>
      <c r="I334" s="2">
        <v>45</v>
      </c>
      <c r="J334" s="3">
        <f t="shared" si="37"/>
        <v>37</v>
      </c>
    </row>
    <row r="335" spans="2:10" x14ac:dyDescent="0.25">
      <c r="B335">
        <v>10</v>
      </c>
      <c r="C335" s="2" t="s">
        <v>52</v>
      </c>
      <c r="D335" s="2">
        <v>30</v>
      </c>
      <c r="E335" s="2">
        <v>10</v>
      </c>
      <c r="F335" s="2">
        <v>4</v>
      </c>
      <c r="G335" s="2">
        <f t="shared" si="36"/>
        <v>16</v>
      </c>
      <c r="H335" s="2">
        <v>35</v>
      </c>
      <c r="I335" s="2">
        <v>61</v>
      </c>
      <c r="J335" s="3">
        <f t="shared" si="37"/>
        <v>34</v>
      </c>
    </row>
    <row r="336" spans="2:10" x14ac:dyDescent="0.25">
      <c r="B336">
        <v>11</v>
      </c>
      <c r="C336" s="2" t="s">
        <v>58</v>
      </c>
      <c r="D336" s="2">
        <v>30</v>
      </c>
      <c r="E336" s="2">
        <v>9</v>
      </c>
      <c r="F336" s="2">
        <v>4</v>
      </c>
      <c r="G336" s="2">
        <f t="shared" si="36"/>
        <v>17</v>
      </c>
      <c r="H336" s="2">
        <v>36</v>
      </c>
      <c r="I336" s="2">
        <v>68</v>
      </c>
      <c r="J336" s="3">
        <f t="shared" si="37"/>
        <v>31</v>
      </c>
    </row>
    <row r="337" spans="2:10" x14ac:dyDescent="0.25">
      <c r="B337">
        <v>12</v>
      </c>
      <c r="C337" s="2" t="s">
        <v>61</v>
      </c>
      <c r="D337" s="2">
        <v>30</v>
      </c>
      <c r="E337" s="2">
        <v>7</v>
      </c>
      <c r="F337" s="2">
        <v>4</v>
      </c>
      <c r="G337" s="2">
        <f t="shared" si="36"/>
        <v>19</v>
      </c>
      <c r="H337" s="2">
        <v>16</v>
      </c>
      <c r="I337" s="2">
        <v>84</v>
      </c>
      <c r="J337" s="3">
        <f t="shared" si="37"/>
        <v>25</v>
      </c>
    </row>
    <row r="338" spans="2:10" x14ac:dyDescent="0.25">
      <c r="B338">
        <v>13</v>
      </c>
      <c r="C338" s="2" t="s">
        <v>56</v>
      </c>
      <c r="D338" s="2">
        <v>30</v>
      </c>
      <c r="E338" s="2">
        <v>6</v>
      </c>
      <c r="F338" s="2">
        <v>6</v>
      </c>
      <c r="G338" s="2">
        <f t="shared" si="36"/>
        <v>18</v>
      </c>
      <c r="H338" s="2">
        <v>24</v>
      </c>
      <c r="I338" s="2">
        <v>89</v>
      </c>
      <c r="J338" s="3">
        <f t="shared" si="37"/>
        <v>24</v>
      </c>
    </row>
    <row r="339" spans="2:10" x14ac:dyDescent="0.25">
      <c r="B339">
        <v>14</v>
      </c>
      <c r="C339" s="2" t="s">
        <v>67</v>
      </c>
      <c r="D339" s="2">
        <v>30</v>
      </c>
      <c r="E339" s="2">
        <v>7</v>
      </c>
      <c r="F339" s="2">
        <v>1</v>
      </c>
      <c r="G339" s="2">
        <f t="shared" si="36"/>
        <v>22</v>
      </c>
      <c r="H339" s="2">
        <v>19</v>
      </c>
      <c r="I339" s="2">
        <v>79</v>
      </c>
      <c r="J339" s="3">
        <f t="shared" si="37"/>
        <v>22</v>
      </c>
    </row>
    <row r="340" spans="2:10" x14ac:dyDescent="0.25">
      <c r="B340">
        <v>15</v>
      </c>
      <c r="C340" s="2" t="s">
        <v>53</v>
      </c>
      <c r="D340" s="2">
        <v>30</v>
      </c>
      <c r="E340" s="2">
        <v>6</v>
      </c>
      <c r="F340" s="2">
        <v>3</v>
      </c>
      <c r="G340" s="2">
        <f t="shared" si="36"/>
        <v>21</v>
      </c>
      <c r="H340" s="2">
        <v>22</v>
      </c>
      <c r="I340" s="2">
        <v>69</v>
      </c>
      <c r="J340" s="3">
        <f t="shared" si="37"/>
        <v>21</v>
      </c>
    </row>
    <row r="341" spans="2:10" x14ac:dyDescent="0.25">
      <c r="B341">
        <v>16</v>
      </c>
      <c r="C341" t="s">
        <v>34</v>
      </c>
      <c r="D341">
        <v>0</v>
      </c>
      <c r="E341">
        <v>0</v>
      </c>
      <c r="F341">
        <v>0</v>
      </c>
      <c r="G341">
        <f t="shared" si="36"/>
        <v>0</v>
      </c>
      <c r="H341">
        <v>0</v>
      </c>
      <c r="I341">
        <v>0</v>
      </c>
      <c r="J341" s="1">
        <f t="shared" si="37"/>
        <v>0</v>
      </c>
    </row>
    <row r="343" spans="2:10" x14ac:dyDescent="0.25">
      <c r="B343" s="33" t="s">
        <v>74</v>
      </c>
      <c r="C343" s="33"/>
      <c r="D343" s="33"/>
      <c r="E343" s="33"/>
      <c r="F343" s="33"/>
      <c r="G343" s="33"/>
      <c r="H343" s="33"/>
      <c r="I343" s="33"/>
      <c r="J343" s="33"/>
    </row>
    <row r="344" spans="2:10" x14ac:dyDescent="0.25">
      <c r="B344">
        <v>1</v>
      </c>
      <c r="C344" s="2" t="s">
        <v>32</v>
      </c>
      <c r="D344" s="2">
        <v>30</v>
      </c>
      <c r="E344" s="2">
        <v>27</v>
      </c>
      <c r="F344" s="2">
        <v>2</v>
      </c>
      <c r="G344" s="2">
        <f>D344-E344-F344</f>
        <v>1</v>
      </c>
      <c r="H344" s="2">
        <v>121</v>
      </c>
      <c r="I344" s="2">
        <v>12</v>
      </c>
      <c r="J344" s="3">
        <f>E344*3+F344*1</f>
        <v>83</v>
      </c>
    </row>
    <row r="345" spans="2:10" x14ac:dyDescent="0.25">
      <c r="B345">
        <v>2</v>
      </c>
      <c r="C345" s="2" t="s">
        <v>18</v>
      </c>
      <c r="D345" s="2">
        <v>30</v>
      </c>
      <c r="E345" s="2">
        <v>26</v>
      </c>
      <c r="F345" s="2">
        <v>0</v>
      </c>
      <c r="G345" s="2">
        <f t="shared" ref="G345:G359" si="38">D345-E345-F345</f>
        <v>4</v>
      </c>
      <c r="H345" s="2">
        <v>115</v>
      </c>
      <c r="I345" s="2">
        <v>16</v>
      </c>
      <c r="J345" s="3">
        <f t="shared" ref="J345:J359" si="39">E345*3+F345*1</f>
        <v>78</v>
      </c>
    </row>
    <row r="346" spans="2:10" x14ac:dyDescent="0.25">
      <c r="B346">
        <v>3</v>
      </c>
      <c r="C346" s="2" t="s">
        <v>51</v>
      </c>
      <c r="D346" s="2">
        <v>30</v>
      </c>
      <c r="E346" s="2">
        <v>21</v>
      </c>
      <c r="F346" s="2">
        <v>3</v>
      </c>
      <c r="G346" s="2">
        <f t="shared" si="38"/>
        <v>6</v>
      </c>
      <c r="H346" s="2">
        <v>91</v>
      </c>
      <c r="I346" s="2">
        <v>21</v>
      </c>
      <c r="J346" s="3">
        <f t="shared" si="39"/>
        <v>66</v>
      </c>
    </row>
    <row r="347" spans="2:10" x14ac:dyDescent="0.25">
      <c r="B347">
        <v>4</v>
      </c>
      <c r="C347" s="2" t="s">
        <v>43</v>
      </c>
      <c r="D347" s="2">
        <v>30</v>
      </c>
      <c r="E347" s="2">
        <v>21</v>
      </c>
      <c r="F347" s="2">
        <v>1</v>
      </c>
      <c r="G347" s="2">
        <f t="shared" si="38"/>
        <v>8</v>
      </c>
      <c r="H347" s="2">
        <v>78</v>
      </c>
      <c r="I347" s="2">
        <v>25</v>
      </c>
      <c r="J347" s="3">
        <f t="shared" si="39"/>
        <v>64</v>
      </c>
    </row>
    <row r="348" spans="2:10" x14ac:dyDescent="0.25">
      <c r="B348">
        <v>5</v>
      </c>
      <c r="C348" s="2" t="s">
        <v>64</v>
      </c>
      <c r="D348" s="2">
        <v>30</v>
      </c>
      <c r="E348" s="2">
        <v>19</v>
      </c>
      <c r="F348" s="2">
        <v>4</v>
      </c>
      <c r="G348" s="2">
        <f t="shared" si="38"/>
        <v>7</v>
      </c>
      <c r="H348" s="2">
        <v>70</v>
      </c>
      <c r="I348" s="2">
        <v>23</v>
      </c>
      <c r="J348" s="3">
        <f t="shared" si="39"/>
        <v>61</v>
      </c>
    </row>
    <row r="349" spans="2:10" x14ac:dyDescent="0.25">
      <c r="B349">
        <v>6</v>
      </c>
      <c r="C349" s="2" t="s">
        <v>33</v>
      </c>
      <c r="D349" s="2">
        <v>30</v>
      </c>
      <c r="E349" s="2">
        <v>18</v>
      </c>
      <c r="F349" s="2">
        <v>3</v>
      </c>
      <c r="G349" s="2">
        <f t="shared" si="38"/>
        <v>9</v>
      </c>
      <c r="H349" s="2">
        <v>65</v>
      </c>
      <c r="I349" s="2">
        <v>37</v>
      </c>
      <c r="J349" s="3">
        <f t="shared" si="39"/>
        <v>57</v>
      </c>
    </row>
    <row r="350" spans="2:10" x14ac:dyDescent="0.25">
      <c r="B350">
        <v>7</v>
      </c>
      <c r="C350" s="2" t="s">
        <v>70</v>
      </c>
      <c r="D350" s="2">
        <v>30</v>
      </c>
      <c r="E350" s="2">
        <v>18</v>
      </c>
      <c r="F350" s="2">
        <v>2</v>
      </c>
      <c r="G350" s="2">
        <f t="shared" si="38"/>
        <v>10</v>
      </c>
      <c r="H350" s="2">
        <v>35</v>
      </c>
      <c r="I350" s="2">
        <v>37</v>
      </c>
      <c r="J350" s="3">
        <f t="shared" si="39"/>
        <v>56</v>
      </c>
    </row>
    <row r="351" spans="2:10" x14ac:dyDescent="0.25">
      <c r="B351">
        <v>8</v>
      </c>
      <c r="C351" s="2" t="s">
        <v>50</v>
      </c>
      <c r="D351" s="2">
        <v>30</v>
      </c>
      <c r="E351" s="2">
        <v>14</v>
      </c>
      <c r="F351" s="2">
        <v>3</v>
      </c>
      <c r="G351" s="2">
        <f t="shared" si="38"/>
        <v>13</v>
      </c>
      <c r="H351" s="2">
        <v>34</v>
      </c>
      <c r="I351" s="2">
        <v>49</v>
      </c>
      <c r="J351" s="3">
        <f t="shared" si="39"/>
        <v>45</v>
      </c>
    </row>
    <row r="352" spans="2:10" x14ac:dyDescent="0.25">
      <c r="B352">
        <v>9</v>
      </c>
      <c r="C352" s="2" t="s">
        <v>58</v>
      </c>
      <c r="D352" s="2">
        <v>30</v>
      </c>
      <c r="E352" s="2">
        <v>13</v>
      </c>
      <c r="F352" s="2">
        <v>4</v>
      </c>
      <c r="G352" s="2">
        <f t="shared" si="38"/>
        <v>13</v>
      </c>
      <c r="H352" s="2">
        <v>41</v>
      </c>
      <c r="I352" s="2">
        <v>45</v>
      </c>
      <c r="J352" s="3">
        <f t="shared" si="39"/>
        <v>43</v>
      </c>
    </row>
    <row r="353" spans="2:10" x14ac:dyDescent="0.25">
      <c r="B353">
        <v>10</v>
      </c>
      <c r="C353" s="2" t="s">
        <v>52</v>
      </c>
      <c r="D353" s="2">
        <v>30</v>
      </c>
      <c r="E353" s="2">
        <v>10</v>
      </c>
      <c r="F353" s="2">
        <v>5</v>
      </c>
      <c r="G353" s="2">
        <f t="shared" si="38"/>
        <v>15</v>
      </c>
      <c r="H353" s="2">
        <v>35</v>
      </c>
      <c r="I353" s="2">
        <v>61</v>
      </c>
      <c r="J353" s="3">
        <f t="shared" si="39"/>
        <v>35</v>
      </c>
    </row>
    <row r="354" spans="2:10" x14ac:dyDescent="0.25">
      <c r="B354">
        <v>11</v>
      </c>
      <c r="C354" s="2" t="s">
        <v>71</v>
      </c>
      <c r="D354" s="2">
        <v>30</v>
      </c>
      <c r="E354" s="2">
        <v>9</v>
      </c>
      <c r="F354" s="2">
        <v>2</v>
      </c>
      <c r="G354" s="2">
        <f t="shared" si="38"/>
        <v>19</v>
      </c>
      <c r="H354" s="2">
        <v>36</v>
      </c>
      <c r="I354" s="2">
        <v>68</v>
      </c>
      <c r="J354" s="3">
        <f t="shared" si="39"/>
        <v>29</v>
      </c>
    </row>
    <row r="355" spans="2:10" x14ac:dyDescent="0.25">
      <c r="B355">
        <v>12</v>
      </c>
      <c r="C355" s="2" t="s">
        <v>56</v>
      </c>
      <c r="D355" s="2">
        <v>30</v>
      </c>
      <c r="E355" s="2">
        <v>8</v>
      </c>
      <c r="F355" s="2">
        <v>2</v>
      </c>
      <c r="G355" s="2">
        <f t="shared" si="38"/>
        <v>20</v>
      </c>
      <c r="H355" s="2">
        <v>16</v>
      </c>
      <c r="I355" s="2">
        <v>84</v>
      </c>
      <c r="J355" s="3">
        <f t="shared" si="39"/>
        <v>26</v>
      </c>
    </row>
    <row r="356" spans="2:10" x14ac:dyDescent="0.25">
      <c r="B356">
        <v>13</v>
      </c>
      <c r="C356" s="2" t="s">
        <v>61</v>
      </c>
      <c r="D356" s="2">
        <v>30</v>
      </c>
      <c r="E356" s="2">
        <v>8</v>
      </c>
      <c r="F356" s="2">
        <v>1</v>
      </c>
      <c r="G356" s="2">
        <f t="shared" si="38"/>
        <v>21</v>
      </c>
      <c r="H356" s="2">
        <v>24</v>
      </c>
      <c r="I356" s="2">
        <v>89</v>
      </c>
      <c r="J356" s="3">
        <f t="shared" si="39"/>
        <v>25</v>
      </c>
    </row>
    <row r="357" spans="2:10" x14ac:dyDescent="0.25">
      <c r="B357">
        <v>14</v>
      </c>
      <c r="C357" s="2" t="s">
        <v>72</v>
      </c>
      <c r="D357" s="2">
        <v>30</v>
      </c>
      <c r="E357" s="2">
        <v>3</v>
      </c>
      <c r="F357" s="2">
        <v>6</v>
      </c>
      <c r="G357" s="2">
        <f t="shared" si="38"/>
        <v>21</v>
      </c>
      <c r="H357" s="2">
        <v>19</v>
      </c>
      <c r="I357" s="2">
        <v>79</v>
      </c>
      <c r="J357" s="3">
        <f t="shared" si="39"/>
        <v>15</v>
      </c>
    </row>
    <row r="358" spans="2:10" x14ac:dyDescent="0.25">
      <c r="B358">
        <v>15</v>
      </c>
      <c r="C358" s="2" t="s">
        <v>73</v>
      </c>
      <c r="D358" s="2">
        <v>30</v>
      </c>
      <c r="E358" s="2">
        <v>4</v>
      </c>
      <c r="F358" s="2">
        <v>2</v>
      </c>
      <c r="G358" s="2">
        <f t="shared" si="38"/>
        <v>24</v>
      </c>
      <c r="H358" s="2">
        <v>22</v>
      </c>
      <c r="I358" s="2">
        <v>69</v>
      </c>
      <c r="J358" s="3">
        <f t="shared" si="39"/>
        <v>14</v>
      </c>
    </row>
    <row r="359" spans="2:10" x14ac:dyDescent="0.25">
      <c r="B359">
        <v>16</v>
      </c>
      <c r="C359" s="4" t="s">
        <v>34</v>
      </c>
      <c r="D359" s="4">
        <v>21</v>
      </c>
      <c r="E359" s="4">
        <v>1</v>
      </c>
      <c r="F359" s="4">
        <v>0</v>
      </c>
      <c r="G359" s="4">
        <f t="shared" si="38"/>
        <v>20</v>
      </c>
      <c r="H359" s="4">
        <v>0</v>
      </c>
      <c r="I359" s="4">
        <v>0</v>
      </c>
      <c r="J359" s="5">
        <f t="shared" si="39"/>
        <v>3</v>
      </c>
    </row>
    <row r="361" spans="2:10" x14ac:dyDescent="0.25">
      <c r="B361" s="33" t="s">
        <v>75</v>
      </c>
      <c r="C361" s="33"/>
      <c r="D361" s="33"/>
      <c r="E361" s="33"/>
      <c r="F361" s="33"/>
      <c r="G361" s="33"/>
      <c r="H361" s="33"/>
      <c r="I361" s="33"/>
      <c r="J361" s="33"/>
    </row>
    <row r="362" spans="2:10" x14ac:dyDescent="0.25">
      <c r="B362">
        <v>1</v>
      </c>
      <c r="C362" s="2" t="s">
        <v>18</v>
      </c>
      <c r="D362" s="2">
        <v>30</v>
      </c>
      <c r="E362" s="2">
        <v>27</v>
      </c>
      <c r="F362" s="2">
        <v>3</v>
      </c>
      <c r="G362" s="2">
        <f>D362-E362-F362</f>
        <v>0</v>
      </c>
      <c r="H362" s="2">
        <v>112</v>
      </c>
      <c r="I362" s="2">
        <v>14</v>
      </c>
      <c r="J362" s="3">
        <f>E362*3+F362*1</f>
        <v>84</v>
      </c>
    </row>
    <row r="363" spans="2:10" x14ac:dyDescent="0.25">
      <c r="B363">
        <v>2</v>
      </c>
      <c r="C363" s="2" t="s">
        <v>32</v>
      </c>
      <c r="D363" s="2">
        <v>30</v>
      </c>
      <c r="E363" s="2">
        <v>27</v>
      </c>
      <c r="F363" s="2">
        <v>0</v>
      </c>
      <c r="G363" s="2">
        <f t="shared" ref="G363:G377" si="40">D363-E363-F363</f>
        <v>3</v>
      </c>
      <c r="H363" s="2">
        <v>119</v>
      </c>
      <c r="I363" s="2">
        <v>19</v>
      </c>
      <c r="J363" s="3">
        <f t="shared" ref="J363:J377" si="41">E363*3+F363*1</f>
        <v>81</v>
      </c>
    </row>
    <row r="364" spans="2:10" x14ac:dyDescent="0.25">
      <c r="B364">
        <v>3</v>
      </c>
      <c r="C364" s="2" t="s">
        <v>33</v>
      </c>
      <c r="D364" s="2">
        <v>30</v>
      </c>
      <c r="E364" s="2">
        <v>21</v>
      </c>
      <c r="F364" s="2">
        <v>2</v>
      </c>
      <c r="G364" s="2">
        <f t="shared" si="40"/>
        <v>7</v>
      </c>
      <c r="H364" s="2">
        <v>71</v>
      </c>
      <c r="I364" s="2">
        <v>26</v>
      </c>
      <c r="J364" s="3">
        <f t="shared" si="41"/>
        <v>65</v>
      </c>
    </row>
    <row r="365" spans="2:10" x14ac:dyDescent="0.25">
      <c r="B365">
        <v>4</v>
      </c>
      <c r="C365" s="2" t="s">
        <v>43</v>
      </c>
      <c r="D365" s="2">
        <v>30</v>
      </c>
      <c r="E365" s="2">
        <v>19</v>
      </c>
      <c r="F365" s="2">
        <v>6</v>
      </c>
      <c r="G365" s="2">
        <f t="shared" si="40"/>
        <v>5</v>
      </c>
      <c r="H365" s="2">
        <v>74</v>
      </c>
      <c r="I365" s="2">
        <v>28</v>
      </c>
      <c r="J365" s="3">
        <f t="shared" si="41"/>
        <v>63</v>
      </c>
    </row>
    <row r="366" spans="2:10" x14ac:dyDescent="0.25">
      <c r="B366">
        <v>5</v>
      </c>
      <c r="C366" s="2" t="s">
        <v>51</v>
      </c>
      <c r="D366" s="2">
        <v>30</v>
      </c>
      <c r="E366" s="2">
        <v>19</v>
      </c>
      <c r="F366" s="2">
        <v>2</v>
      </c>
      <c r="G366" s="2">
        <f t="shared" si="40"/>
        <v>9</v>
      </c>
      <c r="H366" s="2">
        <v>69</v>
      </c>
      <c r="I366" s="2">
        <v>35</v>
      </c>
      <c r="J366" s="3">
        <f t="shared" si="41"/>
        <v>59</v>
      </c>
    </row>
    <row r="367" spans="2:10" x14ac:dyDescent="0.25">
      <c r="B367">
        <v>6</v>
      </c>
      <c r="C367" s="2" t="s">
        <v>70</v>
      </c>
      <c r="D367" s="2">
        <v>30</v>
      </c>
      <c r="E367" s="2">
        <v>18</v>
      </c>
      <c r="F367" s="2">
        <v>3</v>
      </c>
      <c r="G367" s="2">
        <f t="shared" si="40"/>
        <v>9</v>
      </c>
      <c r="H367" s="2">
        <v>54</v>
      </c>
      <c r="I367" s="2">
        <v>50</v>
      </c>
      <c r="J367" s="3">
        <f t="shared" si="41"/>
        <v>57</v>
      </c>
    </row>
    <row r="368" spans="2:10" x14ac:dyDescent="0.25">
      <c r="B368">
        <v>7</v>
      </c>
      <c r="C368" s="2" t="s">
        <v>64</v>
      </c>
      <c r="D368" s="2">
        <v>30</v>
      </c>
      <c r="E368" s="2">
        <v>14</v>
      </c>
      <c r="F368" s="2">
        <v>5</v>
      </c>
      <c r="G368" s="2">
        <f t="shared" si="40"/>
        <v>11</v>
      </c>
      <c r="H368" s="2">
        <v>52</v>
      </c>
      <c r="I368" s="2">
        <v>29</v>
      </c>
      <c r="J368" s="3">
        <f t="shared" si="41"/>
        <v>47</v>
      </c>
    </row>
    <row r="369" spans="2:10" x14ac:dyDescent="0.25">
      <c r="B369">
        <v>8</v>
      </c>
      <c r="C369" s="2" t="s">
        <v>50</v>
      </c>
      <c r="D369" s="2">
        <v>30</v>
      </c>
      <c r="E369" s="2">
        <v>10</v>
      </c>
      <c r="F369" s="2">
        <v>7</v>
      </c>
      <c r="G369" s="2">
        <f t="shared" si="40"/>
        <v>13</v>
      </c>
      <c r="H369" s="2">
        <v>37</v>
      </c>
      <c r="I369" s="2">
        <v>41</v>
      </c>
      <c r="J369" s="3">
        <f t="shared" si="41"/>
        <v>37</v>
      </c>
    </row>
    <row r="370" spans="2:10" x14ac:dyDescent="0.25">
      <c r="B370">
        <v>9</v>
      </c>
      <c r="C370" s="2" t="s">
        <v>58</v>
      </c>
      <c r="D370" s="2">
        <v>30</v>
      </c>
      <c r="E370" s="2">
        <v>10</v>
      </c>
      <c r="F370" s="2">
        <v>7</v>
      </c>
      <c r="G370" s="2">
        <f t="shared" si="40"/>
        <v>13</v>
      </c>
      <c r="H370" s="2">
        <v>35</v>
      </c>
      <c r="I370" s="2">
        <v>49</v>
      </c>
      <c r="J370" s="3">
        <f t="shared" si="41"/>
        <v>37</v>
      </c>
    </row>
    <row r="371" spans="2:10" x14ac:dyDescent="0.25">
      <c r="B371">
        <v>10</v>
      </c>
      <c r="C371" s="2" t="s">
        <v>71</v>
      </c>
      <c r="D371" s="2">
        <v>30</v>
      </c>
      <c r="E371" s="2">
        <v>9</v>
      </c>
      <c r="F371" s="2">
        <v>7</v>
      </c>
      <c r="G371" s="2">
        <f t="shared" si="40"/>
        <v>14</v>
      </c>
      <c r="H371" s="2">
        <v>38</v>
      </c>
      <c r="I371" s="2">
        <v>59</v>
      </c>
      <c r="J371" s="3">
        <f t="shared" si="41"/>
        <v>34</v>
      </c>
    </row>
    <row r="372" spans="2:10" x14ac:dyDescent="0.25">
      <c r="B372">
        <v>11</v>
      </c>
      <c r="C372" s="2" t="s">
        <v>52</v>
      </c>
      <c r="D372" s="2">
        <v>30</v>
      </c>
      <c r="E372" s="2">
        <v>9</v>
      </c>
      <c r="F372" s="2">
        <v>5</v>
      </c>
      <c r="G372" s="2">
        <f t="shared" si="40"/>
        <v>16</v>
      </c>
      <c r="H372" s="2">
        <v>36</v>
      </c>
      <c r="I372" s="2">
        <v>59</v>
      </c>
      <c r="J372" s="3">
        <f t="shared" si="41"/>
        <v>32</v>
      </c>
    </row>
    <row r="373" spans="2:10" x14ac:dyDescent="0.25">
      <c r="B373">
        <v>12</v>
      </c>
      <c r="C373" s="2" t="s">
        <v>72</v>
      </c>
      <c r="D373" s="2">
        <v>30</v>
      </c>
      <c r="E373" s="2">
        <v>7</v>
      </c>
      <c r="F373" s="2">
        <v>7</v>
      </c>
      <c r="G373" s="2">
        <f t="shared" si="40"/>
        <v>16</v>
      </c>
      <c r="H373" s="2">
        <v>33</v>
      </c>
      <c r="I373" s="2">
        <v>75</v>
      </c>
      <c r="J373" s="3">
        <f t="shared" si="41"/>
        <v>28</v>
      </c>
    </row>
    <row r="374" spans="2:10" x14ac:dyDescent="0.25">
      <c r="B374">
        <v>13</v>
      </c>
      <c r="C374" s="2" t="s">
        <v>53</v>
      </c>
      <c r="D374" s="2">
        <v>30</v>
      </c>
      <c r="E374" s="2">
        <v>4</v>
      </c>
      <c r="F374" s="2">
        <v>7</v>
      </c>
      <c r="G374" s="2">
        <f t="shared" si="40"/>
        <v>19</v>
      </c>
      <c r="H374" s="2">
        <v>21</v>
      </c>
      <c r="I374" s="2">
        <v>68</v>
      </c>
      <c r="J374" s="3">
        <f t="shared" si="41"/>
        <v>19</v>
      </c>
    </row>
    <row r="375" spans="2:10" x14ac:dyDescent="0.25">
      <c r="B375">
        <v>14</v>
      </c>
      <c r="C375" s="2" t="s">
        <v>76</v>
      </c>
      <c r="D375" s="2">
        <v>30</v>
      </c>
      <c r="E375" s="2">
        <v>2</v>
      </c>
      <c r="F375" s="2">
        <v>6</v>
      </c>
      <c r="G375" s="2">
        <f t="shared" si="40"/>
        <v>22</v>
      </c>
      <c r="H375" s="2">
        <v>24</v>
      </c>
      <c r="I375" s="2">
        <v>84</v>
      </c>
      <c r="J375" s="3">
        <f t="shared" si="41"/>
        <v>12</v>
      </c>
    </row>
    <row r="376" spans="2:10" x14ac:dyDescent="0.25">
      <c r="B376">
        <v>15</v>
      </c>
      <c r="C376" s="2" t="s">
        <v>56</v>
      </c>
      <c r="D376" s="2">
        <v>30</v>
      </c>
      <c r="E376" s="2">
        <v>2</v>
      </c>
      <c r="F376" s="2">
        <v>4</v>
      </c>
      <c r="G376" s="2">
        <f t="shared" si="40"/>
        <v>24</v>
      </c>
      <c r="H376" s="2">
        <v>18</v>
      </c>
      <c r="I376" s="2">
        <v>92</v>
      </c>
      <c r="J376" s="3">
        <f t="shared" si="41"/>
        <v>10</v>
      </c>
    </row>
    <row r="377" spans="2:10" x14ac:dyDescent="0.25">
      <c r="B377">
        <v>16</v>
      </c>
      <c r="C377" s="4" t="s">
        <v>34</v>
      </c>
      <c r="D377" s="4">
        <v>1</v>
      </c>
      <c r="E377" s="4">
        <v>0</v>
      </c>
      <c r="F377" s="4">
        <v>0</v>
      </c>
      <c r="G377" s="4">
        <f t="shared" si="40"/>
        <v>1</v>
      </c>
      <c r="H377" s="4">
        <v>0</v>
      </c>
      <c r="I377" s="4">
        <v>6</v>
      </c>
      <c r="J377" s="5">
        <f t="shared" si="41"/>
        <v>0</v>
      </c>
    </row>
    <row r="379" spans="2:10" x14ac:dyDescent="0.25">
      <c r="B379" s="34" t="s">
        <v>77</v>
      </c>
      <c r="C379" s="34"/>
      <c r="D379" s="34"/>
      <c r="E379" s="34"/>
      <c r="F379" s="34"/>
      <c r="G379" s="34"/>
      <c r="H379" s="34"/>
      <c r="I379" s="34"/>
      <c r="J379" s="34"/>
    </row>
    <row r="380" spans="2:10" x14ac:dyDescent="0.25">
      <c r="B380" s="4">
        <v>1</v>
      </c>
      <c r="C380" s="2" t="s">
        <v>64</v>
      </c>
      <c r="D380" s="2">
        <v>30</v>
      </c>
      <c r="E380" s="2">
        <v>26</v>
      </c>
      <c r="F380" s="2">
        <v>2</v>
      </c>
      <c r="G380" s="2">
        <f>D380-E380-F380</f>
        <v>2</v>
      </c>
      <c r="H380" s="2">
        <v>103</v>
      </c>
      <c r="I380" s="2">
        <v>16</v>
      </c>
      <c r="J380" s="3">
        <f>E380*3+F380*1</f>
        <v>80</v>
      </c>
    </row>
    <row r="381" spans="2:10" x14ac:dyDescent="0.25">
      <c r="B381" s="4">
        <v>2</v>
      </c>
      <c r="C381" s="2" t="s">
        <v>18</v>
      </c>
      <c r="D381" s="2">
        <v>30</v>
      </c>
      <c r="E381" s="2">
        <v>25</v>
      </c>
      <c r="F381" s="2">
        <v>3</v>
      </c>
      <c r="G381" s="2">
        <f t="shared" ref="G381:G395" si="42">D381-E381-F381</f>
        <v>2</v>
      </c>
      <c r="H381" s="2">
        <v>106</v>
      </c>
      <c r="I381" s="2">
        <v>19</v>
      </c>
      <c r="J381" s="3">
        <f t="shared" ref="J381:J395" si="43">E381*3+F381*1</f>
        <v>78</v>
      </c>
    </row>
    <row r="382" spans="2:10" x14ac:dyDescent="0.25">
      <c r="B382" s="4">
        <v>3</v>
      </c>
      <c r="C382" s="2" t="s">
        <v>32</v>
      </c>
      <c r="D382" s="2">
        <v>30</v>
      </c>
      <c r="E382" s="2">
        <v>25</v>
      </c>
      <c r="F382" s="2">
        <v>2</v>
      </c>
      <c r="G382" s="2">
        <f t="shared" si="42"/>
        <v>3</v>
      </c>
      <c r="H382" s="2">
        <v>81</v>
      </c>
      <c r="I382" s="2">
        <v>22</v>
      </c>
      <c r="J382" s="3">
        <f t="shared" si="43"/>
        <v>77</v>
      </c>
    </row>
    <row r="383" spans="2:10" x14ac:dyDescent="0.25">
      <c r="B383" s="4">
        <v>4</v>
      </c>
      <c r="C383" s="2" t="s">
        <v>33</v>
      </c>
      <c r="D383" s="2">
        <v>30</v>
      </c>
      <c r="E383" s="2">
        <v>22</v>
      </c>
      <c r="F383" s="2">
        <v>3</v>
      </c>
      <c r="G383" s="2">
        <f t="shared" si="42"/>
        <v>5</v>
      </c>
      <c r="H383" s="2">
        <v>96</v>
      </c>
      <c r="I383" s="2">
        <v>25</v>
      </c>
      <c r="J383" s="3">
        <f t="shared" si="43"/>
        <v>69</v>
      </c>
    </row>
    <row r="384" spans="2:10" x14ac:dyDescent="0.25">
      <c r="B384" s="4">
        <v>5</v>
      </c>
      <c r="C384" s="2" t="s">
        <v>70</v>
      </c>
      <c r="D384" s="2">
        <v>30</v>
      </c>
      <c r="E384" s="2">
        <v>20</v>
      </c>
      <c r="F384" s="2">
        <v>4</v>
      </c>
      <c r="G384" s="2">
        <f t="shared" si="42"/>
        <v>6</v>
      </c>
      <c r="H384" s="2">
        <v>90</v>
      </c>
      <c r="I384" s="2">
        <v>34</v>
      </c>
      <c r="J384" s="3">
        <f t="shared" si="43"/>
        <v>64</v>
      </c>
    </row>
    <row r="385" spans="2:11" x14ac:dyDescent="0.25">
      <c r="B385" s="4">
        <v>6</v>
      </c>
      <c r="C385" s="2" t="s">
        <v>43</v>
      </c>
      <c r="D385" s="2">
        <v>30</v>
      </c>
      <c r="E385" s="2">
        <v>16</v>
      </c>
      <c r="F385" s="2">
        <v>2</v>
      </c>
      <c r="G385" s="2">
        <f t="shared" si="42"/>
        <v>12</v>
      </c>
      <c r="H385" s="2">
        <v>67</v>
      </c>
      <c r="I385" s="2">
        <v>37</v>
      </c>
      <c r="J385" s="3">
        <f t="shared" si="43"/>
        <v>50</v>
      </c>
    </row>
    <row r="386" spans="2:11" x14ac:dyDescent="0.25">
      <c r="B386" s="4">
        <v>7</v>
      </c>
      <c r="C386" s="2" t="s">
        <v>50</v>
      </c>
      <c r="D386" s="2">
        <v>30</v>
      </c>
      <c r="E386" s="2">
        <v>11</v>
      </c>
      <c r="F386" s="2">
        <v>3</v>
      </c>
      <c r="G386" s="2">
        <f t="shared" si="42"/>
        <v>16</v>
      </c>
      <c r="H386" s="2">
        <v>42</v>
      </c>
      <c r="I386" s="2">
        <v>55</v>
      </c>
      <c r="J386" s="3">
        <f t="shared" si="43"/>
        <v>36</v>
      </c>
    </row>
    <row r="387" spans="2:11" x14ac:dyDescent="0.25">
      <c r="B387" s="4">
        <v>8</v>
      </c>
      <c r="C387" s="2" t="s">
        <v>58</v>
      </c>
      <c r="D387" s="2">
        <v>30</v>
      </c>
      <c r="E387" s="2">
        <v>11</v>
      </c>
      <c r="F387" s="2">
        <v>3</v>
      </c>
      <c r="G387" s="2">
        <f t="shared" si="42"/>
        <v>16</v>
      </c>
      <c r="H387" s="2">
        <v>40</v>
      </c>
      <c r="I387" s="2">
        <v>56</v>
      </c>
      <c r="J387" s="3">
        <f t="shared" si="43"/>
        <v>36</v>
      </c>
    </row>
    <row r="388" spans="2:11" x14ac:dyDescent="0.25">
      <c r="B388" s="4">
        <v>9</v>
      </c>
      <c r="C388" s="2" t="s">
        <v>72</v>
      </c>
      <c r="D388" s="2">
        <v>30</v>
      </c>
      <c r="E388" s="2">
        <v>8</v>
      </c>
      <c r="F388" s="2">
        <v>4</v>
      </c>
      <c r="G388" s="2">
        <f t="shared" si="42"/>
        <v>18</v>
      </c>
      <c r="H388" s="2">
        <v>37</v>
      </c>
      <c r="I388" s="2">
        <v>65</v>
      </c>
      <c r="J388" s="3">
        <f t="shared" si="43"/>
        <v>28</v>
      </c>
    </row>
    <row r="389" spans="2:11" x14ac:dyDescent="0.25">
      <c r="B389" s="4">
        <v>10</v>
      </c>
      <c r="C389" s="2" t="s">
        <v>68</v>
      </c>
      <c r="D389" s="2">
        <v>30</v>
      </c>
      <c r="E389" s="2">
        <v>8</v>
      </c>
      <c r="F389" s="2">
        <v>4</v>
      </c>
      <c r="G389" s="2">
        <f t="shared" si="42"/>
        <v>18</v>
      </c>
      <c r="H389" s="2">
        <v>40</v>
      </c>
      <c r="I389" s="2">
        <v>85</v>
      </c>
      <c r="J389" s="3">
        <f t="shared" si="43"/>
        <v>28</v>
      </c>
    </row>
    <row r="390" spans="2:11" x14ac:dyDescent="0.25">
      <c r="B390" s="4">
        <v>11</v>
      </c>
      <c r="C390" s="2" t="s">
        <v>52</v>
      </c>
      <c r="D390" s="2">
        <v>30</v>
      </c>
      <c r="E390" s="2">
        <v>8</v>
      </c>
      <c r="F390" s="2">
        <v>3</v>
      </c>
      <c r="G390" s="2">
        <f t="shared" si="42"/>
        <v>19</v>
      </c>
      <c r="H390" s="2">
        <v>35</v>
      </c>
      <c r="I390" s="2">
        <v>86</v>
      </c>
      <c r="J390" s="3">
        <f t="shared" si="43"/>
        <v>27</v>
      </c>
    </row>
    <row r="391" spans="2:11" x14ac:dyDescent="0.25">
      <c r="B391" s="4">
        <v>12</v>
      </c>
      <c r="C391" s="2" t="s">
        <v>71</v>
      </c>
      <c r="D391" s="2">
        <v>30</v>
      </c>
      <c r="E391" s="2">
        <v>7</v>
      </c>
      <c r="F391" s="2">
        <v>3</v>
      </c>
      <c r="G391" s="2">
        <f t="shared" si="42"/>
        <v>20</v>
      </c>
      <c r="H391" s="2">
        <v>36</v>
      </c>
      <c r="I391" s="2">
        <v>79</v>
      </c>
      <c r="J391" s="3">
        <f t="shared" si="43"/>
        <v>24</v>
      </c>
    </row>
    <row r="392" spans="2:11" x14ac:dyDescent="0.25">
      <c r="B392" s="4">
        <v>13</v>
      </c>
      <c r="C392" s="2" t="s">
        <v>53</v>
      </c>
      <c r="D392" s="2">
        <v>30</v>
      </c>
      <c r="E392" s="2">
        <v>5</v>
      </c>
      <c r="F392" s="2">
        <v>7</v>
      </c>
      <c r="G392" s="2">
        <f t="shared" si="42"/>
        <v>18</v>
      </c>
      <c r="H392" s="2">
        <v>28</v>
      </c>
      <c r="I392" s="2">
        <v>68</v>
      </c>
      <c r="J392" s="3">
        <f t="shared" si="43"/>
        <v>22</v>
      </c>
    </row>
    <row r="393" spans="2:11" x14ac:dyDescent="0.25">
      <c r="B393" s="4">
        <v>14</v>
      </c>
      <c r="C393" s="2" t="s">
        <v>73</v>
      </c>
      <c r="D393" s="2">
        <v>30</v>
      </c>
      <c r="E393" s="2">
        <v>5</v>
      </c>
      <c r="F393" s="2">
        <v>4</v>
      </c>
      <c r="G393" s="2">
        <f t="shared" si="42"/>
        <v>21</v>
      </c>
      <c r="H393" s="2">
        <v>17</v>
      </c>
      <c r="I393" s="2">
        <v>85</v>
      </c>
      <c r="J393" s="3">
        <f t="shared" si="43"/>
        <v>19</v>
      </c>
    </row>
    <row r="394" spans="2:11" x14ac:dyDescent="0.25">
      <c r="B394" s="4">
        <v>15</v>
      </c>
      <c r="C394" s="2" t="s">
        <v>76</v>
      </c>
      <c r="D394" s="2">
        <v>30</v>
      </c>
      <c r="E394" s="2">
        <v>4</v>
      </c>
      <c r="F394" s="2">
        <v>3</v>
      </c>
      <c r="G394" s="2">
        <f t="shared" si="42"/>
        <v>23</v>
      </c>
      <c r="H394" s="2">
        <v>16</v>
      </c>
      <c r="I394" s="2">
        <v>91</v>
      </c>
      <c r="J394" s="3">
        <f t="shared" si="43"/>
        <v>15</v>
      </c>
    </row>
    <row r="395" spans="2:11" x14ac:dyDescent="0.25">
      <c r="B395" s="4">
        <v>16</v>
      </c>
      <c r="C395" s="4" t="s">
        <v>34</v>
      </c>
      <c r="D395" s="4">
        <v>5</v>
      </c>
      <c r="E395" s="4">
        <v>0</v>
      </c>
      <c r="F395" s="4">
        <v>0</v>
      </c>
      <c r="G395" s="4">
        <f t="shared" si="42"/>
        <v>5</v>
      </c>
      <c r="H395" s="4">
        <v>1</v>
      </c>
      <c r="I395" s="4">
        <v>32</v>
      </c>
      <c r="J395" s="5">
        <f t="shared" si="43"/>
        <v>0</v>
      </c>
    </row>
    <row r="397" spans="2:11" x14ac:dyDescent="0.25">
      <c r="B397" s="34" t="s">
        <v>91</v>
      </c>
      <c r="C397" s="34"/>
      <c r="D397" s="34"/>
      <c r="E397" s="34"/>
      <c r="F397" s="34"/>
      <c r="G397" s="34"/>
      <c r="H397" s="34"/>
      <c r="I397" s="34"/>
      <c r="J397" s="34"/>
    </row>
    <row r="398" spans="2:11" x14ac:dyDescent="0.25">
      <c r="B398" s="4">
        <v>1</v>
      </c>
      <c r="C398" s="2" t="s">
        <v>18</v>
      </c>
      <c r="D398" s="2">
        <v>30</v>
      </c>
      <c r="E398" s="2">
        <v>25</v>
      </c>
      <c r="F398" s="2">
        <v>2</v>
      </c>
      <c r="G398" s="2">
        <f>D398-E398-F398</f>
        <v>3</v>
      </c>
      <c r="H398" s="2">
        <v>97</v>
      </c>
      <c r="I398" s="2">
        <v>17</v>
      </c>
      <c r="J398" s="3">
        <f>E398*3+F398*1</f>
        <v>77</v>
      </c>
      <c r="K398">
        <f t="shared" ref="K398:K413" si="44">(E398*3+F398)/(D398*3)*100</f>
        <v>85.555555555555557</v>
      </c>
    </row>
    <row r="399" spans="2:11" x14ac:dyDescent="0.25">
      <c r="B399" s="4">
        <v>2</v>
      </c>
      <c r="C399" s="2" t="s">
        <v>32</v>
      </c>
      <c r="D399" s="2">
        <v>30</v>
      </c>
      <c r="E399" s="2">
        <v>25</v>
      </c>
      <c r="F399" s="2">
        <v>1</v>
      </c>
      <c r="G399" s="2">
        <f t="shared" ref="G399:G413" si="45">D399-E399-F399</f>
        <v>4</v>
      </c>
      <c r="H399" s="2">
        <v>109</v>
      </c>
      <c r="I399" s="2">
        <v>32</v>
      </c>
      <c r="J399" s="3">
        <f t="shared" ref="J399:J413" si="46">E399*3+F399*1</f>
        <v>76</v>
      </c>
      <c r="K399">
        <f t="shared" si="44"/>
        <v>84.444444444444443</v>
      </c>
    </row>
    <row r="400" spans="2:11" x14ac:dyDescent="0.25">
      <c r="B400" s="4">
        <v>3</v>
      </c>
      <c r="C400" s="2" t="s">
        <v>64</v>
      </c>
      <c r="D400" s="2">
        <v>30</v>
      </c>
      <c r="E400" s="2">
        <v>24</v>
      </c>
      <c r="F400" s="2">
        <v>2</v>
      </c>
      <c r="G400" s="2">
        <f t="shared" si="45"/>
        <v>4</v>
      </c>
      <c r="H400" s="2">
        <v>108</v>
      </c>
      <c r="I400" s="2">
        <v>25</v>
      </c>
      <c r="J400" s="3">
        <f t="shared" si="46"/>
        <v>74</v>
      </c>
      <c r="K400">
        <f t="shared" si="44"/>
        <v>82.222222222222214</v>
      </c>
    </row>
    <row r="401" spans="2:13" x14ac:dyDescent="0.25">
      <c r="B401" s="4">
        <v>4</v>
      </c>
      <c r="C401" s="2" t="s">
        <v>33</v>
      </c>
      <c r="D401" s="2">
        <v>30</v>
      </c>
      <c r="E401" s="2">
        <v>23</v>
      </c>
      <c r="F401" s="2">
        <v>2</v>
      </c>
      <c r="G401" s="2">
        <f t="shared" si="45"/>
        <v>5</v>
      </c>
      <c r="H401" s="2">
        <v>109</v>
      </c>
      <c r="I401" s="2">
        <v>20</v>
      </c>
      <c r="J401" s="3">
        <f t="shared" si="46"/>
        <v>71</v>
      </c>
      <c r="K401">
        <f t="shared" si="44"/>
        <v>78.888888888888886</v>
      </c>
    </row>
    <row r="402" spans="2:13" x14ac:dyDescent="0.25">
      <c r="B402" s="4">
        <v>5</v>
      </c>
      <c r="C402" s="2" t="s">
        <v>70</v>
      </c>
      <c r="D402" s="2">
        <v>30</v>
      </c>
      <c r="E402" s="2">
        <v>20</v>
      </c>
      <c r="F402" s="2">
        <v>6</v>
      </c>
      <c r="G402" s="2">
        <f t="shared" si="45"/>
        <v>4</v>
      </c>
      <c r="H402" s="2">
        <v>84</v>
      </c>
      <c r="I402" s="2">
        <v>31</v>
      </c>
      <c r="J402" s="3">
        <f t="shared" si="46"/>
        <v>66</v>
      </c>
      <c r="K402">
        <f t="shared" si="44"/>
        <v>73.333333333333329</v>
      </c>
    </row>
    <row r="403" spans="2:13" x14ac:dyDescent="0.25">
      <c r="B403" s="4">
        <v>6</v>
      </c>
      <c r="C403" s="2" t="s">
        <v>43</v>
      </c>
      <c r="D403" s="2">
        <v>30</v>
      </c>
      <c r="E403" s="2">
        <v>21</v>
      </c>
      <c r="F403" s="2">
        <v>2</v>
      </c>
      <c r="G403" s="2">
        <f t="shared" si="45"/>
        <v>7</v>
      </c>
      <c r="H403" s="2">
        <v>91</v>
      </c>
      <c r="I403" s="2">
        <v>27</v>
      </c>
      <c r="J403" s="3">
        <f t="shared" si="46"/>
        <v>65</v>
      </c>
      <c r="K403">
        <f t="shared" si="44"/>
        <v>72.222222222222214</v>
      </c>
    </row>
    <row r="404" spans="2:13" x14ac:dyDescent="0.25">
      <c r="B404" s="4">
        <v>7</v>
      </c>
      <c r="C404" s="2" t="s">
        <v>92</v>
      </c>
      <c r="D404" s="2">
        <v>30</v>
      </c>
      <c r="E404" s="2">
        <v>14</v>
      </c>
      <c r="F404" s="2">
        <v>1</v>
      </c>
      <c r="G404" s="2">
        <f t="shared" si="45"/>
        <v>15</v>
      </c>
      <c r="H404" s="2">
        <v>31</v>
      </c>
      <c r="I404" s="2">
        <v>47</v>
      </c>
      <c r="J404" s="3">
        <f t="shared" si="46"/>
        <v>43</v>
      </c>
      <c r="K404">
        <f t="shared" si="44"/>
        <v>47.777777777777779</v>
      </c>
    </row>
    <row r="405" spans="2:13" x14ac:dyDescent="0.25">
      <c r="B405" s="4">
        <v>8</v>
      </c>
      <c r="C405" s="2" t="s">
        <v>71</v>
      </c>
      <c r="D405" s="2">
        <v>30</v>
      </c>
      <c r="E405" s="2">
        <v>10</v>
      </c>
      <c r="F405" s="2">
        <v>4</v>
      </c>
      <c r="G405" s="2">
        <f t="shared" si="45"/>
        <v>16</v>
      </c>
      <c r="H405" s="2">
        <v>41</v>
      </c>
      <c r="I405" s="2">
        <v>56</v>
      </c>
      <c r="J405" s="3">
        <f t="shared" si="46"/>
        <v>34</v>
      </c>
      <c r="K405">
        <f t="shared" si="44"/>
        <v>37.777777777777779</v>
      </c>
    </row>
    <row r="406" spans="2:13" x14ac:dyDescent="0.25">
      <c r="B406" s="4">
        <v>9</v>
      </c>
      <c r="C406" s="2" t="s">
        <v>50</v>
      </c>
      <c r="D406" s="2">
        <v>30</v>
      </c>
      <c r="E406" s="2">
        <v>9</v>
      </c>
      <c r="F406" s="2">
        <v>6</v>
      </c>
      <c r="G406" s="2">
        <f t="shared" si="45"/>
        <v>15</v>
      </c>
      <c r="H406" s="2">
        <v>26</v>
      </c>
      <c r="I406" s="2">
        <v>50</v>
      </c>
      <c r="J406" s="3">
        <f t="shared" si="46"/>
        <v>33</v>
      </c>
      <c r="K406">
        <f t="shared" si="44"/>
        <v>36.666666666666664</v>
      </c>
    </row>
    <row r="407" spans="2:13" x14ac:dyDescent="0.25">
      <c r="B407" s="4">
        <v>10</v>
      </c>
      <c r="C407" s="2" t="s">
        <v>68</v>
      </c>
      <c r="D407" s="2">
        <v>30</v>
      </c>
      <c r="E407" s="2">
        <v>9</v>
      </c>
      <c r="F407" s="2">
        <v>4</v>
      </c>
      <c r="G407" s="2">
        <f t="shared" si="45"/>
        <v>17</v>
      </c>
      <c r="H407" s="2">
        <v>33</v>
      </c>
      <c r="I407" s="2">
        <v>72</v>
      </c>
      <c r="J407" s="3">
        <f t="shared" si="46"/>
        <v>31</v>
      </c>
      <c r="K407">
        <f t="shared" si="44"/>
        <v>34.444444444444443</v>
      </c>
    </row>
    <row r="408" spans="2:13" x14ac:dyDescent="0.25">
      <c r="B408" s="4">
        <v>11</v>
      </c>
      <c r="C408" s="2" t="s">
        <v>52</v>
      </c>
      <c r="D408" s="2">
        <v>30</v>
      </c>
      <c r="E408" s="2">
        <v>7</v>
      </c>
      <c r="F408" s="2">
        <v>5</v>
      </c>
      <c r="G408" s="2">
        <f t="shared" si="45"/>
        <v>18</v>
      </c>
      <c r="H408" s="2">
        <v>23</v>
      </c>
      <c r="I408" s="2">
        <v>67</v>
      </c>
      <c r="J408" s="3">
        <f t="shared" si="46"/>
        <v>26</v>
      </c>
      <c r="K408">
        <f t="shared" si="44"/>
        <v>28.888888888888886</v>
      </c>
    </row>
    <row r="409" spans="2:13" x14ac:dyDescent="0.25">
      <c r="B409" s="4">
        <v>12</v>
      </c>
      <c r="C409" s="2" t="s">
        <v>58</v>
      </c>
      <c r="D409" s="2">
        <v>30</v>
      </c>
      <c r="E409" s="2">
        <v>7</v>
      </c>
      <c r="F409" s="2">
        <v>4</v>
      </c>
      <c r="G409" s="2">
        <f t="shared" si="45"/>
        <v>19</v>
      </c>
      <c r="H409" s="2">
        <v>19</v>
      </c>
      <c r="I409" s="2">
        <v>80</v>
      </c>
      <c r="J409" s="3">
        <f t="shared" si="46"/>
        <v>25</v>
      </c>
      <c r="K409">
        <f t="shared" si="44"/>
        <v>27.777777777777779</v>
      </c>
    </row>
    <row r="410" spans="2:13" x14ac:dyDescent="0.25">
      <c r="B410" s="4">
        <v>13</v>
      </c>
      <c r="C410" s="2" t="s">
        <v>73</v>
      </c>
      <c r="D410" s="2">
        <v>30</v>
      </c>
      <c r="E410" s="2">
        <v>6</v>
      </c>
      <c r="F410" s="2">
        <v>5</v>
      </c>
      <c r="G410" s="2">
        <f t="shared" si="45"/>
        <v>19</v>
      </c>
      <c r="H410" s="2">
        <v>18</v>
      </c>
      <c r="I410" s="2">
        <v>78</v>
      </c>
      <c r="J410" s="3">
        <f t="shared" si="46"/>
        <v>23</v>
      </c>
      <c r="K410">
        <f t="shared" si="44"/>
        <v>25.555555555555554</v>
      </c>
    </row>
    <row r="411" spans="2:13" x14ac:dyDescent="0.25">
      <c r="B411" s="4">
        <v>14</v>
      </c>
      <c r="C411" s="2" t="s">
        <v>56</v>
      </c>
      <c r="D411" s="2">
        <v>30</v>
      </c>
      <c r="E411" s="2">
        <v>6</v>
      </c>
      <c r="F411" s="2">
        <v>2</v>
      </c>
      <c r="G411" s="2">
        <f t="shared" si="45"/>
        <v>22</v>
      </c>
      <c r="H411" s="2">
        <v>17</v>
      </c>
      <c r="I411" s="2">
        <v>62</v>
      </c>
      <c r="J411" s="3">
        <f t="shared" si="46"/>
        <v>20</v>
      </c>
      <c r="K411">
        <f t="shared" si="44"/>
        <v>22.222222222222221</v>
      </c>
    </row>
    <row r="412" spans="2:13" x14ac:dyDescent="0.25">
      <c r="B412" s="4">
        <v>15</v>
      </c>
      <c r="C412" s="2" t="s">
        <v>93</v>
      </c>
      <c r="D412" s="2">
        <v>30</v>
      </c>
      <c r="E412" s="2">
        <v>4</v>
      </c>
      <c r="F412" s="2">
        <v>5</v>
      </c>
      <c r="G412" s="2">
        <f t="shared" si="45"/>
        <v>21</v>
      </c>
      <c r="H412" s="2">
        <v>13</v>
      </c>
      <c r="I412" s="2">
        <v>71</v>
      </c>
      <c r="J412" s="3">
        <f t="shared" si="46"/>
        <v>17</v>
      </c>
      <c r="K412">
        <f t="shared" si="44"/>
        <v>18.888888888888889</v>
      </c>
    </row>
    <row r="413" spans="2:13" x14ac:dyDescent="0.25">
      <c r="B413" s="4">
        <v>16</v>
      </c>
      <c r="C413" s="4" t="s">
        <v>34</v>
      </c>
      <c r="D413" s="4">
        <v>5</v>
      </c>
      <c r="E413" s="4">
        <v>0</v>
      </c>
      <c r="F413" s="4">
        <v>0</v>
      </c>
      <c r="G413" s="4">
        <f t="shared" si="45"/>
        <v>5</v>
      </c>
      <c r="H413" s="4">
        <v>0</v>
      </c>
      <c r="I413" s="4">
        <v>28</v>
      </c>
      <c r="J413" s="5">
        <f t="shared" si="46"/>
        <v>0</v>
      </c>
      <c r="K413">
        <f t="shared" si="44"/>
        <v>0</v>
      </c>
    </row>
    <row r="415" spans="2:13" x14ac:dyDescent="0.25">
      <c r="B415" s="34" t="s">
        <v>94</v>
      </c>
      <c r="C415" s="34"/>
      <c r="D415" s="34"/>
      <c r="E415" s="34"/>
      <c r="F415" s="34"/>
      <c r="G415" s="34"/>
      <c r="H415" s="34"/>
      <c r="I415" s="34"/>
      <c r="J415" s="34"/>
    </row>
    <row r="416" spans="2:13" x14ac:dyDescent="0.25">
      <c r="B416" s="4">
        <v>1</v>
      </c>
      <c r="C416" s="2" t="s">
        <v>70</v>
      </c>
      <c r="D416" s="4">
        <v>30</v>
      </c>
      <c r="E416" s="4">
        <v>25</v>
      </c>
      <c r="F416" s="4">
        <v>0</v>
      </c>
      <c r="G416" s="4">
        <f>D416-E416-F416</f>
        <v>5</v>
      </c>
      <c r="H416" s="4">
        <v>118</v>
      </c>
      <c r="I416" s="4">
        <v>18</v>
      </c>
      <c r="J416" s="5">
        <f>E416*3+F416*1</f>
        <v>75</v>
      </c>
      <c r="K416">
        <f t="shared" ref="K416:K431" si="47">(E416*3+F416)/(D416*3)*100</f>
        <v>83.333333333333343</v>
      </c>
      <c r="L416">
        <f>H416/D416</f>
        <v>3.9333333333333331</v>
      </c>
      <c r="M416">
        <f>I416/D416</f>
        <v>0.6</v>
      </c>
    </row>
    <row r="417" spans="2:13" x14ac:dyDescent="0.25">
      <c r="B417" s="4">
        <v>2</v>
      </c>
      <c r="C417" s="2" t="s">
        <v>43</v>
      </c>
      <c r="D417" s="4">
        <v>30</v>
      </c>
      <c r="E417" s="4">
        <v>25</v>
      </c>
      <c r="F417" s="4">
        <v>0</v>
      </c>
      <c r="G417" s="4">
        <f t="shared" ref="G417:G431" si="48">D417-E417-F417</f>
        <v>5</v>
      </c>
      <c r="H417" s="4">
        <v>110</v>
      </c>
      <c r="I417" s="4">
        <v>20</v>
      </c>
      <c r="J417" s="5">
        <f t="shared" ref="J417:J431" si="49">E417*3+F417*1</f>
        <v>75</v>
      </c>
      <c r="K417" s="7">
        <f t="shared" si="47"/>
        <v>83.333333333333343</v>
      </c>
      <c r="L417">
        <f t="shared" ref="L417:L431" si="50">H417/D417</f>
        <v>3.6666666666666665</v>
      </c>
      <c r="M417" s="7">
        <f t="shared" ref="M417:M431" si="51">I417/D417</f>
        <v>0.66666666666666663</v>
      </c>
    </row>
    <row r="418" spans="2:13" x14ac:dyDescent="0.25">
      <c r="B418" s="4">
        <v>3</v>
      </c>
      <c r="C418" s="2" t="s">
        <v>64</v>
      </c>
      <c r="D418" s="4">
        <v>30</v>
      </c>
      <c r="E418" s="4">
        <v>24</v>
      </c>
      <c r="F418" s="4">
        <v>2</v>
      </c>
      <c r="G418" s="4">
        <f t="shared" si="48"/>
        <v>4</v>
      </c>
      <c r="H418" s="4">
        <v>138</v>
      </c>
      <c r="I418" s="4">
        <v>21</v>
      </c>
      <c r="J418" s="5">
        <f t="shared" si="49"/>
        <v>74</v>
      </c>
      <c r="K418">
        <f t="shared" si="47"/>
        <v>82.222222222222214</v>
      </c>
      <c r="L418" s="7">
        <f t="shared" si="50"/>
        <v>4.5999999999999996</v>
      </c>
      <c r="M418">
        <f t="shared" si="51"/>
        <v>0.7</v>
      </c>
    </row>
    <row r="419" spans="2:13" x14ac:dyDescent="0.25">
      <c r="B419" s="4">
        <v>4</v>
      </c>
      <c r="C419" s="2" t="s">
        <v>33</v>
      </c>
      <c r="D419" s="4">
        <v>30</v>
      </c>
      <c r="E419" s="4">
        <v>22</v>
      </c>
      <c r="F419" s="4">
        <v>5</v>
      </c>
      <c r="G419" s="4">
        <f t="shared" si="48"/>
        <v>3</v>
      </c>
      <c r="H419" s="4">
        <v>103</v>
      </c>
      <c r="I419" s="4">
        <v>21</v>
      </c>
      <c r="J419" s="5">
        <f t="shared" si="49"/>
        <v>71</v>
      </c>
      <c r="K419">
        <f t="shared" si="47"/>
        <v>78.888888888888886</v>
      </c>
      <c r="L419" s="8">
        <f t="shared" si="50"/>
        <v>3.4333333333333331</v>
      </c>
      <c r="M419">
        <f t="shared" si="51"/>
        <v>0.7</v>
      </c>
    </row>
    <row r="420" spans="2:13" x14ac:dyDescent="0.25">
      <c r="B420" s="4">
        <v>5</v>
      </c>
      <c r="C420" s="2" t="s">
        <v>32</v>
      </c>
      <c r="D420" s="4">
        <v>30</v>
      </c>
      <c r="E420" s="4">
        <v>19</v>
      </c>
      <c r="F420" s="4">
        <v>3</v>
      </c>
      <c r="G420" s="4">
        <f t="shared" si="48"/>
        <v>8</v>
      </c>
      <c r="H420" s="4">
        <v>76</v>
      </c>
      <c r="I420" s="4">
        <v>40</v>
      </c>
      <c r="J420" s="5">
        <f t="shared" si="49"/>
        <v>60</v>
      </c>
      <c r="K420">
        <f t="shared" si="47"/>
        <v>66.666666666666657</v>
      </c>
      <c r="L420">
        <f t="shared" si="50"/>
        <v>2.5333333333333332</v>
      </c>
      <c r="M420" s="7">
        <f t="shared" si="51"/>
        <v>1.3333333333333333</v>
      </c>
    </row>
    <row r="421" spans="2:13" x14ac:dyDescent="0.25">
      <c r="B421" s="4">
        <v>6</v>
      </c>
      <c r="C421" s="2" t="s">
        <v>18</v>
      </c>
      <c r="D421" s="4">
        <v>30</v>
      </c>
      <c r="E421" s="4">
        <v>18</v>
      </c>
      <c r="F421" s="4">
        <v>4</v>
      </c>
      <c r="G421" s="4">
        <f t="shared" si="48"/>
        <v>8</v>
      </c>
      <c r="H421" s="4">
        <v>77</v>
      </c>
      <c r="I421" s="4">
        <v>32</v>
      </c>
      <c r="J421" s="5">
        <f t="shared" si="49"/>
        <v>58</v>
      </c>
      <c r="K421">
        <f t="shared" si="47"/>
        <v>64.444444444444443</v>
      </c>
      <c r="L421">
        <f t="shared" si="50"/>
        <v>2.5666666666666669</v>
      </c>
      <c r="M421">
        <f t="shared" si="51"/>
        <v>1.0666666666666667</v>
      </c>
    </row>
    <row r="422" spans="2:13" x14ac:dyDescent="0.25">
      <c r="B422" s="4">
        <v>7</v>
      </c>
      <c r="C422" s="2" t="s">
        <v>71</v>
      </c>
      <c r="D422" s="4">
        <v>30</v>
      </c>
      <c r="E422" s="4">
        <v>13</v>
      </c>
      <c r="F422" s="4">
        <v>4</v>
      </c>
      <c r="G422" s="4">
        <f t="shared" si="48"/>
        <v>13</v>
      </c>
      <c r="H422" s="4">
        <v>65</v>
      </c>
      <c r="I422" s="4">
        <v>48</v>
      </c>
      <c r="J422" s="5">
        <f t="shared" si="49"/>
        <v>43</v>
      </c>
      <c r="K422">
        <f t="shared" si="47"/>
        <v>47.777777777777779</v>
      </c>
      <c r="L422">
        <f t="shared" si="50"/>
        <v>2.1666666666666665</v>
      </c>
      <c r="M422">
        <f t="shared" si="51"/>
        <v>1.6</v>
      </c>
    </row>
    <row r="423" spans="2:13" x14ac:dyDescent="0.25">
      <c r="B423" s="4">
        <v>8</v>
      </c>
      <c r="C423" s="2" t="s">
        <v>76</v>
      </c>
      <c r="D423" s="4">
        <v>30</v>
      </c>
      <c r="E423" s="4">
        <v>12</v>
      </c>
      <c r="F423" s="4">
        <v>3</v>
      </c>
      <c r="G423" s="4">
        <f t="shared" si="48"/>
        <v>15</v>
      </c>
      <c r="H423" s="4">
        <v>43</v>
      </c>
      <c r="I423" s="4">
        <v>63</v>
      </c>
      <c r="J423" s="5">
        <f t="shared" si="49"/>
        <v>39</v>
      </c>
      <c r="K423">
        <f t="shared" si="47"/>
        <v>43.333333333333336</v>
      </c>
      <c r="L423">
        <f t="shared" si="50"/>
        <v>1.4333333333333333</v>
      </c>
      <c r="M423">
        <f t="shared" si="51"/>
        <v>2.1</v>
      </c>
    </row>
    <row r="424" spans="2:13" x14ac:dyDescent="0.25">
      <c r="B424" s="4">
        <v>9</v>
      </c>
      <c r="C424" s="2" t="s">
        <v>58</v>
      </c>
      <c r="D424" s="4">
        <v>30</v>
      </c>
      <c r="E424" s="4">
        <v>11</v>
      </c>
      <c r="F424" s="4">
        <v>5</v>
      </c>
      <c r="G424" s="4">
        <f t="shared" si="48"/>
        <v>14</v>
      </c>
      <c r="H424" s="4">
        <v>31</v>
      </c>
      <c r="I424" s="4">
        <v>52</v>
      </c>
      <c r="J424" s="5">
        <f t="shared" si="49"/>
        <v>38</v>
      </c>
      <c r="K424">
        <f t="shared" si="47"/>
        <v>42.222222222222221</v>
      </c>
      <c r="L424">
        <f t="shared" si="50"/>
        <v>1.0333333333333334</v>
      </c>
      <c r="M424">
        <f t="shared" si="51"/>
        <v>1.7333333333333334</v>
      </c>
    </row>
    <row r="425" spans="2:13" x14ac:dyDescent="0.25">
      <c r="B425" s="4">
        <v>10</v>
      </c>
      <c r="C425" s="2" t="s">
        <v>92</v>
      </c>
      <c r="D425" s="4">
        <v>30</v>
      </c>
      <c r="E425" s="4">
        <v>10</v>
      </c>
      <c r="F425" s="4">
        <v>5</v>
      </c>
      <c r="G425" s="4">
        <f t="shared" si="48"/>
        <v>15</v>
      </c>
      <c r="H425" s="4">
        <v>42</v>
      </c>
      <c r="I425" s="4">
        <v>49</v>
      </c>
      <c r="J425" s="5">
        <f t="shared" si="49"/>
        <v>35</v>
      </c>
      <c r="K425">
        <f t="shared" si="47"/>
        <v>38.888888888888893</v>
      </c>
      <c r="L425">
        <f t="shared" si="50"/>
        <v>1.4</v>
      </c>
      <c r="M425">
        <f t="shared" si="51"/>
        <v>1.6333333333333333</v>
      </c>
    </row>
    <row r="426" spans="2:13" x14ac:dyDescent="0.25">
      <c r="B426" s="4">
        <v>11</v>
      </c>
      <c r="C426" s="2" t="s">
        <v>68</v>
      </c>
      <c r="D426" s="4">
        <v>30</v>
      </c>
      <c r="E426" s="4">
        <v>11</v>
      </c>
      <c r="F426" s="4">
        <v>1</v>
      </c>
      <c r="G426" s="4">
        <f t="shared" si="48"/>
        <v>18</v>
      </c>
      <c r="H426" s="4">
        <v>38</v>
      </c>
      <c r="I426" s="4">
        <v>81</v>
      </c>
      <c r="J426" s="5">
        <f t="shared" si="49"/>
        <v>34</v>
      </c>
      <c r="K426">
        <f t="shared" si="47"/>
        <v>37.777777777777779</v>
      </c>
      <c r="L426">
        <f t="shared" si="50"/>
        <v>1.2666666666666666</v>
      </c>
      <c r="M426">
        <f t="shared" si="51"/>
        <v>2.7</v>
      </c>
    </row>
    <row r="427" spans="2:13" x14ac:dyDescent="0.25">
      <c r="B427" s="4">
        <v>12</v>
      </c>
      <c r="C427" s="2" t="s">
        <v>95</v>
      </c>
      <c r="D427" s="4">
        <v>30</v>
      </c>
      <c r="E427" s="4">
        <v>10</v>
      </c>
      <c r="F427" s="4">
        <v>3</v>
      </c>
      <c r="G427" s="4">
        <f t="shared" si="48"/>
        <v>17</v>
      </c>
      <c r="H427" s="4">
        <v>41</v>
      </c>
      <c r="I427" s="4">
        <v>93</v>
      </c>
      <c r="J427" s="5">
        <f t="shared" si="49"/>
        <v>33</v>
      </c>
      <c r="K427">
        <f t="shared" si="47"/>
        <v>36.666666666666664</v>
      </c>
      <c r="L427">
        <f t="shared" si="50"/>
        <v>1.3666666666666667</v>
      </c>
      <c r="M427">
        <f t="shared" si="51"/>
        <v>3.1</v>
      </c>
    </row>
    <row r="428" spans="2:13" x14ac:dyDescent="0.25">
      <c r="B428" s="4">
        <v>13</v>
      </c>
      <c r="C428" s="2" t="s">
        <v>52</v>
      </c>
      <c r="D428" s="4">
        <v>30</v>
      </c>
      <c r="E428" s="4">
        <v>5</v>
      </c>
      <c r="F428" s="4">
        <v>6</v>
      </c>
      <c r="G428" s="4">
        <f t="shared" si="48"/>
        <v>19</v>
      </c>
      <c r="H428" s="4">
        <v>26</v>
      </c>
      <c r="I428" s="4">
        <v>102</v>
      </c>
      <c r="J428" s="5">
        <f t="shared" si="49"/>
        <v>21</v>
      </c>
      <c r="K428">
        <f t="shared" si="47"/>
        <v>23.333333333333332</v>
      </c>
      <c r="L428">
        <f t="shared" si="50"/>
        <v>0.8666666666666667</v>
      </c>
      <c r="M428">
        <f t="shared" si="51"/>
        <v>3.4</v>
      </c>
    </row>
    <row r="429" spans="2:13" x14ac:dyDescent="0.25">
      <c r="B429" s="4">
        <v>14</v>
      </c>
      <c r="C429" s="2" t="s">
        <v>56</v>
      </c>
      <c r="D429" s="4">
        <v>30</v>
      </c>
      <c r="E429" s="4">
        <v>5</v>
      </c>
      <c r="F429" s="4">
        <v>2</v>
      </c>
      <c r="G429" s="4">
        <f t="shared" si="48"/>
        <v>23</v>
      </c>
      <c r="H429" s="4">
        <v>13</v>
      </c>
      <c r="I429" s="4">
        <v>93</v>
      </c>
      <c r="J429" s="5">
        <f t="shared" si="49"/>
        <v>17</v>
      </c>
      <c r="K429">
        <f t="shared" si="47"/>
        <v>18.888888888888889</v>
      </c>
      <c r="L429" s="2">
        <f t="shared" si="50"/>
        <v>0.43333333333333335</v>
      </c>
      <c r="M429">
        <f t="shared" si="51"/>
        <v>3.1</v>
      </c>
    </row>
    <row r="430" spans="2:13" x14ac:dyDescent="0.25">
      <c r="B430" s="4">
        <v>15</v>
      </c>
      <c r="C430" s="2" t="s">
        <v>50</v>
      </c>
      <c r="D430" s="4">
        <v>30</v>
      </c>
      <c r="E430" s="4">
        <v>3</v>
      </c>
      <c r="F430" s="4">
        <v>6</v>
      </c>
      <c r="G430" s="4">
        <f t="shared" si="48"/>
        <v>21</v>
      </c>
      <c r="H430" s="4">
        <v>16</v>
      </c>
      <c r="I430" s="4">
        <v>69</v>
      </c>
      <c r="J430" s="5">
        <f t="shared" si="49"/>
        <v>15</v>
      </c>
      <c r="K430">
        <f t="shared" si="47"/>
        <v>16.666666666666664</v>
      </c>
      <c r="L430">
        <f t="shared" si="50"/>
        <v>0.53333333333333333</v>
      </c>
      <c r="M430">
        <f t="shared" si="51"/>
        <v>2.2999999999999998</v>
      </c>
    </row>
    <row r="431" spans="2:13" x14ac:dyDescent="0.25">
      <c r="B431" s="4">
        <v>16</v>
      </c>
      <c r="C431" s="2" t="s">
        <v>73</v>
      </c>
      <c r="D431" s="4">
        <v>30</v>
      </c>
      <c r="E431" s="4">
        <v>2</v>
      </c>
      <c r="F431" s="4">
        <v>1</v>
      </c>
      <c r="G431" s="4">
        <f t="shared" si="48"/>
        <v>27</v>
      </c>
      <c r="H431" s="4">
        <v>13</v>
      </c>
      <c r="I431" s="4">
        <v>148</v>
      </c>
      <c r="J431" s="5">
        <f t="shared" si="49"/>
        <v>7</v>
      </c>
      <c r="K431" s="2">
        <f t="shared" si="47"/>
        <v>7.7777777777777777</v>
      </c>
      <c r="L431">
        <f t="shared" si="50"/>
        <v>0.43333333333333335</v>
      </c>
      <c r="M431" s="2">
        <f t="shared" si="51"/>
        <v>4.9333333333333336</v>
      </c>
    </row>
    <row r="432" spans="2:13" x14ac:dyDescent="0.25">
      <c r="C432" s="4"/>
    </row>
    <row r="433" spans="2:13" x14ac:dyDescent="0.25">
      <c r="B433" s="34" t="s">
        <v>111</v>
      </c>
      <c r="C433" s="34"/>
      <c r="D433" s="34"/>
      <c r="E433" s="34"/>
      <c r="F433" s="34"/>
      <c r="G433" s="34"/>
      <c r="H433" s="34"/>
      <c r="I433" s="34"/>
      <c r="J433" s="34"/>
    </row>
    <row r="434" spans="2:13" x14ac:dyDescent="0.25">
      <c r="B434" s="4">
        <v>1</v>
      </c>
      <c r="C434" s="2" t="s">
        <v>70</v>
      </c>
      <c r="D434" s="4">
        <v>30</v>
      </c>
      <c r="E434" s="4">
        <v>27</v>
      </c>
      <c r="F434" s="4">
        <v>1</v>
      </c>
      <c r="G434" s="4">
        <f>D434-E434-F434</f>
        <v>2</v>
      </c>
      <c r="H434" s="4">
        <v>114</v>
      </c>
      <c r="I434" s="4">
        <v>19</v>
      </c>
      <c r="J434" s="5">
        <f>E434*3+F434*1</f>
        <v>82</v>
      </c>
      <c r="K434" s="7">
        <f t="shared" ref="K434:K449" si="52">(E434*3+F434)/(D434*3)*100</f>
        <v>91.111111111111114</v>
      </c>
      <c r="L434">
        <f>H434/D434</f>
        <v>3.8</v>
      </c>
      <c r="M434">
        <f>I434/D434</f>
        <v>0.6333333333333333</v>
      </c>
    </row>
    <row r="435" spans="2:13" x14ac:dyDescent="0.25">
      <c r="B435" s="4">
        <v>2</v>
      </c>
      <c r="C435" s="2" t="s">
        <v>33</v>
      </c>
      <c r="D435" s="4">
        <v>30</v>
      </c>
      <c r="E435" s="4">
        <v>26</v>
      </c>
      <c r="F435" s="4">
        <v>2</v>
      </c>
      <c r="G435" s="4">
        <f t="shared" ref="G435:G449" si="53">D435-E435-F435</f>
        <v>2</v>
      </c>
      <c r="H435" s="4">
        <v>118</v>
      </c>
      <c r="I435" s="4">
        <v>14</v>
      </c>
      <c r="J435" s="5">
        <f t="shared" ref="J435:J449" si="54">E435*3+F435*1</f>
        <v>80</v>
      </c>
      <c r="K435" s="8">
        <f t="shared" si="52"/>
        <v>88.888888888888886</v>
      </c>
      <c r="L435" s="7">
        <f t="shared" ref="L435:L449" si="55">H435/D435</f>
        <v>3.9333333333333331</v>
      </c>
      <c r="M435" s="7">
        <f t="shared" ref="M435:M449" si="56">I435/D435</f>
        <v>0.46666666666666667</v>
      </c>
    </row>
    <row r="436" spans="2:13" x14ac:dyDescent="0.25">
      <c r="B436" s="4">
        <v>3</v>
      </c>
      <c r="C436" s="2" t="s">
        <v>64</v>
      </c>
      <c r="D436" s="4">
        <v>30</v>
      </c>
      <c r="E436" s="4">
        <v>23</v>
      </c>
      <c r="F436" s="4">
        <v>1</v>
      </c>
      <c r="G436" s="4">
        <f t="shared" si="53"/>
        <v>6</v>
      </c>
      <c r="H436" s="4">
        <v>119</v>
      </c>
      <c r="I436" s="4">
        <v>17</v>
      </c>
      <c r="J436" s="5">
        <f t="shared" si="54"/>
        <v>70</v>
      </c>
      <c r="K436">
        <f t="shared" si="52"/>
        <v>77.777777777777786</v>
      </c>
      <c r="L436">
        <f t="shared" si="55"/>
        <v>3.9666666666666668</v>
      </c>
      <c r="M436">
        <f t="shared" si="56"/>
        <v>0.56666666666666665</v>
      </c>
    </row>
    <row r="437" spans="2:13" x14ac:dyDescent="0.25">
      <c r="B437" s="4">
        <v>4</v>
      </c>
      <c r="C437" s="2" t="s">
        <v>43</v>
      </c>
      <c r="D437" s="4">
        <v>30</v>
      </c>
      <c r="E437" s="4">
        <v>22</v>
      </c>
      <c r="F437" s="4">
        <v>2</v>
      </c>
      <c r="G437" s="4">
        <f t="shared" si="53"/>
        <v>6</v>
      </c>
      <c r="H437" s="4">
        <v>83</v>
      </c>
      <c r="I437" s="4">
        <v>26</v>
      </c>
      <c r="J437" s="5">
        <f t="shared" si="54"/>
        <v>68</v>
      </c>
      <c r="K437">
        <f t="shared" si="52"/>
        <v>75.555555555555557</v>
      </c>
      <c r="L437" s="8">
        <f t="shared" si="55"/>
        <v>2.7666666666666666</v>
      </c>
      <c r="M437">
        <f t="shared" si="56"/>
        <v>0.8666666666666667</v>
      </c>
    </row>
    <row r="438" spans="2:13" x14ac:dyDescent="0.25">
      <c r="B438" s="4">
        <v>5</v>
      </c>
      <c r="C438" s="2" t="s">
        <v>92</v>
      </c>
      <c r="D438" s="4">
        <v>30</v>
      </c>
      <c r="E438" s="4">
        <v>18</v>
      </c>
      <c r="F438" s="4">
        <v>5</v>
      </c>
      <c r="G438" s="4">
        <f t="shared" si="53"/>
        <v>7</v>
      </c>
      <c r="H438" s="4">
        <v>65</v>
      </c>
      <c r="I438" s="4">
        <v>31</v>
      </c>
      <c r="J438" s="5">
        <f t="shared" si="54"/>
        <v>59</v>
      </c>
      <c r="K438">
        <f t="shared" si="52"/>
        <v>65.555555555555557</v>
      </c>
      <c r="L438">
        <f t="shared" si="55"/>
        <v>2.1666666666666665</v>
      </c>
      <c r="M438" s="8">
        <f t="shared" si="56"/>
        <v>1.0333333333333334</v>
      </c>
    </row>
    <row r="439" spans="2:13" x14ac:dyDescent="0.25">
      <c r="B439" s="4">
        <v>6</v>
      </c>
      <c r="C439" s="2" t="s">
        <v>58</v>
      </c>
      <c r="D439" s="4">
        <v>30</v>
      </c>
      <c r="E439" s="4">
        <v>19</v>
      </c>
      <c r="F439" s="4">
        <v>2</v>
      </c>
      <c r="G439" s="4">
        <f t="shared" si="53"/>
        <v>9</v>
      </c>
      <c r="H439" s="4">
        <v>70</v>
      </c>
      <c r="I439" s="4">
        <v>41</v>
      </c>
      <c r="J439" s="5">
        <f t="shared" si="54"/>
        <v>59</v>
      </c>
      <c r="K439">
        <f t="shared" si="52"/>
        <v>65.555555555555557</v>
      </c>
      <c r="L439">
        <f t="shared" si="55"/>
        <v>2.3333333333333335</v>
      </c>
      <c r="M439">
        <f t="shared" si="56"/>
        <v>1.3666666666666667</v>
      </c>
    </row>
    <row r="440" spans="2:13" x14ac:dyDescent="0.25">
      <c r="B440" s="4">
        <v>7</v>
      </c>
      <c r="C440" s="2" t="s">
        <v>71</v>
      </c>
      <c r="D440" s="4">
        <v>30</v>
      </c>
      <c r="E440" s="4">
        <v>18</v>
      </c>
      <c r="F440" s="4">
        <v>1</v>
      </c>
      <c r="G440" s="4">
        <f t="shared" si="53"/>
        <v>11</v>
      </c>
      <c r="H440" s="4">
        <v>79</v>
      </c>
      <c r="I440" s="4">
        <v>38</v>
      </c>
      <c r="J440" s="5">
        <f t="shared" si="54"/>
        <v>55</v>
      </c>
      <c r="K440">
        <f t="shared" si="52"/>
        <v>61.111111111111114</v>
      </c>
      <c r="L440">
        <f t="shared" si="55"/>
        <v>2.6333333333333333</v>
      </c>
      <c r="M440">
        <f t="shared" si="56"/>
        <v>1.2666666666666666</v>
      </c>
    </row>
    <row r="441" spans="2:13" x14ac:dyDescent="0.25">
      <c r="B441" s="4">
        <v>8</v>
      </c>
      <c r="C441" s="2" t="s">
        <v>32</v>
      </c>
      <c r="D441" s="4">
        <v>30</v>
      </c>
      <c r="E441" s="4">
        <v>17</v>
      </c>
      <c r="F441" s="4">
        <v>2</v>
      </c>
      <c r="G441" s="4">
        <f t="shared" si="53"/>
        <v>11</v>
      </c>
      <c r="H441" s="4">
        <v>73</v>
      </c>
      <c r="I441" s="4">
        <v>48</v>
      </c>
      <c r="J441" s="5">
        <f t="shared" si="54"/>
        <v>53</v>
      </c>
      <c r="K441">
        <f t="shared" si="52"/>
        <v>58.888888888888893</v>
      </c>
      <c r="L441">
        <f t="shared" si="55"/>
        <v>2.4333333333333331</v>
      </c>
      <c r="M441">
        <f t="shared" si="56"/>
        <v>1.6</v>
      </c>
    </row>
    <row r="442" spans="2:13" x14ac:dyDescent="0.25">
      <c r="B442" s="4">
        <v>9</v>
      </c>
      <c r="C442" s="2" t="s">
        <v>112</v>
      </c>
      <c r="D442" s="4">
        <v>30</v>
      </c>
      <c r="E442" s="4">
        <v>13</v>
      </c>
      <c r="F442" s="4">
        <v>2</v>
      </c>
      <c r="G442" s="4">
        <f t="shared" si="53"/>
        <v>15</v>
      </c>
      <c r="H442" s="4">
        <v>53</v>
      </c>
      <c r="I442" s="4">
        <v>40</v>
      </c>
      <c r="J442" s="5">
        <f t="shared" si="54"/>
        <v>41</v>
      </c>
      <c r="K442">
        <f t="shared" si="52"/>
        <v>45.555555555555557</v>
      </c>
      <c r="L442">
        <f t="shared" si="55"/>
        <v>1.7666666666666666</v>
      </c>
      <c r="M442">
        <f t="shared" si="56"/>
        <v>1.3333333333333333</v>
      </c>
    </row>
    <row r="443" spans="2:13" x14ac:dyDescent="0.25">
      <c r="B443" s="4">
        <v>10</v>
      </c>
      <c r="C443" s="2" t="s">
        <v>56</v>
      </c>
      <c r="D443" s="4">
        <v>30</v>
      </c>
      <c r="E443" s="4">
        <v>9</v>
      </c>
      <c r="F443" s="4">
        <v>2</v>
      </c>
      <c r="G443" s="4">
        <f t="shared" si="53"/>
        <v>19</v>
      </c>
      <c r="H443" s="4">
        <v>37</v>
      </c>
      <c r="I443" s="4">
        <v>72</v>
      </c>
      <c r="J443" s="5">
        <f t="shared" si="54"/>
        <v>29</v>
      </c>
      <c r="K443">
        <f t="shared" si="52"/>
        <v>32.222222222222221</v>
      </c>
      <c r="L443">
        <f t="shared" si="55"/>
        <v>1.2333333333333334</v>
      </c>
      <c r="M443">
        <f t="shared" si="56"/>
        <v>2.4</v>
      </c>
    </row>
    <row r="444" spans="2:13" x14ac:dyDescent="0.25">
      <c r="B444" s="4">
        <v>11</v>
      </c>
      <c r="C444" s="2" t="s">
        <v>95</v>
      </c>
      <c r="D444" s="4">
        <v>30</v>
      </c>
      <c r="E444" s="4">
        <v>10</v>
      </c>
      <c r="F444" s="4">
        <v>1</v>
      </c>
      <c r="G444" s="4">
        <f t="shared" si="53"/>
        <v>19</v>
      </c>
      <c r="H444" s="4">
        <v>42</v>
      </c>
      <c r="I444" s="4">
        <v>79</v>
      </c>
      <c r="J444" s="5">
        <f t="shared" si="54"/>
        <v>31</v>
      </c>
      <c r="K444">
        <f t="shared" si="52"/>
        <v>34.444444444444443</v>
      </c>
      <c r="L444">
        <f t="shared" si="55"/>
        <v>1.4</v>
      </c>
      <c r="M444">
        <f t="shared" si="56"/>
        <v>2.6333333333333333</v>
      </c>
    </row>
    <row r="445" spans="2:13" x14ac:dyDescent="0.25">
      <c r="B445" s="4">
        <v>12</v>
      </c>
      <c r="C445" s="2" t="s">
        <v>76</v>
      </c>
      <c r="D445" s="4">
        <v>30</v>
      </c>
      <c r="E445" s="4">
        <v>7</v>
      </c>
      <c r="F445" s="4">
        <v>5</v>
      </c>
      <c r="G445" s="4">
        <f t="shared" si="53"/>
        <v>18</v>
      </c>
      <c r="H445" s="4">
        <v>51</v>
      </c>
      <c r="I445" s="4">
        <v>67</v>
      </c>
      <c r="J445" s="5">
        <f t="shared" si="54"/>
        <v>26</v>
      </c>
      <c r="K445">
        <f t="shared" si="52"/>
        <v>28.888888888888886</v>
      </c>
      <c r="L445">
        <f t="shared" si="55"/>
        <v>1.7</v>
      </c>
      <c r="M445">
        <f t="shared" si="56"/>
        <v>2.2333333333333334</v>
      </c>
    </row>
    <row r="446" spans="2:13" x14ac:dyDescent="0.25">
      <c r="B446" s="4">
        <v>13</v>
      </c>
      <c r="C446" s="2" t="s">
        <v>68</v>
      </c>
      <c r="D446" s="4">
        <v>30</v>
      </c>
      <c r="E446" s="4">
        <v>8</v>
      </c>
      <c r="F446" s="4">
        <v>2</v>
      </c>
      <c r="G446" s="4">
        <f t="shared" si="53"/>
        <v>20</v>
      </c>
      <c r="H446" s="4">
        <v>47</v>
      </c>
      <c r="I446" s="4">
        <v>74</v>
      </c>
      <c r="J446" s="5">
        <f t="shared" si="54"/>
        <v>26</v>
      </c>
      <c r="K446">
        <f t="shared" si="52"/>
        <v>28.888888888888886</v>
      </c>
      <c r="L446">
        <f t="shared" si="55"/>
        <v>1.5666666666666667</v>
      </c>
      <c r="M446">
        <f t="shared" si="56"/>
        <v>2.4666666666666668</v>
      </c>
    </row>
    <row r="447" spans="2:13" x14ac:dyDescent="0.25">
      <c r="B447" s="4">
        <v>14</v>
      </c>
      <c r="C447" s="2" t="s">
        <v>52</v>
      </c>
      <c r="D447" s="4">
        <v>30</v>
      </c>
      <c r="E447" s="4">
        <v>6</v>
      </c>
      <c r="F447" s="4">
        <v>2</v>
      </c>
      <c r="G447" s="4">
        <f t="shared" si="53"/>
        <v>22</v>
      </c>
      <c r="H447" s="4">
        <v>34</v>
      </c>
      <c r="I447" s="4">
        <v>116</v>
      </c>
      <c r="J447" s="5">
        <f t="shared" si="54"/>
        <v>20</v>
      </c>
      <c r="K447">
        <f t="shared" si="52"/>
        <v>22.222222222222221</v>
      </c>
      <c r="L447" s="4">
        <f t="shared" si="55"/>
        <v>1.1333333333333333</v>
      </c>
      <c r="M447">
        <f t="shared" si="56"/>
        <v>3.8666666666666667</v>
      </c>
    </row>
    <row r="448" spans="2:13" x14ac:dyDescent="0.25">
      <c r="B448" s="4">
        <v>15</v>
      </c>
      <c r="C448" s="4" t="s">
        <v>34</v>
      </c>
      <c r="D448" s="4">
        <v>30</v>
      </c>
      <c r="E448" s="4">
        <v>2</v>
      </c>
      <c r="F448" s="4">
        <v>0</v>
      </c>
      <c r="G448" s="4">
        <f t="shared" si="53"/>
        <v>28</v>
      </c>
      <c r="H448" s="4">
        <v>9</v>
      </c>
      <c r="I448" s="4">
        <v>162</v>
      </c>
      <c r="J448" s="5">
        <f t="shared" si="54"/>
        <v>6</v>
      </c>
      <c r="K448">
        <f t="shared" si="52"/>
        <v>6.666666666666667</v>
      </c>
      <c r="L448">
        <f t="shared" si="55"/>
        <v>0.3</v>
      </c>
      <c r="M448" s="2">
        <f t="shared" si="56"/>
        <v>5.4</v>
      </c>
    </row>
    <row r="449" spans="1:13" x14ac:dyDescent="0.25">
      <c r="B449" s="4">
        <v>16</v>
      </c>
      <c r="C449" s="4" t="s">
        <v>34</v>
      </c>
      <c r="D449" s="4">
        <v>30</v>
      </c>
      <c r="E449" s="4">
        <v>0</v>
      </c>
      <c r="F449" s="4">
        <v>0</v>
      </c>
      <c r="G449" s="4">
        <f t="shared" si="53"/>
        <v>30</v>
      </c>
      <c r="H449" s="4">
        <v>3</v>
      </c>
      <c r="I449" s="4">
        <v>138</v>
      </c>
      <c r="J449" s="5">
        <f t="shared" si="54"/>
        <v>0</v>
      </c>
      <c r="K449" s="2">
        <f t="shared" si="52"/>
        <v>0</v>
      </c>
      <c r="L449" s="2">
        <f t="shared" si="55"/>
        <v>0.1</v>
      </c>
      <c r="M449" s="4">
        <f t="shared" si="56"/>
        <v>4.5999999999999996</v>
      </c>
    </row>
    <row r="451" spans="1:13" x14ac:dyDescent="0.25">
      <c r="B451" s="34" t="s">
        <v>113</v>
      </c>
      <c r="C451" s="34"/>
      <c r="D451" s="34"/>
      <c r="E451" s="34"/>
      <c r="F451" s="34"/>
      <c r="G451" s="34"/>
      <c r="H451" s="34"/>
      <c r="I451" s="34"/>
      <c r="J451" s="34"/>
    </row>
    <row r="452" spans="1:13" x14ac:dyDescent="0.25">
      <c r="A452" s="16"/>
      <c r="B452" s="16">
        <v>1</v>
      </c>
      <c r="C452" t="s">
        <v>70</v>
      </c>
      <c r="D452" s="17">
        <v>30</v>
      </c>
      <c r="E452" s="17">
        <v>24</v>
      </c>
      <c r="F452" s="17">
        <v>1</v>
      </c>
      <c r="G452" s="17">
        <v>5</v>
      </c>
      <c r="H452" s="18">
        <v>126</v>
      </c>
      <c r="I452" s="18">
        <v>27</v>
      </c>
      <c r="J452" s="19">
        <v>73</v>
      </c>
      <c r="K452" s="13">
        <f t="shared" ref="K452:K467" si="57">(E452*3+F452)/(D452*3)*100</f>
        <v>81.111111111111114</v>
      </c>
      <c r="L452" s="12">
        <f>H452/D452</f>
        <v>4.2</v>
      </c>
      <c r="M452" s="12">
        <f>I452/D452</f>
        <v>0.9</v>
      </c>
    </row>
    <row r="453" spans="1:13" x14ac:dyDescent="0.25">
      <c r="A453" s="16"/>
      <c r="B453" s="16">
        <v>2</v>
      </c>
      <c r="C453" t="s">
        <v>33</v>
      </c>
      <c r="D453" s="17">
        <v>30</v>
      </c>
      <c r="E453" s="17">
        <v>23</v>
      </c>
      <c r="F453" s="17">
        <v>2</v>
      </c>
      <c r="G453" s="17">
        <v>5</v>
      </c>
      <c r="H453" s="18">
        <v>106</v>
      </c>
      <c r="I453" s="18">
        <v>23</v>
      </c>
      <c r="J453" s="19">
        <v>71</v>
      </c>
      <c r="K453" s="20">
        <f t="shared" si="57"/>
        <v>78.888888888888886</v>
      </c>
      <c r="L453" s="12">
        <f t="shared" ref="L453:L467" si="58">H453/D453</f>
        <v>3.5333333333333332</v>
      </c>
      <c r="M453" s="12">
        <f t="shared" ref="M453:M467" si="59">I453/D453</f>
        <v>0.76666666666666672</v>
      </c>
    </row>
    <row r="454" spans="1:13" x14ac:dyDescent="0.25">
      <c r="A454" s="16"/>
      <c r="B454" s="16">
        <v>3</v>
      </c>
      <c r="C454" t="s">
        <v>64</v>
      </c>
      <c r="D454" s="17">
        <v>30</v>
      </c>
      <c r="E454" s="17">
        <v>21</v>
      </c>
      <c r="F454" s="17">
        <v>6</v>
      </c>
      <c r="G454" s="17">
        <v>3</v>
      </c>
      <c r="H454" s="18">
        <v>130</v>
      </c>
      <c r="I454" s="18">
        <v>24</v>
      </c>
      <c r="J454" s="19">
        <v>69</v>
      </c>
      <c r="K454" s="20">
        <f t="shared" si="57"/>
        <v>76.666666666666671</v>
      </c>
      <c r="L454" s="13">
        <f t="shared" si="58"/>
        <v>4.333333333333333</v>
      </c>
      <c r="M454" s="12">
        <f t="shared" si="59"/>
        <v>0.8</v>
      </c>
    </row>
    <row r="455" spans="1:13" x14ac:dyDescent="0.25">
      <c r="A455" s="16"/>
      <c r="B455" s="16">
        <v>4</v>
      </c>
      <c r="C455" t="s">
        <v>92</v>
      </c>
      <c r="D455" s="17">
        <v>30</v>
      </c>
      <c r="E455" s="17">
        <v>21</v>
      </c>
      <c r="F455" s="17">
        <v>5</v>
      </c>
      <c r="G455" s="17">
        <v>4</v>
      </c>
      <c r="H455" s="18">
        <v>89</v>
      </c>
      <c r="I455" s="18">
        <v>20</v>
      </c>
      <c r="J455" s="19">
        <v>68</v>
      </c>
      <c r="K455" s="20">
        <f t="shared" si="57"/>
        <v>75.555555555555557</v>
      </c>
      <c r="L455" s="12">
        <f t="shared" si="58"/>
        <v>2.9666666666666668</v>
      </c>
      <c r="M455" s="13">
        <f t="shared" si="59"/>
        <v>0.66666666666666663</v>
      </c>
    </row>
    <row r="456" spans="1:13" x14ac:dyDescent="0.25">
      <c r="A456" s="16"/>
      <c r="B456" s="16">
        <v>5</v>
      </c>
      <c r="C456" t="s">
        <v>58</v>
      </c>
      <c r="D456" s="17">
        <v>30</v>
      </c>
      <c r="E456" s="17">
        <v>20</v>
      </c>
      <c r="F456" s="17">
        <v>5</v>
      </c>
      <c r="G456" s="17">
        <v>5</v>
      </c>
      <c r="H456" s="18">
        <v>75</v>
      </c>
      <c r="I456" s="18">
        <v>34</v>
      </c>
      <c r="J456" s="19">
        <v>65</v>
      </c>
      <c r="K456" s="20">
        <f t="shared" si="57"/>
        <v>72.222222222222214</v>
      </c>
      <c r="L456" s="12">
        <f t="shared" si="58"/>
        <v>2.5</v>
      </c>
      <c r="M456" s="12">
        <f t="shared" si="59"/>
        <v>1.1333333333333333</v>
      </c>
    </row>
    <row r="457" spans="1:13" x14ac:dyDescent="0.25">
      <c r="A457" s="16"/>
      <c r="B457" s="16">
        <v>6</v>
      </c>
      <c r="C457" t="s">
        <v>43</v>
      </c>
      <c r="D457" s="17">
        <v>30</v>
      </c>
      <c r="E457" s="17">
        <v>17</v>
      </c>
      <c r="F457" s="17">
        <v>4</v>
      </c>
      <c r="G457" s="17">
        <v>9</v>
      </c>
      <c r="H457" s="18">
        <v>86</v>
      </c>
      <c r="I457" s="18">
        <v>37</v>
      </c>
      <c r="J457" s="19">
        <v>55</v>
      </c>
      <c r="K457" s="20">
        <f t="shared" si="57"/>
        <v>61.111111111111114</v>
      </c>
      <c r="L457" s="12">
        <f t="shared" si="58"/>
        <v>2.8666666666666667</v>
      </c>
      <c r="M457" s="12">
        <f t="shared" si="59"/>
        <v>1.2333333333333334</v>
      </c>
    </row>
    <row r="458" spans="1:13" x14ac:dyDescent="0.25">
      <c r="A458" s="16"/>
      <c r="B458" s="16">
        <v>7</v>
      </c>
      <c r="C458" t="s">
        <v>71</v>
      </c>
      <c r="D458" s="17">
        <v>30</v>
      </c>
      <c r="E458" s="17">
        <v>15</v>
      </c>
      <c r="F458" s="17">
        <v>7</v>
      </c>
      <c r="G458" s="17">
        <v>8</v>
      </c>
      <c r="H458" s="18">
        <v>68</v>
      </c>
      <c r="I458" s="18">
        <v>37</v>
      </c>
      <c r="J458" s="19">
        <v>52</v>
      </c>
      <c r="K458" s="20">
        <f t="shared" si="57"/>
        <v>57.777777777777771</v>
      </c>
      <c r="L458" s="12">
        <f t="shared" si="58"/>
        <v>2.2666666666666666</v>
      </c>
      <c r="M458" s="12">
        <f t="shared" si="59"/>
        <v>1.2333333333333334</v>
      </c>
    </row>
    <row r="459" spans="1:13" x14ac:dyDescent="0.25">
      <c r="A459" s="16"/>
      <c r="B459" s="16">
        <v>8</v>
      </c>
      <c r="C459" t="s">
        <v>32</v>
      </c>
      <c r="D459" s="17">
        <v>30</v>
      </c>
      <c r="E459" s="17">
        <v>15</v>
      </c>
      <c r="F459" s="17">
        <v>5</v>
      </c>
      <c r="G459" s="17">
        <v>10</v>
      </c>
      <c r="H459" s="18">
        <v>60</v>
      </c>
      <c r="I459" s="18">
        <v>58</v>
      </c>
      <c r="J459" s="19">
        <v>50</v>
      </c>
      <c r="K459" s="20">
        <f t="shared" si="57"/>
        <v>55.555555555555557</v>
      </c>
      <c r="L459" s="12">
        <f t="shared" si="58"/>
        <v>2</v>
      </c>
      <c r="M459" s="12">
        <f t="shared" si="59"/>
        <v>1.9333333333333333</v>
      </c>
    </row>
    <row r="460" spans="1:13" x14ac:dyDescent="0.25">
      <c r="A460" s="16"/>
      <c r="B460" s="16">
        <v>9</v>
      </c>
      <c r="C460" t="s">
        <v>76</v>
      </c>
      <c r="D460" s="17">
        <v>30</v>
      </c>
      <c r="E460" s="17">
        <v>8</v>
      </c>
      <c r="F460" s="17">
        <v>6</v>
      </c>
      <c r="G460" s="17">
        <v>16</v>
      </c>
      <c r="H460" s="18">
        <v>53</v>
      </c>
      <c r="I460" s="18">
        <v>64</v>
      </c>
      <c r="J460" s="19">
        <v>30</v>
      </c>
      <c r="K460" s="20">
        <f t="shared" si="57"/>
        <v>33.333333333333329</v>
      </c>
      <c r="L460" s="12">
        <f t="shared" si="58"/>
        <v>1.7666666666666666</v>
      </c>
      <c r="M460" s="12">
        <f t="shared" si="59"/>
        <v>2.1333333333333333</v>
      </c>
    </row>
    <row r="461" spans="1:13" x14ac:dyDescent="0.25">
      <c r="A461" s="16"/>
      <c r="B461" s="16">
        <v>10</v>
      </c>
      <c r="C461" t="s">
        <v>115</v>
      </c>
      <c r="D461" s="17">
        <v>30</v>
      </c>
      <c r="E461" s="17">
        <v>7</v>
      </c>
      <c r="F461" s="17">
        <v>9</v>
      </c>
      <c r="G461" s="17">
        <v>14</v>
      </c>
      <c r="H461" s="18">
        <v>21</v>
      </c>
      <c r="I461" s="18">
        <v>51</v>
      </c>
      <c r="J461" s="19">
        <v>30</v>
      </c>
      <c r="K461" s="20">
        <f t="shared" si="57"/>
        <v>33.333333333333329</v>
      </c>
      <c r="L461" s="12">
        <f t="shared" si="58"/>
        <v>0.7</v>
      </c>
      <c r="M461" s="12">
        <f t="shared" si="59"/>
        <v>1.7</v>
      </c>
    </row>
    <row r="462" spans="1:13" x14ac:dyDescent="0.25">
      <c r="A462" s="16"/>
      <c r="B462" s="16">
        <v>11</v>
      </c>
      <c r="C462" t="s">
        <v>68</v>
      </c>
      <c r="D462" s="17">
        <v>30</v>
      </c>
      <c r="E462" s="17">
        <v>8</v>
      </c>
      <c r="F462" s="17">
        <v>3</v>
      </c>
      <c r="G462" s="17">
        <v>19</v>
      </c>
      <c r="H462" s="18">
        <v>37</v>
      </c>
      <c r="I462" s="18">
        <v>76</v>
      </c>
      <c r="J462" s="19">
        <v>27</v>
      </c>
      <c r="K462" s="20">
        <f t="shared" si="57"/>
        <v>30</v>
      </c>
      <c r="L462" s="12">
        <f t="shared" si="58"/>
        <v>1.2333333333333334</v>
      </c>
      <c r="M462" s="12">
        <f t="shared" si="59"/>
        <v>2.5333333333333332</v>
      </c>
    </row>
    <row r="463" spans="1:13" x14ac:dyDescent="0.25">
      <c r="A463" s="16"/>
      <c r="B463" s="16">
        <v>12</v>
      </c>
      <c r="C463" t="s">
        <v>56</v>
      </c>
      <c r="D463" s="17">
        <v>30</v>
      </c>
      <c r="E463" s="17">
        <v>7</v>
      </c>
      <c r="F463" s="17">
        <v>6</v>
      </c>
      <c r="G463" s="17">
        <v>17</v>
      </c>
      <c r="H463" s="18">
        <v>25</v>
      </c>
      <c r="I463" s="18">
        <v>81</v>
      </c>
      <c r="J463" s="19">
        <v>27</v>
      </c>
      <c r="K463" s="20">
        <f t="shared" si="57"/>
        <v>30</v>
      </c>
      <c r="L463" s="12">
        <f t="shared" si="58"/>
        <v>0.83333333333333337</v>
      </c>
      <c r="M463" s="12">
        <f t="shared" si="59"/>
        <v>2.7</v>
      </c>
    </row>
    <row r="464" spans="1:13" x14ac:dyDescent="0.25">
      <c r="A464" s="16"/>
      <c r="B464" s="16">
        <v>13</v>
      </c>
      <c r="C464" t="s">
        <v>112</v>
      </c>
      <c r="D464" s="17">
        <v>30</v>
      </c>
      <c r="E464" s="17">
        <v>7</v>
      </c>
      <c r="F464" s="17">
        <v>4</v>
      </c>
      <c r="G464" s="17">
        <v>19</v>
      </c>
      <c r="H464" s="18">
        <v>41</v>
      </c>
      <c r="I464" s="18">
        <v>74</v>
      </c>
      <c r="J464" s="19">
        <v>25</v>
      </c>
      <c r="K464" s="20">
        <f t="shared" si="57"/>
        <v>27.777777777777779</v>
      </c>
      <c r="L464" s="12">
        <f t="shared" si="58"/>
        <v>1.3666666666666667</v>
      </c>
      <c r="M464" s="12">
        <f t="shared" si="59"/>
        <v>2.4666666666666668</v>
      </c>
    </row>
    <row r="465" spans="1:13" x14ac:dyDescent="0.25">
      <c r="A465" s="16"/>
      <c r="B465" s="16">
        <v>14</v>
      </c>
      <c r="C465" t="s">
        <v>114</v>
      </c>
      <c r="D465" s="17">
        <v>30</v>
      </c>
      <c r="E465" s="17">
        <v>7</v>
      </c>
      <c r="F465" s="17">
        <v>3</v>
      </c>
      <c r="G465" s="17">
        <v>20</v>
      </c>
      <c r="H465" s="18">
        <v>27</v>
      </c>
      <c r="I465" s="18">
        <v>87</v>
      </c>
      <c r="J465" s="19">
        <v>24</v>
      </c>
      <c r="K465" s="20">
        <f t="shared" si="57"/>
        <v>26.666666666666668</v>
      </c>
      <c r="L465" s="12">
        <f t="shared" si="58"/>
        <v>0.9</v>
      </c>
      <c r="M465" s="12">
        <f t="shared" si="59"/>
        <v>2.9</v>
      </c>
    </row>
    <row r="466" spans="1:13" x14ac:dyDescent="0.25">
      <c r="A466" s="16"/>
      <c r="B466" s="16">
        <v>15</v>
      </c>
      <c r="C466" t="s">
        <v>95</v>
      </c>
      <c r="D466" s="17">
        <v>30</v>
      </c>
      <c r="E466" s="17">
        <v>6</v>
      </c>
      <c r="F466" s="17">
        <v>2</v>
      </c>
      <c r="G466" s="17">
        <v>22</v>
      </c>
      <c r="H466" s="18">
        <v>36</v>
      </c>
      <c r="I466" s="18">
        <v>91</v>
      </c>
      <c r="J466" s="19">
        <v>20</v>
      </c>
      <c r="K466" s="20">
        <f t="shared" si="57"/>
        <v>22.222222222222221</v>
      </c>
      <c r="L466" s="12">
        <f t="shared" si="58"/>
        <v>1.2</v>
      </c>
      <c r="M466" s="12">
        <f t="shared" si="59"/>
        <v>3.0333333333333332</v>
      </c>
    </row>
    <row r="467" spans="1:13" x14ac:dyDescent="0.25">
      <c r="A467" s="16"/>
      <c r="B467" s="16">
        <v>16</v>
      </c>
      <c r="C467" t="s">
        <v>52</v>
      </c>
      <c r="D467" s="17">
        <v>30</v>
      </c>
      <c r="E467" s="17">
        <v>0</v>
      </c>
      <c r="F467" s="17">
        <v>0</v>
      </c>
      <c r="G467" s="17">
        <v>30</v>
      </c>
      <c r="H467" s="18">
        <v>0</v>
      </c>
      <c r="I467" s="18">
        <v>196</v>
      </c>
      <c r="J467" s="19">
        <v>0</v>
      </c>
      <c r="K467" s="21">
        <f t="shared" si="57"/>
        <v>0</v>
      </c>
      <c r="L467" s="14">
        <f t="shared" si="58"/>
        <v>0</v>
      </c>
      <c r="M467" s="14">
        <f t="shared" si="59"/>
        <v>6.5333333333333332</v>
      </c>
    </row>
    <row r="469" spans="1:13" x14ac:dyDescent="0.25">
      <c r="B469" s="35" t="s">
        <v>129</v>
      </c>
      <c r="C469" s="35"/>
      <c r="D469" s="35"/>
      <c r="E469" s="35"/>
      <c r="F469" s="35"/>
      <c r="G469" s="35"/>
      <c r="H469" s="35"/>
      <c r="I469" s="35"/>
      <c r="J469" s="35"/>
    </row>
    <row r="470" spans="1:13" x14ac:dyDescent="0.25">
      <c r="B470">
        <v>1</v>
      </c>
      <c r="C470" t="s">
        <v>43</v>
      </c>
      <c r="D470">
        <v>30</v>
      </c>
      <c r="E470">
        <v>24</v>
      </c>
      <c r="F470">
        <v>4</v>
      </c>
      <c r="G470">
        <v>2</v>
      </c>
      <c r="H470">
        <v>90</v>
      </c>
      <c r="I470">
        <v>18</v>
      </c>
      <c r="J470">
        <v>76</v>
      </c>
      <c r="K470" s="20">
        <f t="shared" ref="K470" si="60">(E470*3+F470)/(D470*3)*100</f>
        <v>84.444444444444443</v>
      </c>
      <c r="L470" s="12">
        <f t="shared" ref="L470" si="61">H470/D470</f>
        <v>3</v>
      </c>
      <c r="M470" s="12">
        <f t="shared" ref="M470" si="62">I470/D470</f>
        <v>0.6</v>
      </c>
    </row>
    <row r="471" spans="1:13" x14ac:dyDescent="0.25">
      <c r="B471">
        <v>2</v>
      </c>
      <c r="C471" t="s">
        <v>64</v>
      </c>
      <c r="D471">
        <v>30</v>
      </c>
      <c r="E471">
        <v>23</v>
      </c>
      <c r="F471">
        <v>5</v>
      </c>
      <c r="G471">
        <v>2</v>
      </c>
      <c r="H471">
        <v>99</v>
      </c>
      <c r="I471">
        <v>19</v>
      </c>
      <c r="J471">
        <v>74</v>
      </c>
      <c r="K471" s="20">
        <f t="shared" ref="K471:K485" si="63">(E471*3+F471)/(D471*3)*100</f>
        <v>82.222222222222214</v>
      </c>
      <c r="L471" s="12">
        <f t="shared" ref="L471:L485" si="64">H471/D471</f>
        <v>3.3</v>
      </c>
      <c r="M471" s="12">
        <f t="shared" ref="M471:M485" si="65">I471/D471</f>
        <v>0.6333333333333333</v>
      </c>
    </row>
    <row r="472" spans="1:13" x14ac:dyDescent="0.25">
      <c r="B472">
        <v>3</v>
      </c>
      <c r="C472" t="s">
        <v>92</v>
      </c>
      <c r="D472">
        <v>30</v>
      </c>
      <c r="E472">
        <v>23</v>
      </c>
      <c r="F472">
        <v>4</v>
      </c>
      <c r="G472">
        <v>3</v>
      </c>
      <c r="H472">
        <v>91</v>
      </c>
      <c r="I472">
        <v>17</v>
      </c>
      <c r="J472">
        <v>73</v>
      </c>
      <c r="K472" s="20">
        <f t="shared" si="63"/>
        <v>81.111111111111114</v>
      </c>
      <c r="L472" s="12">
        <f t="shared" si="64"/>
        <v>3.0333333333333332</v>
      </c>
      <c r="M472" s="12">
        <f t="shared" si="65"/>
        <v>0.56666666666666665</v>
      </c>
    </row>
    <row r="473" spans="1:13" x14ac:dyDescent="0.25">
      <c r="B473">
        <v>4</v>
      </c>
      <c r="C473" t="s">
        <v>33</v>
      </c>
      <c r="D473">
        <v>30</v>
      </c>
      <c r="E473">
        <v>21</v>
      </c>
      <c r="F473">
        <v>2</v>
      </c>
      <c r="G473">
        <v>7</v>
      </c>
      <c r="H473">
        <v>109</v>
      </c>
      <c r="I473">
        <v>30</v>
      </c>
      <c r="J473">
        <v>65</v>
      </c>
      <c r="K473" s="20">
        <f t="shared" si="63"/>
        <v>72.222222222222214</v>
      </c>
      <c r="L473" s="12">
        <f t="shared" si="64"/>
        <v>3.6333333333333333</v>
      </c>
      <c r="M473" s="12">
        <f t="shared" si="65"/>
        <v>1</v>
      </c>
    </row>
    <row r="474" spans="1:13" x14ac:dyDescent="0.25">
      <c r="B474">
        <v>5</v>
      </c>
      <c r="C474" t="s">
        <v>70</v>
      </c>
      <c r="D474">
        <v>30</v>
      </c>
      <c r="E474">
        <v>20</v>
      </c>
      <c r="F474">
        <v>5</v>
      </c>
      <c r="G474">
        <v>5</v>
      </c>
      <c r="H474">
        <v>88</v>
      </c>
      <c r="I474">
        <v>33</v>
      </c>
      <c r="J474">
        <v>65</v>
      </c>
      <c r="K474" s="20">
        <f t="shared" si="63"/>
        <v>72.222222222222214</v>
      </c>
      <c r="L474" s="12">
        <f t="shared" si="64"/>
        <v>2.9333333333333331</v>
      </c>
      <c r="M474" s="12">
        <f t="shared" si="65"/>
        <v>1.1000000000000001</v>
      </c>
    </row>
    <row r="475" spans="1:13" x14ac:dyDescent="0.25">
      <c r="B475">
        <v>6</v>
      </c>
      <c r="C475" t="s">
        <v>32</v>
      </c>
      <c r="D475">
        <v>30</v>
      </c>
      <c r="E475">
        <v>18</v>
      </c>
      <c r="F475">
        <v>2</v>
      </c>
      <c r="G475">
        <v>10</v>
      </c>
      <c r="H475">
        <v>76</v>
      </c>
      <c r="I475">
        <v>52</v>
      </c>
      <c r="J475">
        <v>56</v>
      </c>
      <c r="K475" s="20">
        <f t="shared" si="63"/>
        <v>62.222222222222221</v>
      </c>
      <c r="L475" s="12">
        <f t="shared" si="64"/>
        <v>2.5333333333333332</v>
      </c>
      <c r="M475" s="12">
        <f t="shared" si="65"/>
        <v>1.7333333333333334</v>
      </c>
    </row>
    <row r="476" spans="1:13" x14ac:dyDescent="0.25">
      <c r="B476">
        <v>7</v>
      </c>
      <c r="C476" t="s">
        <v>71</v>
      </c>
      <c r="D476">
        <v>30</v>
      </c>
      <c r="E476">
        <v>16</v>
      </c>
      <c r="F476">
        <v>6</v>
      </c>
      <c r="G476">
        <v>8</v>
      </c>
      <c r="H476">
        <v>55</v>
      </c>
      <c r="I476">
        <v>38</v>
      </c>
      <c r="J476">
        <v>54</v>
      </c>
      <c r="K476" s="20">
        <f t="shared" si="63"/>
        <v>60</v>
      </c>
      <c r="L476" s="12">
        <f t="shared" si="64"/>
        <v>1.8333333333333333</v>
      </c>
      <c r="M476" s="12">
        <f t="shared" si="65"/>
        <v>1.2666666666666666</v>
      </c>
    </row>
    <row r="477" spans="1:13" x14ac:dyDescent="0.25">
      <c r="B477">
        <v>8</v>
      </c>
      <c r="C477" t="s">
        <v>76</v>
      </c>
      <c r="D477">
        <v>30</v>
      </c>
      <c r="E477">
        <v>14</v>
      </c>
      <c r="F477">
        <v>2</v>
      </c>
      <c r="G477">
        <v>14</v>
      </c>
      <c r="H477">
        <v>49</v>
      </c>
      <c r="I477">
        <v>69</v>
      </c>
      <c r="J477">
        <v>44</v>
      </c>
      <c r="K477" s="20">
        <f t="shared" si="63"/>
        <v>48.888888888888886</v>
      </c>
      <c r="L477" s="12">
        <f t="shared" si="64"/>
        <v>1.6333333333333333</v>
      </c>
      <c r="M477" s="12">
        <f t="shared" si="65"/>
        <v>2.2999999999999998</v>
      </c>
    </row>
    <row r="478" spans="1:13" x14ac:dyDescent="0.25">
      <c r="B478">
        <v>9</v>
      </c>
      <c r="C478" t="s">
        <v>58</v>
      </c>
      <c r="D478">
        <v>30</v>
      </c>
      <c r="E478">
        <v>12</v>
      </c>
      <c r="F478">
        <v>2</v>
      </c>
      <c r="G478">
        <v>16</v>
      </c>
      <c r="H478">
        <v>39</v>
      </c>
      <c r="I478">
        <v>53</v>
      </c>
      <c r="J478">
        <v>38</v>
      </c>
      <c r="K478" s="20">
        <f t="shared" si="63"/>
        <v>42.222222222222221</v>
      </c>
      <c r="L478" s="12">
        <f t="shared" si="64"/>
        <v>1.3</v>
      </c>
      <c r="M478" s="12">
        <f t="shared" si="65"/>
        <v>1.7666666666666666</v>
      </c>
    </row>
    <row r="479" spans="1:13" x14ac:dyDescent="0.25">
      <c r="B479">
        <v>10</v>
      </c>
      <c r="C479" t="s">
        <v>73</v>
      </c>
      <c r="D479">
        <v>30</v>
      </c>
      <c r="E479">
        <v>8</v>
      </c>
      <c r="F479">
        <v>7</v>
      </c>
      <c r="G479">
        <v>15</v>
      </c>
      <c r="H479">
        <v>21</v>
      </c>
      <c r="I479">
        <v>68</v>
      </c>
      <c r="J479">
        <v>31</v>
      </c>
      <c r="K479" s="20">
        <f t="shared" si="63"/>
        <v>34.444444444444443</v>
      </c>
      <c r="L479" s="12">
        <f t="shared" si="64"/>
        <v>0.7</v>
      </c>
      <c r="M479" s="12">
        <f t="shared" si="65"/>
        <v>2.2666666666666666</v>
      </c>
    </row>
    <row r="480" spans="1:13" x14ac:dyDescent="0.25">
      <c r="B480">
        <v>11</v>
      </c>
      <c r="C480" t="s">
        <v>112</v>
      </c>
      <c r="D480">
        <v>30</v>
      </c>
      <c r="E480">
        <v>9</v>
      </c>
      <c r="F480">
        <v>2</v>
      </c>
      <c r="G480">
        <v>19</v>
      </c>
      <c r="H480">
        <v>29</v>
      </c>
      <c r="I480">
        <v>64</v>
      </c>
      <c r="J480">
        <v>29</v>
      </c>
      <c r="K480" s="20">
        <f t="shared" si="63"/>
        <v>32.222222222222221</v>
      </c>
      <c r="L480" s="12">
        <f t="shared" si="64"/>
        <v>0.96666666666666667</v>
      </c>
      <c r="M480" s="12">
        <f t="shared" si="65"/>
        <v>2.1333333333333333</v>
      </c>
    </row>
    <row r="481" spans="2:13" x14ac:dyDescent="0.25">
      <c r="B481">
        <v>12</v>
      </c>
      <c r="C481" t="s">
        <v>128</v>
      </c>
      <c r="D481">
        <v>30</v>
      </c>
      <c r="E481">
        <v>8</v>
      </c>
      <c r="F481">
        <v>4</v>
      </c>
      <c r="G481">
        <v>18</v>
      </c>
      <c r="H481">
        <v>23</v>
      </c>
      <c r="I481">
        <v>65</v>
      </c>
      <c r="J481">
        <v>28</v>
      </c>
      <c r="K481" s="20">
        <f t="shared" si="63"/>
        <v>31.111111111111111</v>
      </c>
      <c r="L481" s="12">
        <f t="shared" si="64"/>
        <v>0.76666666666666672</v>
      </c>
      <c r="M481" s="12">
        <f t="shared" si="65"/>
        <v>2.1666666666666665</v>
      </c>
    </row>
    <row r="482" spans="2:13" x14ac:dyDescent="0.25">
      <c r="B482">
        <v>13</v>
      </c>
      <c r="C482" t="s">
        <v>115</v>
      </c>
      <c r="D482">
        <v>30</v>
      </c>
      <c r="E482">
        <v>4</v>
      </c>
      <c r="F482">
        <v>5</v>
      </c>
      <c r="G482">
        <v>21</v>
      </c>
      <c r="H482">
        <v>21</v>
      </c>
      <c r="I482">
        <v>70</v>
      </c>
      <c r="J482">
        <v>17</v>
      </c>
      <c r="K482" s="20">
        <f t="shared" si="63"/>
        <v>18.888888888888889</v>
      </c>
      <c r="L482" s="12">
        <f t="shared" si="64"/>
        <v>0.7</v>
      </c>
      <c r="M482" s="12">
        <f t="shared" si="65"/>
        <v>2.3333333333333335</v>
      </c>
    </row>
    <row r="483" spans="2:13" x14ac:dyDescent="0.25">
      <c r="B483">
        <v>14</v>
      </c>
      <c r="C483" t="s">
        <v>114</v>
      </c>
      <c r="D483">
        <v>30</v>
      </c>
      <c r="E483">
        <v>5</v>
      </c>
      <c r="F483">
        <v>2</v>
      </c>
      <c r="G483">
        <v>23</v>
      </c>
      <c r="H483">
        <v>24</v>
      </c>
      <c r="I483">
        <v>83</v>
      </c>
      <c r="J483">
        <v>17</v>
      </c>
      <c r="K483" s="20">
        <f t="shared" si="63"/>
        <v>18.888888888888889</v>
      </c>
      <c r="L483" s="12">
        <f t="shared" si="64"/>
        <v>0.8</v>
      </c>
      <c r="M483" s="12">
        <f t="shared" si="65"/>
        <v>2.7666666666666666</v>
      </c>
    </row>
    <row r="484" spans="2:13" x14ac:dyDescent="0.25">
      <c r="B484">
        <v>15</v>
      </c>
      <c r="C484" t="s">
        <v>56</v>
      </c>
      <c r="D484">
        <v>30</v>
      </c>
      <c r="E484">
        <v>4</v>
      </c>
      <c r="F484">
        <v>4</v>
      </c>
      <c r="G484">
        <v>22</v>
      </c>
      <c r="H484">
        <v>21</v>
      </c>
      <c r="I484">
        <v>75</v>
      </c>
      <c r="J484">
        <v>16</v>
      </c>
      <c r="K484" s="20">
        <f t="shared" si="63"/>
        <v>17.777777777777779</v>
      </c>
      <c r="L484" s="12">
        <f t="shared" si="64"/>
        <v>0.7</v>
      </c>
      <c r="M484" s="12">
        <f t="shared" si="65"/>
        <v>2.5</v>
      </c>
    </row>
    <row r="485" spans="2:13" x14ac:dyDescent="0.25">
      <c r="B485">
        <v>16</v>
      </c>
      <c r="C485" t="s">
        <v>68</v>
      </c>
      <c r="D485">
        <v>30</v>
      </c>
      <c r="E485">
        <v>1</v>
      </c>
      <c r="F485">
        <v>4</v>
      </c>
      <c r="G485">
        <v>25</v>
      </c>
      <c r="H485">
        <v>22</v>
      </c>
      <c r="I485">
        <v>103</v>
      </c>
      <c r="J485">
        <v>7</v>
      </c>
      <c r="K485" s="20">
        <f t="shared" si="63"/>
        <v>7.7777777777777777</v>
      </c>
      <c r="L485" s="12">
        <f t="shared" si="64"/>
        <v>0.73333333333333328</v>
      </c>
      <c r="M485" s="12">
        <f t="shared" si="65"/>
        <v>3.4333333333333331</v>
      </c>
    </row>
    <row r="487" spans="2:13" x14ac:dyDescent="0.25">
      <c r="B487" s="35" t="s">
        <v>132</v>
      </c>
      <c r="C487" s="35"/>
      <c r="D487" s="35"/>
      <c r="E487" s="35"/>
      <c r="F487" s="35"/>
      <c r="G487" s="35"/>
      <c r="H487" s="35"/>
      <c r="I487" s="35"/>
      <c r="J487" s="35"/>
    </row>
    <row r="488" spans="2:13" x14ac:dyDescent="0.25">
      <c r="B488">
        <v>1</v>
      </c>
      <c r="C488" t="s">
        <v>70</v>
      </c>
      <c r="D488">
        <v>30</v>
      </c>
      <c r="E488">
        <v>23</v>
      </c>
      <c r="F488">
        <v>3</v>
      </c>
      <c r="G488">
        <v>4</v>
      </c>
      <c r="H488">
        <v>95</v>
      </c>
      <c r="I488">
        <v>30</v>
      </c>
      <c r="J488">
        <v>72</v>
      </c>
      <c r="K488" s="20">
        <f t="shared" ref="K488" si="66">(E488*3+F488)/(D488*3)*100</f>
        <v>80</v>
      </c>
      <c r="L488" s="12">
        <f t="shared" ref="L488" si="67">H488/D488</f>
        <v>3.1666666666666665</v>
      </c>
      <c r="M488" s="12">
        <f t="shared" ref="M488" si="68">I488/D488</f>
        <v>1</v>
      </c>
    </row>
    <row r="489" spans="2:13" x14ac:dyDescent="0.25">
      <c r="B489">
        <v>2</v>
      </c>
      <c r="C489" t="s">
        <v>92</v>
      </c>
      <c r="D489">
        <v>30</v>
      </c>
      <c r="E489">
        <v>21</v>
      </c>
      <c r="F489">
        <v>4</v>
      </c>
      <c r="G489">
        <v>5</v>
      </c>
      <c r="H489">
        <v>78</v>
      </c>
      <c r="I489">
        <v>22</v>
      </c>
      <c r="J489">
        <v>67</v>
      </c>
      <c r="K489" s="20">
        <f t="shared" ref="K489:K503" si="69">(E489*3+F489)/(D489*3)*100</f>
        <v>74.444444444444443</v>
      </c>
      <c r="L489" s="12">
        <f t="shared" ref="L489:L503" si="70">H489/D489</f>
        <v>2.6</v>
      </c>
      <c r="M489" s="12">
        <f t="shared" ref="M489:M503" si="71">I489/D489</f>
        <v>0.73333333333333328</v>
      </c>
    </row>
    <row r="490" spans="2:13" x14ac:dyDescent="0.25">
      <c r="B490">
        <v>3</v>
      </c>
      <c r="C490" t="s">
        <v>43</v>
      </c>
      <c r="D490">
        <v>30</v>
      </c>
      <c r="E490">
        <v>22</v>
      </c>
      <c r="F490">
        <v>1</v>
      </c>
      <c r="G490">
        <v>7</v>
      </c>
      <c r="H490">
        <v>76</v>
      </c>
      <c r="I490">
        <v>29</v>
      </c>
      <c r="J490">
        <v>67</v>
      </c>
      <c r="K490" s="20">
        <f t="shared" si="69"/>
        <v>74.444444444444443</v>
      </c>
      <c r="L490" s="12">
        <f t="shared" si="70"/>
        <v>2.5333333333333332</v>
      </c>
      <c r="M490" s="12">
        <f t="shared" si="71"/>
        <v>0.96666666666666667</v>
      </c>
    </row>
    <row r="491" spans="2:13" x14ac:dyDescent="0.25">
      <c r="B491">
        <v>4</v>
      </c>
      <c r="C491" t="s">
        <v>58</v>
      </c>
      <c r="D491">
        <v>30</v>
      </c>
      <c r="E491">
        <v>20</v>
      </c>
      <c r="F491">
        <v>5</v>
      </c>
      <c r="G491">
        <v>5</v>
      </c>
      <c r="H491">
        <v>72</v>
      </c>
      <c r="I491">
        <v>25</v>
      </c>
      <c r="J491">
        <v>65</v>
      </c>
      <c r="K491" s="20">
        <f t="shared" si="69"/>
        <v>72.222222222222214</v>
      </c>
      <c r="L491" s="12">
        <f t="shared" si="70"/>
        <v>2.4</v>
      </c>
      <c r="M491" s="12">
        <f t="shared" si="71"/>
        <v>0.83333333333333337</v>
      </c>
    </row>
    <row r="492" spans="2:13" x14ac:dyDescent="0.25">
      <c r="B492">
        <v>5</v>
      </c>
      <c r="C492" t="s">
        <v>33</v>
      </c>
      <c r="D492">
        <v>30</v>
      </c>
      <c r="E492">
        <v>20</v>
      </c>
      <c r="F492">
        <v>4</v>
      </c>
      <c r="G492">
        <v>6</v>
      </c>
      <c r="H492">
        <v>90</v>
      </c>
      <c r="I492">
        <v>36</v>
      </c>
      <c r="J492">
        <v>64</v>
      </c>
      <c r="K492" s="20">
        <f t="shared" si="69"/>
        <v>71.111111111111114</v>
      </c>
      <c r="L492" s="12">
        <f t="shared" si="70"/>
        <v>3</v>
      </c>
      <c r="M492" s="12">
        <f t="shared" si="71"/>
        <v>1.2</v>
      </c>
    </row>
    <row r="493" spans="2:13" x14ac:dyDescent="0.25">
      <c r="B493">
        <v>6</v>
      </c>
      <c r="C493" t="s">
        <v>64</v>
      </c>
      <c r="D493">
        <v>30</v>
      </c>
      <c r="E493">
        <v>18</v>
      </c>
      <c r="F493">
        <v>3</v>
      </c>
      <c r="G493">
        <v>9</v>
      </c>
      <c r="H493">
        <v>76</v>
      </c>
      <c r="I493">
        <v>29</v>
      </c>
      <c r="J493">
        <v>57</v>
      </c>
      <c r="K493" s="20">
        <f t="shared" si="69"/>
        <v>63.333333333333329</v>
      </c>
      <c r="L493" s="12">
        <f t="shared" si="70"/>
        <v>2.5333333333333332</v>
      </c>
      <c r="M493" s="12">
        <f t="shared" si="71"/>
        <v>0.96666666666666667</v>
      </c>
    </row>
    <row r="494" spans="2:13" x14ac:dyDescent="0.25">
      <c r="B494">
        <v>7</v>
      </c>
      <c r="C494" t="s">
        <v>32</v>
      </c>
      <c r="D494">
        <v>30</v>
      </c>
      <c r="E494">
        <v>16</v>
      </c>
      <c r="F494">
        <v>4</v>
      </c>
      <c r="G494">
        <v>10</v>
      </c>
      <c r="H494">
        <v>65</v>
      </c>
      <c r="I494">
        <v>35</v>
      </c>
      <c r="J494">
        <v>52</v>
      </c>
      <c r="K494" s="20">
        <f t="shared" si="69"/>
        <v>57.777777777777771</v>
      </c>
      <c r="L494" s="12">
        <f t="shared" si="70"/>
        <v>2.1666666666666665</v>
      </c>
      <c r="M494" s="12">
        <f t="shared" si="71"/>
        <v>1.1666666666666667</v>
      </c>
    </row>
    <row r="495" spans="2:13" x14ac:dyDescent="0.25">
      <c r="B495">
        <v>8</v>
      </c>
      <c r="C495" t="s">
        <v>71</v>
      </c>
      <c r="D495">
        <v>30</v>
      </c>
      <c r="E495">
        <v>13</v>
      </c>
      <c r="F495">
        <v>5</v>
      </c>
      <c r="G495">
        <v>12</v>
      </c>
      <c r="H495">
        <v>46</v>
      </c>
      <c r="I495">
        <v>52</v>
      </c>
      <c r="J495">
        <v>44</v>
      </c>
      <c r="K495" s="20">
        <f t="shared" si="69"/>
        <v>48.888888888888886</v>
      </c>
      <c r="L495" s="12">
        <f t="shared" si="70"/>
        <v>1.5333333333333334</v>
      </c>
      <c r="M495" s="12">
        <f t="shared" si="71"/>
        <v>1.7333333333333334</v>
      </c>
    </row>
    <row r="496" spans="2:13" x14ac:dyDescent="0.25">
      <c r="B496">
        <v>9</v>
      </c>
      <c r="C496" t="s">
        <v>73</v>
      </c>
      <c r="D496">
        <v>30</v>
      </c>
      <c r="E496">
        <v>13</v>
      </c>
      <c r="F496">
        <v>5</v>
      </c>
      <c r="G496">
        <v>12</v>
      </c>
      <c r="H496">
        <v>44</v>
      </c>
      <c r="I496">
        <v>52</v>
      </c>
      <c r="J496">
        <v>44</v>
      </c>
      <c r="K496" s="20">
        <f t="shared" si="69"/>
        <v>48.888888888888886</v>
      </c>
      <c r="L496" s="12">
        <f t="shared" si="70"/>
        <v>1.4666666666666666</v>
      </c>
      <c r="M496" s="12">
        <f t="shared" si="71"/>
        <v>1.7333333333333334</v>
      </c>
    </row>
    <row r="497" spans="2:13" x14ac:dyDescent="0.25">
      <c r="B497">
        <v>10</v>
      </c>
      <c r="C497" t="s">
        <v>130</v>
      </c>
      <c r="D497">
        <v>30</v>
      </c>
      <c r="E497">
        <v>12</v>
      </c>
      <c r="F497">
        <v>2</v>
      </c>
      <c r="G497">
        <v>16</v>
      </c>
      <c r="H497">
        <v>50</v>
      </c>
      <c r="I497">
        <v>50</v>
      </c>
      <c r="J497">
        <v>38</v>
      </c>
      <c r="K497" s="20">
        <f t="shared" si="69"/>
        <v>42.222222222222221</v>
      </c>
      <c r="L497" s="12">
        <f t="shared" si="70"/>
        <v>1.6666666666666667</v>
      </c>
      <c r="M497" s="12">
        <f t="shared" si="71"/>
        <v>1.6666666666666667</v>
      </c>
    </row>
    <row r="498" spans="2:13" x14ac:dyDescent="0.25">
      <c r="B498">
        <v>11</v>
      </c>
      <c r="C498" t="s">
        <v>112</v>
      </c>
      <c r="D498">
        <v>30</v>
      </c>
      <c r="E498">
        <v>9</v>
      </c>
      <c r="F498">
        <v>4</v>
      </c>
      <c r="G498">
        <v>17</v>
      </c>
      <c r="H498">
        <v>37</v>
      </c>
      <c r="I498">
        <v>64</v>
      </c>
      <c r="J498">
        <v>31</v>
      </c>
      <c r="K498" s="20">
        <f t="shared" si="69"/>
        <v>34.444444444444443</v>
      </c>
      <c r="L498" s="12">
        <f t="shared" si="70"/>
        <v>1.2333333333333334</v>
      </c>
      <c r="M498" s="12">
        <f t="shared" si="71"/>
        <v>2.1333333333333333</v>
      </c>
    </row>
    <row r="499" spans="2:13" x14ac:dyDescent="0.25">
      <c r="B499">
        <v>12</v>
      </c>
      <c r="C499" t="s">
        <v>128</v>
      </c>
      <c r="D499">
        <v>30</v>
      </c>
      <c r="E499">
        <v>6</v>
      </c>
      <c r="F499">
        <v>8</v>
      </c>
      <c r="G499">
        <v>16</v>
      </c>
      <c r="H499">
        <v>39</v>
      </c>
      <c r="I499">
        <v>56</v>
      </c>
      <c r="J499">
        <v>26</v>
      </c>
      <c r="K499" s="20">
        <f t="shared" si="69"/>
        <v>28.888888888888886</v>
      </c>
      <c r="L499" s="12">
        <f t="shared" si="70"/>
        <v>1.3</v>
      </c>
      <c r="M499" s="12">
        <f t="shared" si="71"/>
        <v>1.8666666666666667</v>
      </c>
    </row>
    <row r="500" spans="2:13" x14ac:dyDescent="0.25">
      <c r="B500">
        <v>13</v>
      </c>
      <c r="C500" t="s">
        <v>76</v>
      </c>
      <c r="D500">
        <v>30</v>
      </c>
      <c r="E500">
        <v>5</v>
      </c>
      <c r="F500">
        <v>6</v>
      </c>
      <c r="G500">
        <v>19</v>
      </c>
      <c r="H500">
        <v>29</v>
      </c>
      <c r="I500">
        <v>61</v>
      </c>
      <c r="J500">
        <v>21</v>
      </c>
      <c r="K500" s="20">
        <f t="shared" si="69"/>
        <v>23.333333333333332</v>
      </c>
      <c r="L500" s="12">
        <f t="shared" si="70"/>
        <v>0.96666666666666667</v>
      </c>
      <c r="M500" s="12">
        <f t="shared" si="71"/>
        <v>2.0333333333333332</v>
      </c>
    </row>
    <row r="501" spans="2:13" x14ac:dyDescent="0.25">
      <c r="B501">
        <v>14</v>
      </c>
      <c r="C501" t="s">
        <v>115</v>
      </c>
      <c r="D501">
        <v>30</v>
      </c>
      <c r="E501">
        <v>4</v>
      </c>
      <c r="F501">
        <v>6</v>
      </c>
      <c r="G501">
        <v>20</v>
      </c>
      <c r="H501">
        <v>19</v>
      </c>
      <c r="I501">
        <v>67</v>
      </c>
      <c r="J501">
        <v>18</v>
      </c>
      <c r="K501" s="20">
        <f t="shared" si="69"/>
        <v>20</v>
      </c>
      <c r="L501" s="12">
        <f t="shared" si="70"/>
        <v>0.6333333333333333</v>
      </c>
      <c r="M501" s="12">
        <f t="shared" si="71"/>
        <v>2.2333333333333334</v>
      </c>
    </row>
    <row r="502" spans="2:13" x14ac:dyDescent="0.25">
      <c r="B502">
        <v>15</v>
      </c>
      <c r="C502" t="s">
        <v>131</v>
      </c>
      <c r="D502">
        <v>30</v>
      </c>
      <c r="E502">
        <v>4</v>
      </c>
      <c r="F502">
        <v>1</v>
      </c>
      <c r="G502">
        <v>25</v>
      </c>
      <c r="H502">
        <v>15</v>
      </c>
      <c r="I502">
        <v>101</v>
      </c>
      <c r="J502">
        <v>13</v>
      </c>
      <c r="K502" s="20">
        <f t="shared" si="69"/>
        <v>14.444444444444443</v>
      </c>
      <c r="L502" s="12">
        <f t="shared" si="70"/>
        <v>0.5</v>
      </c>
      <c r="M502" s="12">
        <f t="shared" si="71"/>
        <v>3.3666666666666667</v>
      </c>
    </row>
    <row r="503" spans="2:13" x14ac:dyDescent="0.25">
      <c r="B503">
        <v>16</v>
      </c>
      <c r="C503" t="s">
        <v>114</v>
      </c>
      <c r="D503">
        <v>30</v>
      </c>
      <c r="E503">
        <v>3</v>
      </c>
      <c r="F503">
        <v>1</v>
      </c>
      <c r="G503">
        <v>26</v>
      </c>
      <c r="H503">
        <v>26</v>
      </c>
      <c r="I503">
        <v>148</v>
      </c>
      <c r="J503">
        <v>10</v>
      </c>
      <c r="K503" s="20">
        <f t="shared" si="69"/>
        <v>11.111111111111111</v>
      </c>
      <c r="L503" s="12">
        <f t="shared" si="70"/>
        <v>0.8666666666666667</v>
      </c>
      <c r="M503" s="12">
        <f t="shared" si="71"/>
        <v>4.9333333333333336</v>
      </c>
    </row>
    <row r="505" spans="2:13" x14ac:dyDescent="0.25">
      <c r="B505" s="35" t="s">
        <v>134</v>
      </c>
      <c r="C505" s="35"/>
      <c r="D505" s="35"/>
      <c r="E505" s="35"/>
      <c r="F505" s="35"/>
      <c r="G505" s="35"/>
      <c r="H505" s="35"/>
      <c r="I505" s="35"/>
      <c r="J505" s="35"/>
    </row>
    <row r="506" spans="2:13" x14ac:dyDescent="0.25">
      <c r="B506">
        <v>1</v>
      </c>
      <c r="C506" t="s">
        <v>64</v>
      </c>
      <c r="D506">
        <v>30</v>
      </c>
      <c r="E506">
        <v>26</v>
      </c>
      <c r="F506">
        <v>1</v>
      </c>
      <c r="G506">
        <v>3</v>
      </c>
      <c r="H506">
        <v>108</v>
      </c>
      <c r="I506">
        <v>23</v>
      </c>
      <c r="J506">
        <v>79</v>
      </c>
      <c r="K506" s="20">
        <f t="shared" ref="K506:K521" si="72">(E506*3+F506)/(D506*3)*100</f>
        <v>87.777777777777771</v>
      </c>
      <c r="L506" s="12">
        <f t="shared" ref="L506:L521" si="73">H506/D506</f>
        <v>3.6</v>
      </c>
      <c r="M506" s="12">
        <f t="shared" ref="M506:M521" si="74">I506/D506</f>
        <v>0.76666666666666672</v>
      </c>
    </row>
    <row r="507" spans="2:13" x14ac:dyDescent="0.25">
      <c r="B507">
        <v>2</v>
      </c>
      <c r="C507" t="s">
        <v>92</v>
      </c>
      <c r="D507">
        <v>30</v>
      </c>
      <c r="E507">
        <v>26</v>
      </c>
      <c r="F507">
        <v>1</v>
      </c>
      <c r="G507">
        <v>3</v>
      </c>
      <c r="H507">
        <v>88</v>
      </c>
      <c r="I507">
        <v>16</v>
      </c>
      <c r="J507">
        <v>79</v>
      </c>
      <c r="K507" s="20">
        <f t="shared" si="72"/>
        <v>87.777777777777771</v>
      </c>
      <c r="L507" s="12">
        <f t="shared" si="73"/>
        <v>2.9333333333333331</v>
      </c>
      <c r="M507" s="12">
        <f t="shared" si="74"/>
        <v>0.53333333333333333</v>
      </c>
    </row>
    <row r="508" spans="2:13" x14ac:dyDescent="0.25">
      <c r="B508">
        <v>3</v>
      </c>
      <c r="C508" t="s">
        <v>70</v>
      </c>
      <c r="D508">
        <v>30</v>
      </c>
      <c r="E508">
        <v>23</v>
      </c>
      <c r="F508">
        <v>0</v>
      </c>
      <c r="G508">
        <v>7</v>
      </c>
      <c r="H508">
        <v>101</v>
      </c>
      <c r="I508">
        <v>30</v>
      </c>
      <c r="J508">
        <v>69</v>
      </c>
      <c r="K508" s="20">
        <f t="shared" si="72"/>
        <v>76.666666666666671</v>
      </c>
      <c r="L508" s="12">
        <f t="shared" si="73"/>
        <v>3.3666666666666667</v>
      </c>
      <c r="M508" s="12">
        <f t="shared" si="74"/>
        <v>1</v>
      </c>
    </row>
    <row r="509" spans="2:13" x14ac:dyDescent="0.25">
      <c r="B509">
        <v>4</v>
      </c>
      <c r="C509" t="s">
        <v>33</v>
      </c>
      <c r="D509">
        <v>30</v>
      </c>
      <c r="E509">
        <v>22</v>
      </c>
      <c r="F509">
        <v>1</v>
      </c>
      <c r="G509">
        <v>7</v>
      </c>
      <c r="H509">
        <v>90</v>
      </c>
      <c r="I509">
        <v>31</v>
      </c>
      <c r="J509">
        <v>67</v>
      </c>
      <c r="K509" s="20">
        <f t="shared" si="72"/>
        <v>74.444444444444443</v>
      </c>
      <c r="L509" s="12">
        <f t="shared" si="73"/>
        <v>3</v>
      </c>
      <c r="M509" s="12">
        <f t="shared" si="74"/>
        <v>1.0333333333333334</v>
      </c>
    </row>
    <row r="510" spans="2:13" x14ac:dyDescent="0.25">
      <c r="B510">
        <v>5</v>
      </c>
      <c r="C510" t="s">
        <v>58</v>
      </c>
      <c r="D510">
        <v>30</v>
      </c>
      <c r="E510">
        <v>17</v>
      </c>
      <c r="F510">
        <v>5</v>
      </c>
      <c r="G510">
        <v>8</v>
      </c>
      <c r="H510">
        <v>70</v>
      </c>
      <c r="I510">
        <v>29</v>
      </c>
      <c r="J510">
        <v>56</v>
      </c>
      <c r="K510" s="20">
        <f t="shared" si="72"/>
        <v>62.222222222222221</v>
      </c>
      <c r="L510" s="12">
        <f t="shared" si="73"/>
        <v>2.3333333333333335</v>
      </c>
      <c r="M510" s="12">
        <f t="shared" si="74"/>
        <v>0.96666666666666667</v>
      </c>
    </row>
    <row r="511" spans="2:13" x14ac:dyDescent="0.25">
      <c r="B511">
        <v>6</v>
      </c>
      <c r="C511" t="s">
        <v>32</v>
      </c>
      <c r="D511">
        <v>30</v>
      </c>
      <c r="E511">
        <v>17</v>
      </c>
      <c r="F511">
        <v>2</v>
      </c>
      <c r="G511">
        <v>11</v>
      </c>
      <c r="H511">
        <v>58</v>
      </c>
      <c r="I511">
        <v>34</v>
      </c>
      <c r="J511">
        <v>53</v>
      </c>
      <c r="K511" s="20">
        <f t="shared" si="72"/>
        <v>58.888888888888893</v>
      </c>
      <c r="L511" s="12">
        <f t="shared" si="73"/>
        <v>1.9333333333333333</v>
      </c>
      <c r="M511" s="12">
        <f t="shared" si="74"/>
        <v>1.1333333333333333</v>
      </c>
    </row>
    <row r="512" spans="2:13" x14ac:dyDescent="0.25">
      <c r="B512">
        <v>7</v>
      </c>
      <c r="C512" t="s">
        <v>71</v>
      </c>
      <c r="D512">
        <v>30</v>
      </c>
      <c r="E512">
        <v>16</v>
      </c>
      <c r="F512">
        <v>4</v>
      </c>
      <c r="G512">
        <v>10</v>
      </c>
      <c r="H512">
        <v>65</v>
      </c>
      <c r="I512">
        <v>38</v>
      </c>
      <c r="J512">
        <v>52</v>
      </c>
      <c r="K512" s="20">
        <f t="shared" si="72"/>
        <v>57.777777777777771</v>
      </c>
      <c r="L512" s="12">
        <f t="shared" si="73"/>
        <v>2.1666666666666665</v>
      </c>
      <c r="M512" s="12">
        <f t="shared" si="74"/>
        <v>1.2666666666666666</v>
      </c>
    </row>
    <row r="513" spans="2:13" x14ac:dyDescent="0.25">
      <c r="B513">
        <v>8</v>
      </c>
      <c r="C513" t="s">
        <v>43</v>
      </c>
      <c r="D513">
        <v>30</v>
      </c>
      <c r="E513">
        <v>14</v>
      </c>
      <c r="F513">
        <v>6</v>
      </c>
      <c r="G513">
        <v>10</v>
      </c>
      <c r="H513">
        <v>50</v>
      </c>
      <c r="I513">
        <v>39</v>
      </c>
      <c r="J513">
        <v>48</v>
      </c>
      <c r="K513" s="20">
        <f t="shared" si="72"/>
        <v>53.333333333333336</v>
      </c>
      <c r="L513" s="12">
        <f t="shared" si="73"/>
        <v>1.6666666666666667</v>
      </c>
      <c r="M513" s="12">
        <f t="shared" si="74"/>
        <v>1.3</v>
      </c>
    </row>
    <row r="514" spans="2:13" x14ac:dyDescent="0.25">
      <c r="B514">
        <v>9</v>
      </c>
      <c r="C514" t="s">
        <v>130</v>
      </c>
      <c r="D514">
        <v>30</v>
      </c>
      <c r="E514">
        <v>12</v>
      </c>
      <c r="F514">
        <v>5</v>
      </c>
      <c r="G514">
        <v>13</v>
      </c>
      <c r="H514">
        <v>45</v>
      </c>
      <c r="I514">
        <v>51</v>
      </c>
      <c r="J514">
        <v>41</v>
      </c>
      <c r="K514" s="20">
        <f t="shared" si="72"/>
        <v>45.555555555555557</v>
      </c>
      <c r="L514" s="12">
        <f t="shared" si="73"/>
        <v>1.5</v>
      </c>
      <c r="M514" s="12">
        <f t="shared" si="74"/>
        <v>1.7</v>
      </c>
    </row>
    <row r="515" spans="2:13" x14ac:dyDescent="0.25">
      <c r="B515">
        <v>10</v>
      </c>
      <c r="C515" t="s">
        <v>112</v>
      </c>
      <c r="D515">
        <v>30</v>
      </c>
      <c r="E515">
        <v>11</v>
      </c>
      <c r="F515">
        <v>4</v>
      </c>
      <c r="G515">
        <v>15</v>
      </c>
      <c r="H515">
        <v>33</v>
      </c>
      <c r="I515">
        <v>53</v>
      </c>
      <c r="J515">
        <v>37</v>
      </c>
      <c r="K515" s="20">
        <f t="shared" si="72"/>
        <v>41.111111111111107</v>
      </c>
      <c r="L515" s="12">
        <f t="shared" si="73"/>
        <v>1.1000000000000001</v>
      </c>
      <c r="M515" s="12">
        <f t="shared" si="74"/>
        <v>1.7666666666666666</v>
      </c>
    </row>
    <row r="516" spans="2:13" x14ac:dyDescent="0.25">
      <c r="B516">
        <v>11</v>
      </c>
      <c r="C516" t="s">
        <v>128</v>
      </c>
      <c r="D516">
        <v>30</v>
      </c>
      <c r="E516">
        <v>10</v>
      </c>
      <c r="F516">
        <v>1</v>
      </c>
      <c r="G516">
        <v>19</v>
      </c>
      <c r="H516">
        <v>44</v>
      </c>
      <c r="I516">
        <v>67</v>
      </c>
      <c r="J516">
        <v>31</v>
      </c>
      <c r="K516" s="20">
        <f t="shared" si="72"/>
        <v>34.444444444444443</v>
      </c>
      <c r="L516" s="12">
        <f t="shared" si="73"/>
        <v>1.4666666666666666</v>
      </c>
      <c r="M516" s="12">
        <f t="shared" si="74"/>
        <v>2.2333333333333334</v>
      </c>
    </row>
    <row r="517" spans="2:13" x14ac:dyDescent="0.25">
      <c r="B517">
        <v>12</v>
      </c>
      <c r="C517" t="s">
        <v>73</v>
      </c>
      <c r="D517">
        <v>30</v>
      </c>
      <c r="E517">
        <v>9</v>
      </c>
      <c r="F517">
        <v>2</v>
      </c>
      <c r="G517">
        <v>19</v>
      </c>
      <c r="H517">
        <v>32</v>
      </c>
      <c r="I517">
        <v>80</v>
      </c>
      <c r="J517">
        <v>29</v>
      </c>
      <c r="K517" s="20">
        <f t="shared" si="72"/>
        <v>32.222222222222221</v>
      </c>
      <c r="L517" s="12">
        <f t="shared" si="73"/>
        <v>1.0666666666666667</v>
      </c>
      <c r="M517" s="12">
        <f t="shared" si="74"/>
        <v>2.6666666666666665</v>
      </c>
    </row>
    <row r="518" spans="2:13" x14ac:dyDescent="0.25">
      <c r="B518">
        <v>13</v>
      </c>
      <c r="C518" t="s">
        <v>76</v>
      </c>
      <c r="D518">
        <v>30</v>
      </c>
      <c r="E518">
        <v>8</v>
      </c>
      <c r="F518">
        <v>2</v>
      </c>
      <c r="G518">
        <v>20</v>
      </c>
      <c r="H518">
        <v>30</v>
      </c>
      <c r="I518">
        <v>81</v>
      </c>
      <c r="J518">
        <v>26</v>
      </c>
      <c r="K518" s="20">
        <f t="shared" si="72"/>
        <v>28.888888888888886</v>
      </c>
      <c r="L518" s="12">
        <f t="shared" si="73"/>
        <v>1</v>
      </c>
      <c r="M518" s="12">
        <f t="shared" si="74"/>
        <v>2.7</v>
      </c>
    </row>
    <row r="519" spans="2:13" x14ac:dyDescent="0.25">
      <c r="B519">
        <v>14</v>
      </c>
      <c r="C519" t="s">
        <v>115</v>
      </c>
      <c r="D519">
        <v>30</v>
      </c>
      <c r="E519">
        <v>8</v>
      </c>
      <c r="F519">
        <v>1</v>
      </c>
      <c r="G519">
        <v>21</v>
      </c>
      <c r="H519">
        <v>40</v>
      </c>
      <c r="I519">
        <v>61</v>
      </c>
      <c r="J519">
        <v>25</v>
      </c>
      <c r="K519" s="20">
        <f t="shared" si="72"/>
        <v>27.777777777777779</v>
      </c>
      <c r="L519" s="12">
        <f t="shared" si="73"/>
        <v>1.3333333333333333</v>
      </c>
      <c r="M519" s="12">
        <f t="shared" si="74"/>
        <v>2.0333333333333332</v>
      </c>
    </row>
    <row r="520" spans="2:13" x14ac:dyDescent="0.25">
      <c r="B520">
        <v>15</v>
      </c>
      <c r="C520" t="s">
        <v>68</v>
      </c>
      <c r="D520">
        <v>30</v>
      </c>
      <c r="E520">
        <v>1</v>
      </c>
      <c r="F520">
        <v>2</v>
      </c>
      <c r="G520">
        <v>27</v>
      </c>
      <c r="H520">
        <v>18</v>
      </c>
      <c r="I520">
        <v>104</v>
      </c>
      <c r="J520">
        <v>5</v>
      </c>
      <c r="K520" s="20">
        <f t="shared" si="72"/>
        <v>5.5555555555555554</v>
      </c>
      <c r="L520" s="12">
        <f t="shared" si="73"/>
        <v>0.6</v>
      </c>
      <c r="M520" s="12">
        <f t="shared" si="74"/>
        <v>3.4666666666666668</v>
      </c>
    </row>
    <row r="521" spans="2:13" x14ac:dyDescent="0.25">
      <c r="B521">
        <v>16</v>
      </c>
      <c r="C521" t="s">
        <v>133</v>
      </c>
      <c r="D521">
        <v>22</v>
      </c>
      <c r="E521">
        <v>0</v>
      </c>
      <c r="F521">
        <v>0</v>
      </c>
      <c r="G521">
        <v>22</v>
      </c>
      <c r="H521">
        <v>8</v>
      </c>
      <c r="I521">
        <v>127</v>
      </c>
      <c r="J521">
        <v>0</v>
      </c>
      <c r="K521" s="20">
        <f t="shared" si="72"/>
        <v>0</v>
      </c>
      <c r="L521" s="12">
        <f t="shared" si="73"/>
        <v>0.36363636363636365</v>
      </c>
      <c r="M521" s="12">
        <f t="shared" si="74"/>
        <v>5.7727272727272725</v>
      </c>
    </row>
  </sheetData>
  <mergeCells count="29">
    <mergeCell ref="B469:J469"/>
    <mergeCell ref="B487:J487"/>
    <mergeCell ref="B505:J505"/>
    <mergeCell ref="B451:J451"/>
    <mergeCell ref="B433:J433"/>
    <mergeCell ref="B343:J343"/>
    <mergeCell ref="B325:J325"/>
    <mergeCell ref="B307:J307"/>
    <mergeCell ref="B415:J415"/>
    <mergeCell ref="B397:J397"/>
    <mergeCell ref="B379:J379"/>
    <mergeCell ref="B361:J361"/>
    <mergeCell ref="B217:J217"/>
    <mergeCell ref="B235:J235"/>
    <mergeCell ref="B253:J253"/>
    <mergeCell ref="B271:J271"/>
    <mergeCell ref="B289:J289"/>
    <mergeCell ref="B199:J199"/>
    <mergeCell ref="B1:J1"/>
    <mergeCell ref="B19:J19"/>
    <mergeCell ref="B37:J37"/>
    <mergeCell ref="B55:J55"/>
    <mergeCell ref="B73:J73"/>
    <mergeCell ref="B91:J91"/>
    <mergeCell ref="B109:J109"/>
    <mergeCell ref="B127:J127"/>
    <mergeCell ref="B145:J145"/>
    <mergeCell ref="B163:J163"/>
    <mergeCell ref="B181:J181"/>
  </mergeCells>
  <hyperlinks>
    <hyperlink ref="C452" r:id="rId1" display="http://www.brejk.cz/index.php?p=info_tym&amp;tym=37319"/>
    <hyperlink ref="C453" r:id="rId2" display="http://www.brejk.cz/index.php?p=info_tym&amp;tym=8698"/>
    <hyperlink ref="C454" r:id="rId3" display="http://www.brejk.cz/index.php?p=info_tym&amp;tym=28627"/>
    <hyperlink ref="C455" r:id="rId4" display="http://www.brejk.cz/index.php?p=info_tym&amp;tym=26787"/>
    <hyperlink ref="C456" r:id="rId5" display="http://www.brejk.cz/index.php?p=info_tym&amp;tym=9741"/>
    <hyperlink ref="C457" r:id="rId6" display="http://www.brejk.cz/index.php?p=info_tym&amp;tym=16197"/>
    <hyperlink ref="C458" r:id="rId7" display="http://www.brejk.cz/index.php?p=info_tym&amp;tym=26357"/>
    <hyperlink ref="C459" r:id="rId8" display="http://www.brejk.cz/index.php?p=info_tym&amp;tym=11343"/>
    <hyperlink ref="C460" r:id="rId9" display="http://www.brejk.cz/index.php?p=info_tym&amp;tym=18813"/>
    <hyperlink ref="C461" r:id="rId10" display="http://www.brejk.cz/index.php?p=info_tym&amp;tym=58587"/>
    <hyperlink ref="C462" r:id="rId11" display="http://www.brejk.cz/index.php?p=info_tym&amp;tym=23549"/>
    <hyperlink ref="C463" r:id="rId12" display="http://www.brejk.cz/index.php?p=info_tym&amp;tym=10378"/>
    <hyperlink ref="C464" r:id="rId13" display="http://www.brejk.cz/index.php?p=info_tym&amp;tym=58747"/>
    <hyperlink ref="C465" r:id="rId14" display="http://www.brejk.cz/index.php?p=info_tym&amp;tym=58675"/>
    <hyperlink ref="C466" r:id="rId15" display="http://www.brejk.cz/index.php?p=info_tym&amp;tym=49193"/>
    <hyperlink ref="C467" r:id="rId16" display="http://www.brejk.cz/index.php?p=info_tym&amp;tym=30073"/>
  </hyperlinks>
  <pageMargins left="0.7" right="0.7" top="0.78740157499999996" bottom="0.78740157499999996" header="0.3" footer="0.3"/>
  <pageSetup paperSize="9" orientation="portrait" r:id="rId17"/>
  <drawing r:id="rId1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R630"/>
  <sheetViews>
    <sheetView tabSelected="1" workbookViewId="0"/>
  </sheetViews>
  <sheetFormatPr defaultRowHeight="15" x14ac:dyDescent="0.25"/>
  <cols>
    <col min="3" max="3" width="30.7109375" style="4" bestFit="1" customWidth="1"/>
    <col min="4" max="10" width="9.140625" style="10"/>
    <col min="11" max="11" width="12" style="12" bestFit="1" customWidth="1"/>
    <col min="12" max="13" width="12" style="27" bestFit="1" customWidth="1"/>
    <col min="14" max="14" width="5" style="10" bestFit="1" customWidth="1"/>
    <col min="17" max="17" width="29.28515625" bestFit="1" customWidth="1"/>
  </cols>
  <sheetData>
    <row r="4" spans="17:18" x14ac:dyDescent="0.25">
      <c r="Q4" s="4" t="s">
        <v>78</v>
      </c>
    </row>
    <row r="5" spans="17:18" x14ac:dyDescent="0.25">
      <c r="Q5" s="4" t="s">
        <v>79</v>
      </c>
      <c r="R5" t="s">
        <v>135</v>
      </c>
    </row>
    <row r="6" spans="17:18" x14ac:dyDescent="0.25">
      <c r="Q6" s="4" t="s">
        <v>82</v>
      </c>
      <c r="R6" t="s">
        <v>136</v>
      </c>
    </row>
    <row r="7" spans="17:18" x14ac:dyDescent="0.25">
      <c r="Q7" s="4" t="s">
        <v>80</v>
      </c>
      <c r="R7" t="s">
        <v>137</v>
      </c>
    </row>
    <row r="8" spans="17:18" x14ac:dyDescent="0.25">
      <c r="Q8" s="4" t="s">
        <v>81</v>
      </c>
      <c r="R8" t="s">
        <v>138</v>
      </c>
    </row>
    <row r="9" spans="17:18" x14ac:dyDescent="0.25">
      <c r="Q9" s="4" t="s">
        <v>83</v>
      </c>
      <c r="R9" t="s">
        <v>139</v>
      </c>
    </row>
    <row r="10" spans="17:18" x14ac:dyDescent="0.25">
      <c r="Q10" s="4" t="s">
        <v>84</v>
      </c>
      <c r="R10" t="s">
        <v>140</v>
      </c>
    </row>
    <row r="11" spans="17:18" x14ac:dyDescent="0.25">
      <c r="Q11" s="4" t="s">
        <v>85</v>
      </c>
      <c r="R11" t="s">
        <v>141</v>
      </c>
    </row>
    <row r="12" spans="17:18" x14ac:dyDescent="0.25">
      <c r="Q12" s="4" t="s">
        <v>86</v>
      </c>
      <c r="R12" t="s">
        <v>142</v>
      </c>
    </row>
    <row r="13" spans="17:18" x14ac:dyDescent="0.25">
      <c r="Q13" s="4" t="s">
        <v>87</v>
      </c>
      <c r="R13" t="s">
        <v>143</v>
      </c>
    </row>
    <row r="14" spans="17:18" x14ac:dyDescent="0.25">
      <c r="Q14" s="4" t="s">
        <v>88</v>
      </c>
      <c r="R14" t="s">
        <v>144</v>
      </c>
    </row>
    <row r="15" spans="17:18" x14ac:dyDescent="0.25">
      <c r="Q15" s="4" t="s">
        <v>89</v>
      </c>
      <c r="R15" t="s">
        <v>145</v>
      </c>
    </row>
    <row r="16" spans="17:18" x14ac:dyDescent="0.25">
      <c r="Q16" s="4" t="s">
        <v>90</v>
      </c>
      <c r="R16" t="s">
        <v>146</v>
      </c>
    </row>
    <row r="17" spans="1:17" x14ac:dyDescent="0.25">
      <c r="Q17" s="4" t="s">
        <v>96</v>
      </c>
    </row>
    <row r="18" spans="1:17" x14ac:dyDescent="0.25">
      <c r="Q18" s="4" t="s">
        <v>97</v>
      </c>
    </row>
    <row r="19" spans="1:17" x14ac:dyDescent="0.25">
      <c r="Q19" s="4" t="s">
        <v>98</v>
      </c>
    </row>
    <row r="20" spans="1:17" x14ac:dyDescent="0.25">
      <c r="Q20" s="4" t="s">
        <v>99</v>
      </c>
    </row>
    <row r="21" spans="1:17" x14ac:dyDescent="0.25">
      <c r="Q21" s="4" t="s">
        <v>100</v>
      </c>
    </row>
    <row r="22" spans="1:17" x14ac:dyDescent="0.25">
      <c r="Q22" s="4" t="s">
        <v>101</v>
      </c>
    </row>
    <row r="24" spans="1:17" x14ac:dyDescent="0.25">
      <c r="C24" s="5" t="s">
        <v>116</v>
      </c>
      <c r="D24" s="15" t="s">
        <v>117</v>
      </c>
      <c r="E24" s="15" t="s">
        <v>118</v>
      </c>
      <c r="F24" s="15" t="s">
        <v>119</v>
      </c>
      <c r="G24" s="15" t="s">
        <v>120</v>
      </c>
      <c r="H24" s="15" t="s">
        <v>121</v>
      </c>
      <c r="I24" s="15" t="s">
        <v>122</v>
      </c>
      <c r="J24" s="15" t="s">
        <v>123</v>
      </c>
      <c r="K24" s="26" t="s">
        <v>124</v>
      </c>
      <c r="L24" s="26" t="s">
        <v>126</v>
      </c>
      <c r="M24" s="26" t="s">
        <v>125</v>
      </c>
      <c r="N24" s="15" t="s">
        <v>127</v>
      </c>
    </row>
    <row r="25" spans="1:17" x14ac:dyDescent="0.25">
      <c r="A25">
        <v>1</v>
      </c>
      <c r="B25">
        <v>1</v>
      </c>
      <c r="C25" s="4" t="s">
        <v>33</v>
      </c>
      <c r="D25" s="10">
        <f ca="1">SUMIF($C$91:$J$630,$C25,$D$91:$D$630)</f>
        <v>750</v>
      </c>
      <c r="E25" s="10">
        <f ca="1">SUMIF($C$91:$J$630,$C25,$E$91:$E$630)</f>
        <v>501</v>
      </c>
      <c r="F25" s="10">
        <f ca="1">SUMIF($C$91:$J$630,$C25,$F$91:$F$630)</f>
        <v>90</v>
      </c>
      <c r="G25" s="10">
        <f ca="1">SUMIF($C$91:$J$630,$C25,$G$91:$G$630)</f>
        <v>159</v>
      </c>
      <c r="H25" s="10">
        <f ca="1">SUMIF($C$91:$J$630,$C25,$H$91:$H$630)</f>
        <v>2244</v>
      </c>
      <c r="I25" s="10">
        <f ca="1">SUMIF($C$91:$J$630,$C25,$I$91:$I$630)</f>
        <v>711</v>
      </c>
      <c r="J25" s="10">
        <f ca="1">SUMIF($C$91:$J$630,$C25,$J$91:$J$630)</f>
        <v>1593</v>
      </c>
      <c r="K25" s="25">
        <f ca="1">J25/(D25*3)</f>
        <v>0.70799999999999996</v>
      </c>
      <c r="L25" s="27">
        <f ca="1">H25/D25</f>
        <v>2.992</v>
      </c>
      <c r="M25" s="27">
        <f ca="1">I25/D25</f>
        <v>0.94799999999999995</v>
      </c>
      <c r="N25" s="10">
        <f ca="1">H25-I25</f>
        <v>1533</v>
      </c>
      <c r="O25">
        <f>B25-A25</f>
        <v>0</v>
      </c>
    </row>
    <row r="26" spans="1:17" x14ac:dyDescent="0.25">
      <c r="A26">
        <v>2</v>
      </c>
      <c r="B26">
        <v>2</v>
      </c>
      <c r="C26" s="4" t="s">
        <v>32</v>
      </c>
      <c r="D26" s="10">
        <f ca="1">SUMIF($C$91:$J$630,$C26,$D$91:$D$630)</f>
        <v>750</v>
      </c>
      <c r="E26" s="10">
        <f ca="1">SUMIF($C$91:$J$630,$C26,$E$91:$E$630)</f>
        <v>491</v>
      </c>
      <c r="F26" s="10">
        <f ca="1">SUMIF($C$91:$J$630,$C26,$F$91:$F$630)</f>
        <v>97</v>
      </c>
      <c r="G26" s="10">
        <f ca="1">SUMIF($C$91:$J$630,$C26,$G$91:$G$630)</f>
        <v>162</v>
      </c>
      <c r="H26" s="10">
        <f ca="1">SUMIF($C$91:$J$630,$C26,$H$91:$H$630)</f>
        <v>2102</v>
      </c>
      <c r="I26" s="10">
        <f ca="1">SUMIF($C$91:$J$630,$C26,$I$91:$I$630)</f>
        <v>727</v>
      </c>
      <c r="J26" s="10">
        <f ca="1">SUMIF($C$91:$J$630,$C26,$J$91:$J$630)</f>
        <v>1570</v>
      </c>
      <c r="K26" s="25">
        <f ca="1">J26/(D26*3)</f>
        <v>0.69777777777777783</v>
      </c>
      <c r="L26" s="27">
        <f ca="1">H26/D26</f>
        <v>2.8026666666666666</v>
      </c>
      <c r="M26" s="27">
        <f ca="1">I26/D26</f>
        <v>0.96933333333333338</v>
      </c>
      <c r="N26" s="10">
        <f ca="1">H26-I26</f>
        <v>1375</v>
      </c>
      <c r="O26">
        <f>B26-A26</f>
        <v>0</v>
      </c>
    </row>
    <row r="27" spans="1:17" x14ac:dyDescent="0.25">
      <c r="A27">
        <v>3</v>
      </c>
      <c r="B27">
        <v>3</v>
      </c>
      <c r="C27" s="4" t="s">
        <v>18</v>
      </c>
      <c r="D27" s="10">
        <f ca="1">SUMIF($C$91:$J$630,$C27,$D$91:$D$630)</f>
        <v>690</v>
      </c>
      <c r="E27" s="10">
        <f ca="1">SUMIF($C$91:$J$630,$C27,$E$91:$E$630)</f>
        <v>468</v>
      </c>
      <c r="F27" s="10">
        <f ca="1">SUMIF($C$91:$J$630,$C27,$F$91:$F$630)</f>
        <v>94</v>
      </c>
      <c r="G27" s="10">
        <f ca="1">SUMIF($C$91:$J$630,$C27,$G$91:$G$630)</f>
        <v>128</v>
      </c>
      <c r="H27" s="10">
        <f ca="1">SUMIF($C$91:$J$630,$C27,$H$91:$H$630)</f>
        <v>2157</v>
      </c>
      <c r="I27" s="10">
        <f ca="1">SUMIF($C$91:$J$630,$C27,$I$91:$I$630)</f>
        <v>622</v>
      </c>
      <c r="J27" s="10">
        <f ca="1">SUMIF($C$91:$J$630,$C27,$J$91:$J$630)</f>
        <v>1498</v>
      </c>
      <c r="K27" s="25">
        <f ca="1">J27/(D27*3)</f>
        <v>0.72367149758454108</v>
      </c>
      <c r="L27" s="27">
        <f ca="1">H27/D27</f>
        <v>3.1260869565217391</v>
      </c>
      <c r="M27" s="27">
        <f ca="1">I27/D27</f>
        <v>0.90144927536231889</v>
      </c>
      <c r="N27" s="10">
        <f ca="1">H27-I27</f>
        <v>1535</v>
      </c>
      <c r="O27">
        <f>B27-A27</f>
        <v>0</v>
      </c>
    </row>
    <row r="28" spans="1:17" x14ac:dyDescent="0.25">
      <c r="A28">
        <v>4</v>
      </c>
      <c r="B28">
        <v>4</v>
      </c>
      <c r="C28" s="4" t="s">
        <v>43</v>
      </c>
      <c r="D28" s="10">
        <f ca="1">SUMIF($C$91:$J$630,$C28,$D$91:$D$630)</f>
        <v>630</v>
      </c>
      <c r="E28" s="10">
        <f ca="1">SUMIF($C$91:$J$630,$C28,$E$91:$E$630)</f>
        <v>412</v>
      </c>
      <c r="F28" s="10">
        <f ca="1">SUMIF($C$91:$J$630,$C28,$F$91:$F$630)</f>
        <v>78</v>
      </c>
      <c r="G28" s="10">
        <f ca="1">SUMIF($C$91:$J$630,$C28,$G$91:$G$630)</f>
        <v>140</v>
      </c>
      <c r="H28" s="10">
        <f ca="1">SUMIF($C$91:$J$630,$C28,$H$91:$H$630)</f>
        <v>1727</v>
      </c>
      <c r="I28" s="10">
        <f ca="1">SUMIF($C$91:$J$630,$C28,$I$91:$I$630)</f>
        <v>572</v>
      </c>
      <c r="J28" s="10">
        <f ca="1">SUMIF($C$91:$J$630,$C28,$J$91:$J$630)</f>
        <v>1314</v>
      </c>
      <c r="K28" s="25">
        <f ca="1">J28/(D28*3)</f>
        <v>0.69523809523809521</v>
      </c>
      <c r="L28" s="27">
        <f ca="1">H28/D28</f>
        <v>2.7412698412698413</v>
      </c>
      <c r="M28" s="27">
        <f ca="1">I28/D28</f>
        <v>0.90793650793650793</v>
      </c>
      <c r="N28" s="10">
        <f ca="1">H28-I28</f>
        <v>1155</v>
      </c>
      <c r="O28">
        <f>B28-A28</f>
        <v>0</v>
      </c>
    </row>
    <row r="29" spans="1:17" x14ac:dyDescent="0.25">
      <c r="A29">
        <v>5</v>
      </c>
      <c r="B29">
        <v>5</v>
      </c>
      <c r="C29" s="4" t="s">
        <v>64</v>
      </c>
      <c r="D29" s="10">
        <f ca="1">SUMIF($C$91:$J$630,$C29,$D$91:$D$630)</f>
        <v>420</v>
      </c>
      <c r="E29" s="10">
        <f ca="1">SUMIF($C$91:$J$630,$C29,$E$91:$E$630)</f>
        <v>270</v>
      </c>
      <c r="F29" s="10">
        <f ca="1">SUMIF($C$91:$J$630,$C29,$F$91:$F$630)</f>
        <v>50</v>
      </c>
      <c r="G29" s="10">
        <f ca="1">SUMIF($C$91:$J$630,$C29,$G$91:$G$630)</f>
        <v>100</v>
      </c>
      <c r="H29" s="10">
        <f ca="1">SUMIF($C$91:$J$630,$C29,$H$91:$H$630)</f>
        <v>1174</v>
      </c>
      <c r="I29" s="10">
        <f ca="1">SUMIF($C$91:$J$630,$C29,$I$91:$I$630)</f>
        <v>378</v>
      </c>
      <c r="J29" s="10">
        <f ca="1">SUMIF($C$91:$J$630,$C29,$J$91:$J$630)</f>
        <v>860</v>
      </c>
      <c r="K29" s="25">
        <f ca="1">J29/(D29*3)</f>
        <v>0.68253968253968256</v>
      </c>
      <c r="L29" s="27">
        <f ca="1">H29/D29</f>
        <v>2.7952380952380951</v>
      </c>
      <c r="M29" s="27">
        <f ca="1">I29/D29</f>
        <v>0.9</v>
      </c>
      <c r="N29" s="10">
        <f ca="1">H29-I29</f>
        <v>796</v>
      </c>
      <c r="O29">
        <f>B29-A29</f>
        <v>0</v>
      </c>
    </row>
    <row r="30" spans="1:17" x14ac:dyDescent="0.25">
      <c r="A30">
        <v>6</v>
      </c>
      <c r="B30">
        <v>7</v>
      </c>
      <c r="C30" s="4" t="s">
        <v>70</v>
      </c>
      <c r="D30" s="10">
        <f ca="1">SUMIF($C$91:$J$630,$C30,$D$91:$D$630)</f>
        <v>360</v>
      </c>
      <c r="E30" s="10">
        <f ca="1">SUMIF($C$91:$J$630,$C30,$E$91:$E$630)</f>
        <v>253</v>
      </c>
      <c r="F30" s="10">
        <f ca="1">SUMIF($C$91:$J$630,$C30,$F$91:$F$630)</f>
        <v>33</v>
      </c>
      <c r="G30" s="10">
        <f ca="1">SUMIF($C$91:$J$630,$C30,$G$91:$G$630)</f>
        <v>74</v>
      </c>
      <c r="H30" s="10">
        <f ca="1">SUMIF($C$91:$J$630,$C30,$H$91:$H$630)</f>
        <v>1047</v>
      </c>
      <c r="I30" s="10">
        <f ca="1">SUMIF($C$91:$J$630,$C30,$I$91:$I$630)</f>
        <v>376</v>
      </c>
      <c r="J30" s="10">
        <f ca="1">SUMIF($C$91:$J$630,$C30,$J$91:$J$630)</f>
        <v>792</v>
      </c>
      <c r="K30" s="25">
        <f ca="1">J30/(D30*3)</f>
        <v>0.73333333333333328</v>
      </c>
      <c r="L30" s="27">
        <f ca="1">H30/D30</f>
        <v>2.9083333333333332</v>
      </c>
      <c r="M30" s="27">
        <f ca="1">I30/D30</f>
        <v>1.0444444444444445</v>
      </c>
      <c r="N30" s="10">
        <f ca="1">H30-I30</f>
        <v>671</v>
      </c>
      <c r="O30">
        <f>B30-A30</f>
        <v>1</v>
      </c>
    </row>
    <row r="31" spans="1:17" x14ac:dyDescent="0.25">
      <c r="A31">
        <v>7</v>
      </c>
      <c r="B31">
        <v>6</v>
      </c>
      <c r="C31" s="4" t="s">
        <v>24</v>
      </c>
      <c r="D31" s="10">
        <f ca="1">SUMIF($C$91:$J$630,$C31,$D$91:$D$630)</f>
        <v>420</v>
      </c>
      <c r="E31" s="10">
        <f ca="1">SUMIF($C$91:$J$630,$C31,$E$91:$E$630)</f>
        <v>239</v>
      </c>
      <c r="F31" s="10">
        <f ca="1">SUMIF($C$91:$J$630,$C31,$F$91:$F$630)</f>
        <v>69</v>
      </c>
      <c r="G31" s="10">
        <f ca="1">SUMIF($C$91:$J$630,$C31,$G$91:$G$630)</f>
        <v>112</v>
      </c>
      <c r="H31" s="10">
        <f ca="1">SUMIF($C$91:$J$630,$C31,$H$91:$H$630)</f>
        <v>952</v>
      </c>
      <c r="I31" s="10">
        <f ca="1">SUMIF($C$91:$J$630,$C31,$I$91:$I$630)</f>
        <v>569</v>
      </c>
      <c r="J31" s="10">
        <f ca="1">SUMIF($C$91:$J$630,$C31,$J$91:$J$630)</f>
        <v>786</v>
      </c>
      <c r="K31" s="25">
        <f ca="1">J31/(D31*3)</f>
        <v>0.62380952380952381</v>
      </c>
      <c r="L31" s="27">
        <f ca="1">H31/D31</f>
        <v>2.2666666666666666</v>
      </c>
      <c r="M31" s="27">
        <f ca="1">I31/D31</f>
        <v>1.3547619047619048</v>
      </c>
      <c r="N31" s="10">
        <f ca="1">H31-I31</f>
        <v>383</v>
      </c>
      <c r="O31">
        <f>B31-A31</f>
        <v>-1</v>
      </c>
    </row>
    <row r="32" spans="1:17" x14ac:dyDescent="0.25">
      <c r="A32">
        <v>8</v>
      </c>
      <c r="B32">
        <v>8</v>
      </c>
      <c r="C32" s="4" t="s">
        <v>58</v>
      </c>
      <c r="D32" s="10">
        <f ca="1">SUMIF($C$91:$J$630,$C32,$D$91:$D$630)</f>
        <v>480</v>
      </c>
      <c r="E32" s="10">
        <f ca="1">SUMIF($C$91:$J$630,$C32,$E$91:$E$630)</f>
        <v>205</v>
      </c>
      <c r="F32" s="10">
        <f ca="1">SUMIF($C$91:$J$630,$C32,$F$91:$F$630)</f>
        <v>79</v>
      </c>
      <c r="G32" s="10">
        <f ca="1">SUMIF($C$91:$J$630,$C32,$G$91:$G$630)</f>
        <v>196</v>
      </c>
      <c r="H32" s="10">
        <f ca="1">SUMIF($C$91:$J$630,$C32,$H$91:$H$630)</f>
        <v>782</v>
      </c>
      <c r="I32" s="10">
        <f ca="1">SUMIF($C$91:$J$630,$C32,$I$91:$I$630)</f>
        <v>778</v>
      </c>
      <c r="J32" s="10">
        <f ca="1">SUMIF($C$91:$J$630,$C32,$J$91:$J$630)</f>
        <v>694</v>
      </c>
      <c r="K32" s="25">
        <f ca="1">J32/(D32*3)</f>
        <v>0.48194444444444445</v>
      </c>
      <c r="L32" s="27">
        <f ca="1">H32/D32</f>
        <v>1.6291666666666667</v>
      </c>
      <c r="M32" s="27">
        <f ca="1">I32/D32</f>
        <v>1.6208333333333333</v>
      </c>
      <c r="N32" s="10">
        <f ca="1">H32-I32</f>
        <v>4</v>
      </c>
      <c r="O32">
        <f>B32-A32</f>
        <v>0</v>
      </c>
    </row>
    <row r="33" spans="1:15" x14ac:dyDescent="0.25">
      <c r="A33">
        <v>9</v>
      </c>
      <c r="B33">
        <v>9</v>
      </c>
      <c r="C33" s="4" t="s">
        <v>4</v>
      </c>
      <c r="D33" s="10">
        <f ca="1">SUMIF($C$91:$J$630,$C33,$D$91:$D$630)</f>
        <v>360</v>
      </c>
      <c r="E33" s="10">
        <f ca="1">SUMIF($C$91:$J$630,$C33,$E$91:$E$630)</f>
        <v>178</v>
      </c>
      <c r="F33" s="10">
        <f ca="1">SUMIF($C$91:$J$630,$C33,$F$91:$F$630)</f>
        <v>69</v>
      </c>
      <c r="G33" s="10">
        <f ca="1">SUMIF($C$91:$J$630,$C33,$G$91:$G$630)</f>
        <v>113</v>
      </c>
      <c r="H33" s="10">
        <f ca="1">SUMIF($C$91:$J$630,$C33,$H$91:$H$630)</f>
        <v>647</v>
      </c>
      <c r="I33" s="10">
        <f ca="1">SUMIF($C$91:$J$630,$C33,$I$91:$I$630)</f>
        <v>438</v>
      </c>
      <c r="J33" s="10">
        <f ca="1">SUMIF($C$91:$J$630,$C33,$J$91:$J$630)</f>
        <v>603</v>
      </c>
      <c r="K33" s="25">
        <f ca="1">J33/(D33*3)</f>
        <v>0.55833333333333335</v>
      </c>
      <c r="L33" s="27">
        <f ca="1">H33/D33</f>
        <v>1.7972222222222223</v>
      </c>
      <c r="M33" s="27">
        <f ca="1">I33/D33</f>
        <v>1.2166666666666666</v>
      </c>
      <c r="N33" s="10">
        <f ca="1">H33-I33</f>
        <v>209</v>
      </c>
      <c r="O33">
        <f>B33-A33</f>
        <v>0</v>
      </c>
    </row>
    <row r="34" spans="1:15" x14ac:dyDescent="0.25">
      <c r="A34">
        <v>10</v>
      </c>
      <c r="B34">
        <v>10</v>
      </c>
      <c r="C34" s="4" t="s">
        <v>27</v>
      </c>
      <c r="D34" s="10">
        <f ca="1">SUMIF($C$91:$J$630,$C34,$D$91:$D$630)</f>
        <v>360</v>
      </c>
      <c r="E34" s="10">
        <f ca="1">SUMIF($C$91:$J$630,$C34,$E$91:$E$630)</f>
        <v>174</v>
      </c>
      <c r="F34" s="10">
        <f ca="1">SUMIF($C$91:$J$630,$C34,$F$91:$F$630)</f>
        <v>74</v>
      </c>
      <c r="G34" s="10">
        <f ca="1">SUMIF($C$91:$J$630,$C34,$G$91:$G$630)</f>
        <v>112</v>
      </c>
      <c r="H34" s="10">
        <f ca="1">SUMIF($C$91:$J$630,$C34,$H$91:$H$630)</f>
        <v>740</v>
      </c>
      <c r="I34" s="10">
        <f ca="1">SUMIF($C$91:$J$630,$C34,$I$91:$I$630)</f>
        <v>436</v>
      </c>
      <c r="J34" s="10">
        <f ca="1">SUMIF($C$91:$J$630,$C34,$J$91:$J$630)</f>
        <v>596</v>
      </c>
      <c r="K34" s="25">
        <f ca="1">J34/(D34*3)</f>
        <v>0.55185185185185182</v>
      </c>
      <c r="L34" s="27">
        <f ca="1">H34/D34</f>
        <v>2.0555555555555554</v>
      </c>
      <c r="M34" s="27">
        <f ca="1">I34/D34</f>
        <v>1.211111111111111</v>
      </c>
      <c r="N34" s="10">
        <f ca="1">H34-I34</f>
        <v>304</v>
      </c>
      <c r="O34">
        <f>B34-A34</f>
        <v>0</v>
      </c>
    </row>
    <row r="35" spans="1:15" x14ac:dyDescent="0.25">
      <c r="A35">
        <v>11</v>
      </c>
      <c r="B35">
        <v>14</v>
      </c>
      <c r="C35" s="4" t="s">
        <v>92</v>
      </c>
      <c r="D35" s="10">
        <f ca="1">SUMIF($C$91:$J$630,$C35,$D$91:$D$630)</f>
        <v>360</v>
      </c>
      <c r="E35" s="10">
        <f ca="1">SUMIF($C$91:$J$630,$C35,$E$91:$E$630)</f>
        <v>182</v>
      </c>
      <c r="F35" s="10">
        <f ca="1">SUMIF($C$91:$J$630,$C35,$F$91:$F$630)</f>
        <v>45</v>
      </c>
      <c r="G35" s="10">
        <f ca="1">SUMIF($C$91:$J$630,$C35,$G$91:$G$630)</f>
        <v>133</v>
      </c>
      <c r="H35" s="10">
        <f ca="1">SUMIF($C$91:$J$630,$C35,$H$91:$H$630)</f>
        <v>684</v>
      </c>
      <c r="I35" s="10">
        <f ca="1">SUMIF($C$91:$J$630,$C35,$I$91:$I$630)</f>
        <v>506</v>
      </c>
      <c r="J35" s="10">
        <f ca="1">SUMIF($C$91:$J$630,$C35,$J$91:$J$630)</f>
        <v>591</v>
      </c>
      <c r="K35" s="25">
        <f ca="1">J35/(D35*3)</f>
        <v>0.54722222222222228</v>
      </c>
      <c r="L35" s="27">
        <f ca="1">H35/D35</f>
        <v>1.9</v>
      </c>
      <c r="M35" s="27">
        <f ca="1">I35/D35</f>
        <v>1.4055555555555554</v>
      </c>
      <c r="N35" s="10">
        <f ca="1">H35-I35</f>
        <v>178</v>
      </c>
      <c r="O35">
        <f>B35-A35</f>
        <v>3</v>
      </c>
    </row>
    <row r="36" spans="1:15" x14ac:dyDescent="0.25">
      <c r="A36">
        <v>12</v>
      </c>
      <c r="B36">
        <v>11</v>
      </c>
      <c r="C36" s="4" t="s">
        <v>23</v>
      </c>
      <c r="D36" s="10">
        <f ca="1">SUMIF($C$91:$J$630,$C36,$D$91:$D$630)</f>
        <v>300</v>
      </c>
      <c r="E36" s="10">
        <f ca="1">SUMIF($C$91:$J$630,$C36,$E$91:$E$630)</f>
        <v>174</v>
      </c>
      <c r="F36" s="10">
        <f ca="1">SUMIF($C$91:$J$630,$C36,$F$91:$F$630)</f>
        <v>61</v>
      </c>
      <c r="G36" s="10">
        <f ca="1">SUMIF($C$91:$J$630,$C36,$G$91:$G$630)</f>
        <v>65</v>
      </c>
      <c r="H36" s="10">
        <f ca="1">SUMIF($C$91:$J$630,$C36,$H$91:$H$630)</f>
        <v>650</v>
      </c>
      <c r="I36" s="10">
        <f ca="1">SUMIF($C$91:$J$630,$C36,$I$91:$I$630)</f>
        <v>287</v>
      </c>
      <c r="J36" s="10">
        <f ca="1">SUMIF($C$91:$J$630,$C36,$J$91:$J$630)</f>
        <v>583</v>
      </c>
      <c r="K36" s="25">
        <f ca="1">J36/(D36*3)</f>
        <v>0.64777777777777779</v>
      </c>
      <c r="L36" s="27">
        <f ca="1">H36/D36</f>
        <v>2.1666666666666665</v>
      </c>
      <c r="M36" s="27">
        <f ca="1">I36/D36</f>
        <v>0.95666666666666667</v>
      </c>
      <c r="N36" s="10">
        <f ca="1">H36-I36</f>
        <v>363</v>
      </c>
      <c r="O36">
        <f>B36-A36</f>
        <v>-1</v>
      </c>
    </row>
    <row r="37" spans="1:15" x14ac:dyDescent="0.25">
      <c r="A37">
        <v>13</v>
      </c>
      <c r="B37">
        <v>12</v>
      </c>
      <c r="C37" s="4" t="s">
        <v>0</v>
      </c>
      <c r="D37" s="10">
        <f ca="1">SUMIF($C$91:$J$630,$C37,$D$91:$D$630)</f>
        <v>300</v>
      </c>
      <c r="E37" s="10">
        <f ca="1">SUMIF($C$91:$J$630,$C37,$E$91:$E$630)</f>
        <v>166</v>
      </c>
      <c r="F37" s="10">
        <f ca="1">SUMIF($C$91:$J$630,$C37,$F$91:$F$630)</f>
        <v>62</v>
      </c>
      <c r="G37" s="10">
        <f ca="1">SUMIF($C$91:$J$630,$C37,$G$91:$G$630)</f>
        <v>72</v>
      </c>
      <c r="H37" s="10">
        <f ca="1">SUMIF($C$91:$J$630,$C37,$H$91:$H$630)</f>
        <v>605</v>
      </c>
      <c r="I37" s="10">
        <f ca="1">SUMIF($C$91:$J$630,$C37,$I$91:$I$630)</f>
        <v>320</v>
      </c>
      <c r="J37" s="10">
        <f ca="1">SUMIF($C$91:$J$630,$C37,$J$91:$J$630)</f>
        <v>560</v>
      </c>
      <c r="K37" s="25">
        <f ca="1">J37/(D37*3)</f>
        <v>0.62222222222222223</v>
      </c>
      <c r="L37" s="27">
        <f ca="1">H37/D37</f>
        <v>2.0166666666666666</v>
      </c>
      <c r="M37" s="27">
        <f ca="1">I37/D37</f>
        <v>1.0666666666666667</v>
      </c>
      <c r="N37" s="10">
        <f ca="1">H37-I37</f>
        <v>285</v>
      </c>
      <c r="O37">
        <f>B37-A37</f>
        <v>-1</v>
      </c>
    </row>
    <row r="38" spans="1:15" x14ac:dyDescent="0.25">
      <c r="A38">
        <v>14</v>
      </c>
      <c r="B38">
        <v>13</v>
      </c>
      <c r="C38" s="4" t="s">
        <v>51</v>
      </c>
      <c r="D38" s="10">
        <f ca="1">SUMIF($C$91:$J$630,$C38,$D$91:$D$630)</f>
        <v>270</v>
      </c>
      <c r="E38" s="10">
        <f ca="1">SUMIF($C$91:$J$630,$C38,$E$91:$E$630)</f>
        <v>160</v>
      </c>
      <c r="F38" s="10">
        <f ca="1">SUMIF($C$91:$J$630,$C38,$F$91:$F$630)</f>
        <v>32</v>
      </c>
      <c r="G38" s="10">
        <f ca="1">SUMIF($C$91:$J$630,$C38,$G$91:$G$630)</f>
        <v>78</v>
      </c>
      <c r="H38" s="10">
        <f ca="1">SUMIF($C$91:$J$630,$C38,$H$91:$H$630)</f>
        <v>649</v>
      </c>
      <c r="I38" s="10">
        <f ca="1">SUMIF($C$91:$J$630,$C38,$I$91:$I$630)</f>
        <v>301</v>
      </c>
      <c r="J38" s="10">
        <f ca="1">SUMIF($C$91:$J$630,$C38,$J$91:$J$630)</f>
        <v>512</v>
      </c>
      <c r="K38" s="25">
        <f ca="1">J38/(D38*3)</f>
        <v>0.63209876543209875</v>
      </c>
      <c r="L38" s="27">
        <f ca="1">H38/D38</f>
        <v>2.4037037037037039</v>
      </c>
      <c r="M38" s="27">
        <f ca="1">I38/D38</f>
        <v>1.1148148148148149</v>
      </c>
      <c r="N38" s="10">
        <f ca="1">H38-I38</f>
        <v>348</v>
      </c>
      <c r="O38">
        <f>B38-A38</f>
        <v>-1</v>
      </c>
    </row>
    <row r="39" spans="1:15" x14ac:dyDescent="0.25">
      <c r="A39">
        <v>15</v>
      </c>
      <c r="B39">
        <v>17</v>
      </c>
      <c r="C39" s="4" t="s">
        <v>71</v>
      </c>
      <c r="D39" s="10">
        <f ca="1">SUMIF($C$91:$J$630,$C39,$D$91:$D$630)</f>
        <v>360</v>
      </c>
      <c r="E39" s="10">
        <f ca="1">SUMIF($C$91:$J$630,$C39,$E$91:$E$630)</f>
        <v>151</v>
      </c>
      <c r="F39" s="10">
        <f ca="1">SUMIF($C$91:$J$630,$C39,$F$91:$F$630)</f>
        <v>52</v>
      </c>
      <c r="G39" s="10">
        <f ca="1">SUMIF($C$91:$J$630,$C39,$G$91:$G$630)</f>
        <v>157</v>
      </c>
      <c r="H39" s="10">
        <f ca="1">SUMIF($C$91:$J$630,$C39,$H$91:$H$630)</f>
        <v>628</v>
      </c>
      <c r="I39" s="10">
        <f ca="1">SUMIF($C$91:$J$630,$C39,$I$91:$I$630)</f>
        <v>600</v>
      </c>
      <c r="J39" s="10">
        <f ca="1">SUMIF($C$91:$J$630,$C39,$J$91:$J$630)</f>
        <v>505</v>
      </c>
      <c r="K39" s="25">
        <f ca="1">J39/(D39*3)</f>
        <v>0.46759259259259262</v>
      </c>
      <c r="L39" s="27">
        <f ca="1">H39/D39</f>
        <v>1.7444444444444445</v>
      </c>
      <c r="M39" s="27">
        <f ca="1">I39/D39</f>
        <v>1.6666666666666667</v>
      </c>
      <c r="N39" s="10">
        <f ca="1">H39-I39</f>
        <v>28</v>
      </c>
      <c r="O39">
        <f>B39-A39</f>
        <v>2</v>
      </c>
    </row>
    <row r="40" spans="1:15" x14ac:dyDescent="0.25">
      <c r="A40">
        <v>16</v>
      </c>
      <c r="B40">
        <v>15</v>
      </c>
      <c r="C40" s="4" t="s">
        <v>3</v>
      </c>
      <c r="D40" s="10">
        <f ca="1">SUMIF($C$91:$J$630,$C40,$D$91:$D$630)</f>
        <v>330</v>
      </c>
      <c r="E40" s="10">
        <f ca="1">SUMIF($C$91:$J$630,$C40,$E$91:$E$630)</f>
        <v>141</v>
      </c>
      <c r="F40" s="10">
        <f ca="1">SUMIF($C$91:$J$630,$C40,$F$91:$F$630)</f>
        <v>76</v>
      </c>
      <c r="G40" s="10">
        <f ca="1">SUMIF($C$91:$J$630,$C40,$G$91:$G$630)</f>
        <v>113</v>
      </c>
      <c r="H40" s="10">
        <f ca="1">SUMIF($C$91:$J$630,$C40,$H$91:$H$630)</f>
        <v>523</v>
      </c>
      <c r="I40" s="10">
        <f ca="1">SUMIF($C$91:$J$630,$C40,$I$91:$I$630)</f>
        <v>443</v>
      </c>
      <c r="J40" s="10">
        <f ca="1">SUMIF($C$91:$J$630,$C40,$J$91:$J$630)</f>
        <v>499</v>
      </c>
      <c r="K40" s="25">
        <f ca="1">J40/(D40*3)</f>
        <v>0.50404040404040407</v>
      </c>
      <c r="L40" s="27">
        <f ca="1">H40/D40</f>
        <v>1.584848484848485</v>
      </c>
      <c r="M40" s="27">
        <f ca="1">I40/D40</f>
        <v>1.3424242424242425</v>
      </c>
      <c r="N40" s="10">
        <f ca="1">H40-I40</f>
        <v>80</v>
      </c>
      <c r="O40">
        <f>B40-A40</f>
        <v>-1</v>
      </c>
    </row>
    <row r="41" spans="1:15" x14ac:dyDescent="0.25">
      <c r="A41">
        <v>17</v>
      </c>
      <c r="B41">
        <v>16</v>
      </c>
      <c r="C41" s="4" t="s">
        <v>50</v>
      </c>
      <c r="D41" s="10">
        <f ca="1">SUMIF($C$91:$J$630,$C41,$D$91:$D$630)</f>
        <v>360</v>
      </c>
      <c r="E41" s="10">
        <f ca="1">SUMIF($C$91:$J$630,$C41,$E$91:$E$630)</f>
        <v>143</v>
      </c>
      <c r="F41" s="10">
        <f ca="1">SUMIF($C$91:$J$630,$C41,$F$91:$F$630)</f>
        <v>45</v>
      </c>
      <c r="G41" s="10">
        <f ca="1">SUMIF($C$91:$J$630,$C41,$G$91:$G$630)</f>
        <v>172</v>
      </c>
      <c r="H41" s="10">
        <f ca="1">SUMIF($C$91:$J$630,$C41,$H$91:$H$630)</f>
        <v>549</v>
      </c>
      <c r="I41" s="10">
        <f ca="1">SUMIF($C$91:$J$630,$C41,$I$91:$I$630)</f>
        <v>594</v>
      </c>
      <c r="J41" s="10">
        <f ca="1">SUMIF($C$91:$J$630,$C41,$J$91:$J$630)</f>
        <v>474</v>
      </c>
      <c r="K41" s="25">
        <f ca="1">J41/(D41*3)</f>
        <v>0.43888888888888888</v>
      </c>
      <c r="L41" s="27">
        <f ca="1">H41/D41</f>
        <v>1.5249999999999999</v>
      </c>
      <c r="M41" s="27">
        <f ca="1">I41/D41</f>
        <v>1.65</v>
      </c>
      <c r="N41" s="10">
        <f ca="1">H41-I41</f>
        <v>-45</v>
      </c>
      <c r="O41">
        <f>B41-A41</f>
        <v>-1</v>
      </c>
    </row>
    <row r="42" spans="1:15" x14ac:dyDescent="0.25">
      <c r="A42">
        <v>18</v>
      </c>
      <c r="B42">
        <v>18</v>
      </c>
      <c r="C42" s="4" t="s">
        <v>6</v>
      </c>
      <c r="D42" s="10">
        <f ca="1">SUMIF($C$91:$J$630,$C42,$D$91:$D$630)</f>
        <v>270</v>
      </c>
      <c r="E42" s="10">
        <f ca="1">SUMIF($C$91:$J$630,$C42,$E$91:$E$630)</f>
        <v>111</v>
      </c>
      <c r="F42" s="10">
        <f ca="1">SUMIF($C$91:$J$630,$C42,$F$91:$F$630)</f>
        <v>69</v>
      </c>
      <c r="G42" s="10">
        <f ca="1">SUMIF($C$91:$J$630,$C42,$G$91:$G$630)</f>
        <v>90</v>
      </c>
      <c r="H42" s="10">
        <f ca="1">SUMIF($C$91:$J$630,$C42,$H$91:$H$630)</f>
        <v>413</v>
      </c>
      <c r="I42" s="10">
        <f ca="1">SUMIF($C$91:$J$630,$C42,$I$91:$I$630)</f>
        <v>354</v>
      </c>
      <c r="J42" s="10">
        <f ca="1">SUMIF($C$91:$J$630,$C42,$J$91:$J$630)</f>
        <v>402</v>
      </c>
      <c r="K42" s="25">
        <f ca="1">J42/(D42*3)</f>
        <v>0.49629629629629629</v>
      </c>
      <c r="L42" s="27">
        <f ca="1">H42/D42</f>
        <v>1.5296296296296297</v>
      </c>
      <c r="M42" s="27">
        <f ca="1">I42/D42</f>
        <v>1.3111111111111111</v>
      </c>
      <c r="N42" s="10">
        <f ca="1">H42-I42</f>
        <v>59</v>
      </c>
      <c r="O42">
        <f>B42-A42</f>
        <v>0</v>
      </c>
    </row>
    <row r="43" spans="1:15" x14ac:dyDescent="0.25">
      <c r="A43">
        <v>19</v>
      </c>
      <c r="B43">
        <v>19</v>
      </c>
      <c r="C43" s="4" t="s">
        <v>1</v>
      </c>
      <c r="D43" s="10">
        <f ca="1">SUMIF($C$91:$J$630,$C43,$D$91:$D$630)</f>
        <v>240</v>
      </c>
      <c r="E43" s="10">
        <f ca="1">SUMIF($C$91:$J$630,$C43,$E$91:$E$630)</f>
        <v>100</v>
      </c>
      <c r="F43" s="10">
        <f ca="1">SUMIF($C$91:$J$630,$C43,$F$91:$F$630)</f>
        <v>63</v>
      </c>
      <c r="G43" s="10">
        <f ca="1">SUMIF($C$91:$J$630,$C43,$G$91:$G$630)</f>
        <v>77</v>
      </c>
      <c r="H43" s="10">
        <f ca="1">SUMIF($C$91:$J$630,$C43,$H$91:$H$630)</f>
        <v>373</v>
      </c>
      <c r="I43" s="10">
        <f ca="1">SUMIF($C$91:$J$630,$C43,$I$91:$I$630)</f>
        <v>316</v>
      </c>
      <c r="J43" s="10">
        <f ca="1">SUMIF($C$91:$J$630,$C43,$J$91:$J$630)</f>
        <v>363</v>
      </c>
      <c r="K43" s="25">
        <f ca="1">J43/(D43*3)</f>
        <v>0.50416666666666665</v>
      </c>
      <c r="L43" s="27">
        <f ca="1">H43/D43</f>
        <v>1.5541666666666667</v>
      </c>
      <c r="M43" s="27">
        <f ca="1">I43/D43</f>
        <v>1.3166666666666667</v>
      </c>
      <c r="N43" s="10">
        <f ca="1">H43-I43</f>
        <v>57</v>
      </c>
      <c r="O43">
        <f>B43-A43</f>
        <v>0</v>
      </c>
    </row>
    <row r="44" spans="1:15" x14ac:dyDescent="0.25">
      <c r="A44">
        <v>20</v>
      </c>
      <c r="B44">
        <v>20</v>
      </c>
      <c r="C44" s="4" t="s">
        <v>52</v>
      </c>
      <c r="D44" s="10">
        <f ca="1">SUMIF($C$91:$J$630,$C44,$D$91:$D$630)</f>
        <v>420</v>
      </c>
      <c r="E44" s="10">
        <f ca="1">SUMIF($C$91:$J$630,$C44,$E$91:$E$630)</f>
        <v>95</v>
      </c>
      <c r="F44" s="10">
        <f ca="1">SUMIF($C$91:$J$630,$C44,$F$91:$F$630)</f>
        <v>52</v>
      </c>
      <c r="G44" s="10">
        <f ca="1">SUMIF($C$91:$J$630,$C44,$G$91:$G$630)</f>
        <v>273</v>
      </c>
      <c r="H44" s="10">
        <f ca="1">SUMIF($C$91:$J$630,$C44,$H$91:$H$630)</f>
        <v>447</v>
      </c>
      <c r="I44" s="10">
        <f ca="1">SUMIF($C$91:$J$630,$C44,$I$91:$I$630)</f>
        <v>1210</v>
      </c>
      <c r="J44" s="10">
        <f ca="1">SUMIF($C$91:$J$630,$C44,$J$91:$J$630)</f>
        <v>337</v>
      </c>
      <c r="K44" s="25">
        <f ca="1">J44/(D44*3)</f>
        <v>0.26746031746031745</v>
      </c>
      <c r="L44" s="27">
        <f ca="1">H44/D44</f>
        <v>1.0642857142857143</v>
      </c>
      <c r="M44" s="27">
        <f ca="1">I44/D44</f>
        <v>2.8809523809523809</v>
      </c>
      <c r="N44" s="10">
        <f ca="1">H44-I44</f>
        <v>-763</v>
      </c>
      <c r="O44">
        <f>B44-A44</f>
        <v>0</v>
      </c>
    </row>
    <row r="45" spans="1:15" x14ac:dyDescent="0.25">
      <c r="A45">
        <v>21</v>
      </c>
      <c r="B45">
        <v>21</v>
      </c>
      <c r="C45" s="4" t="s">
        <v>9</v>
      </c>
      <c r="D45" s="10">
        <f ca="1">SUMIF($C$91:$J$630,$C45,$D$91:$D$630)</f>
        <v>300</v>
      </c>
      <c r="E45" s="10">
        <f ca="1">SUMIF($C$91:$J$630,$C45,$E$91:$E$630)</f>
        <v>89</v>
      </c>
      <c r="F45" s="10">
        <f ca="1">SUMIF($C$91:$J$630,$C45,$F$91:$F$630)</f>
        <v>67</v>
      </c>
      <c r="G45" s="10">
        <f ca="1">SUMIF($C$91:$J$630,$C45,$G$91:$G$630)</f>
        <v>144</v>
      </c>
      <c r="H45" s="10">
        <f ca="1">SUMIF($C$91:$J$630,$C45,$H$91:$H$630)</f>
        <v>417</v>
      </c>
      <c r="I45" s="10">
        <f ca="1">SUMIF($C$91:$J$630,$C45,$I$91:$I$630)</f>
        <v>458</v>
      </c>
      <c r="J45" s="10">
        <f ca="1">SUMIF($C$91:$J$630,$C45,$J$91:$J$630)</f>
        <v>334</v>
      </c>
      <c r="K45" s="25">
        <f ca="1">J45/(D45*3)</f>
        <v>0.37111111111111111</v>
      </c>
      <c r="L45" s="27">
        <f ca="1">H45/D45</f>
        <v>1.39</v>
      </c>
      <c r="M45" s="27">
        <f ca="1">I45/D45</f>
        <v>1.5266666666666666</v>
      </c>
      <c r="N45" s="10">
        <f ca="1">H45-I45</f>
        <v>-41</v>
      </c>
      <c r="O45">
        <f>B45-A45</f>
        <v>0</v>
      </c>
    </row>
    <row r="46" spans="1:15" x14ac:dyDescent="0.25">
      <c r="A46">
        <v>22</v>
      </c>
      <c r="B46">
        <v>22</v>
      </c>
      <c r="C46" s="4" t="s">
        <v>56</v>
      </c>
      <c r="D46" s="10">
        <f ca="1">SUMIF($C$91:$J$630,$C46,$D$91:$D$630)</f>
        <v>420</v>
      </c>
      <c r="E46" s="10">
        <f ca="1">SUMIF($C$91:$J$630,$C46,$E$91:$E$630)</f>
        <v>89</v>
      </c>
      <c r="F46" s="10">
        <f ca="1">SUMIF($C$91:$J$630,$C46,$F$91:$F$630)</f>
        <v>49</v>
      </c>
      <c r="G46" s="10">
        <f ca="1">SUMIF($C$91:$J$630,$C46,$G$91:$G$630)</f>
        <v>282</v>
      </c>
      <c r="H46" s="10">
        <f ca="1">SUMIF($C$91:$J$630,$C46,$H$91:$H$630)</f>
        <v>383</v>
      </c>
      <c r="I46" s="10">
        <f ca="1">SUMIF($C$91:$J$630,$C46,$I$91:$I$630)</f>
        <v>1118</v>
      </c>
      <c r="J46" s="10">
        <f ca="1">SUMIF($C$91:$J$630,$C46,$J$91:$J$630)</f>
        <v>316</v>
      </c>
      <c r="K46" s="25">
        <f ca="1">J46/(D46*3)</f>
        <v>0.25079365079365079</v>
      </c>
      <c r="L46" s="27">
        <f ca="1">H46/D46</f>
        <v>0.91190476190476188</v>
      </c>
      <c r="M46" s="27">
        <f ca="1">I46/D46</f>
        <v>2.6619047619047618</v>
      </c>
      <c r="N46" s="10">
        <f ca="1">H46-I46</f>
        <v>-735</v>
      </c>
      <c r="O46">
        <f>B46-A46</f>
        <v>0</v>
      </c>
    </row>
    <row r="47" spans="1:15" x14ac:dyDescent="0.25">
      <c r="A47">
        <v>23</v>
      </c>
      <c r="B47">
        <v>23</v>
      </c>
      <c r="C47" s="4" t="s">
        <v>25</v>
      </c>
      <c r="D47" s="10">
        <f ca="1">SUMIF($C$91:$J$630,$C47,$D$91:$D$630)</f>
        <v>240</v>
      </c>
      <c r="E47" s="10">
        <f ca="1">SUMIF($C$91:$J$630,$C47,$E$91:$E$630)</f>
        <v>77</v>
      </c>
      <c r="F47" s="10">
        <f ca="1">SUMIF($C$91:$J$630,$C47,$F$91:$F$630)</f>
        <v>58</v>
      </c>
      <c r="G47" s="10">
        <f ca="1">SUMIF($C$91:$J$630,$C47,$G$91:$G$630)</f>
        <v>105</v>
      </c>
      <c r="H47" s="10">
        <f ca="1">SUMIF($C$91:$J$630,$C47,$H$91:$H$630)</f>
        <v>371</v>
      </c>
      <c r="I47" s="10">
        <f ca="1">SUMIF($C$91:$J$630,$C47,$I$91:$I$630)</f>
        <v>387</v>
      </c>
      <c r="J47" s="10">
        <f ca="1">SUMIF($C$91:$J$630,$C47,$J$91:$J$630)</f>
        <v>289</v>
      </c>
      <c r="K47" s="25">
        <f ca="1">J47/(D47*3)</f>
        <v>0.40138888888888891</v>
      </c>
      <c r="L47" s="27">
        <f ca="1">H47/D47</f>
        <v>1.5458333333333334</v>
      </c>
      <c r="M47" s="27">
        <f ca="1">I47/D47</f>
        <v>1.6125</v>
      </c>
      <c r="N47" s="10">
        <f ca="1">H47-I47</f>
        <v>-16</v>
      </c>
      <c r="O47">
        <f>B47-A47</f>
        <v>0</v>
      </c>
    </row>
    <row r="48" spans="1:15" x14ac:dyDescent="0.25">
      <c r="A48">
        <v>24</v>
      </c>
      <c r="B48">
        <v>24</v>
      </c>
      <c r="C48" s="4" t="s">
        <v>53</v>
      </c>
      <c r="D48" s="10">
        <f ca="1">SUMIF($C$91:$J$630,$C48,$D$91:$D$630)</f>
        <v>270</v>
      </c>
      <c r="E48" s="10">
        <f ca="1">SUMIF($C$91:$J$630,$C48,$E$91:$E$630)</f>
        <v>70</v>
      </c>
      <c r="F48" s="10">
        <f ca="1">SUMIF($C$91:$J$630,$C48,$F$91:$F$630)</f>
        <v>45</v>
      </c>
      <c r="G48" s="10">
        <f ca="1">SUMIF($C$91:$J$630,$C48,$G$91:$G$630)</f>
        <v>155</v>
      </c>
      <c r="H48" s="10">
        <f ca="1">SUMIF($C$91:$J$630,$C48,$H$91:$H$630)</f>
        <v>295</v>
      </c>
      <c r="I48" s="10">
        <f ca="1">SUMIF($C$91:$J$630,$C48,$I$91:$I$630)</f>
        <v>528</v>
      </c>
      <c r="J48" s="10">
        <f ca="1">SUMIF($C$91:$J$630,$C48,$J$91:$J$630)</f>
        <v>255</v>
      </c>
      <c r="K48" s="25">
        <f ca="1">J48/(D48*3)</f>
        <v>0.31481481481481483</v>
      </c>
      <c r="L48" s="27">
        <f ca="1">H48/D48</f>
        <v>1.0925925925925926</v>
      </c>
      <c r="M48" s="27">
        <f ca="1">I48/D48</f>
        <v>1.9555555555555555</v>
      </c>
      <c r="N48" s="10">
        <f ca="1">H48-I48</f>
        <v>-233</v>
      </c>
      <c r="O48">
        <f>B48-A48</f>
        <v>0</v>
      </c>
    </row>
    <row r="49" spans="1:15" x14ac:dyDescent="0.25">
      <c r="A49">
        <v>25</v>
      </c>
      <c r="B49">
        <v>27</v>
      </c>
      <c r="C49" s="4" t="s">
        <v>76</v>
      </c>
      <c r="D49" s="10">
        <f ca="1">SUMIF($C$91:$J$630,$C49,$D$91:$D$630)</f>
        <v>270</v>
      </c>
      <c r="E49" s="10">
        <f ca="1">SUMIF($C$91:$J$630,$C49,$E$91:$E$630)</f>
        <v>71</v>
      </c>
      <c r="F49" s="10">
        <f ca="1">SUMIF($C$91:$J$630,$C49,$F$91:$F$630)</f>
        <v>34</v>
      </c>
      <c r="G49" s="10">
        <f ca="1">SUMIF($C$91:$J$630,$C49,$G$91:$G$630)</f>
        <v>165</v>
      </c>
      <c r="H49" s="10">
        <f ca="1">SUMIF($C$91:$J$630,$C49,$H$91:$H$630)</f>
        <v>333</v>
      </c>
      <c r="I49" s="10">
        <f ca="1">SUMIF($C$91:$J$630,$C49,$I$91:$I$630)</f>
        <v>635</v>
      </c>
      <c r="J49" s="10">
        <f ca="1">SUMIF($C$91:$J$630,$C49,$J$91:$J$630)</f>
        <v>247</v>
      </c>
      <c r="K49" s="25">
        <f ca="1">J49/(D49*3)</f>
        <v>0.30493827160493825</v>
      </c>
      <c r="L49" s="27">
        <f ca="1">H49/D49</f>
        <v>1.2333333333333334</v>
      </c>
      <c r="M49" s="27">
        <f ca="1">I49/D49</f>
        <v>2.3518518518518516</v>
      </c>
      <c r="N49" s="10">
        <f ca="1">H49-I49</f>
        <v>-302</v>
      </c>
      <c r="O49">
        <f>B49-A49</f>
        <v>2</v>
      </c>
    </row>
    <row r="50" spans="1:15" x14ac:dyDescent="0.25">
      <c r="A50">
        <v>26</v>
      </c>
      <c r="B50">
        <v>25</v>
      </c>
      <c r="C50" s="4" t="s">
        <v>28</v>
      </c>
      <c r="D50" s="10">
        <f ca="1">SUMIF($C$91:$J$630,$C50,$D$91:$D$630)</f>
        <v>180</v>
      </c>
      <c r="E50" s="10">
        <f ca="1">SUMIF($C$91:$J$630,$C50,$E$91:$E$630)</f>
        <v>64</v>
      </c>
      <c r="F50" s="10">
        <f ca="1">SUMIF($C$91:$J$630,$C50,$F$91:$F$630)</f>
        <v>37</v>
      </c>
      <c r="G50" s="10">
        <f ca="1">SUMIF($C$91:$J$630,$C50,$G$91:$G$630)</f>
        <v>79</v>
      </c>
      <c r="H50" s="10">
        <f ca="1">SUMIF($C$91:$J$630,$C50,$H$91:$H$630)</f>
        <v>222</v>
      </c>
      <c r="I50" s="10">
        <f ca="1">SUMIF($C$91:$J$630,$C50,$I$91:$I$630)</f>
        <v>254</v>
      </c>
      <c r="J50" s="10">
        <f ca="1">SUMIF($C$91:$J$630,$C50,$J$91:$J$630)</f>
        <v>229</v>
      </c>
      <c r="K50" s="25">
        <f ca="1">J50/(D50*3)</f>
        <v>0.42407407407407405</v>
      </c>
      <c r="L50" s="27">
        <f ca="1">H50/D50</f>
        <v>1.2333333333333334</v>
      </c>
      <c r="M50" s="27">
        <f ca="1">I50/D50</f>
        <v>1.4111111111111112</v>
      </c>
      <c r="N50" s="10">
        <f ca="1">H50-I50</f>
        <v>-32</v>
      </c>
      <c r="O50">
        <f>B50-A50</f>
        <v>-1</v>
      </c>
    </row>
    <row r="51" spans="1:15" x14ac:dyDescent="0.25">
      <c r="A51">
        <v>27</v>
      </c>
      <c r="B51">
        <v>26</v>
      </c>
      <c r="C51" s="4" t="s">
        <v>55</v>
      </c>
      <c r="D51" s="10">
        <f ca="1">SUMIF($C$91:$J$630,$C51,$D$91:$D$630)</f>
        <v>150</v>
      </c>
      <c r="E51" s="10">
        <f ca="1">SUMIF($C$91:$J$630,$C51,$E$91:$E$630)</f>
        <v>64</v>
      </c>
      <c r="F51" s="10">
        <f ca="1">SUMIF($C$91:$J$630,$C51,$F$91:$F$630)</f>
        <v>25</v>
      </c>
      <c r="G51" s="10">
        <f ca="1">SUMIF($C$91:$J$630,$C51,$G$91:$G$630)</f>
        <v>61</v>
      </c>
      <c r="H51" s="10">
        <f ca="1">SUMIF($C$91:$J$630,$C51,$H$91:$H$630)</f>
        <v>277</v>
      </c>
      <c r="I51" s="10">
        <f ca="1">SUMIF($C$91:$J$630,$C51,$I$91:$I$630)</f>
        <v>231</v>
      </c>
      <c r="J51" s="10">
        <f ca="1">SUMIF($C$91:$J$630,$C51,$J$91:$J$630)</f>
        <v>217</v>
      </c>
      <c r="K51" s="25">
        <f ca="1">J51/(D51*3)</f>
        <v>0.48222222222222222</v>
      </c>
      <c r="L51" s="27">
        <f ca="1">H51/D51</f>
        <v>1.8466666666666667</v>
      </c>
      <c r="M51" s="27">
        <f ca="1">I51/D51</f>
        <v>1.54</v>
      </c>
      <c r="N51" s="10">
        <f ca="1">H51-I51</f>
        <v>46</v>
      </c>
      <c r="O51">
        <f>B51-A51</f>
        <v>-1</v>
      </c>
    </row>
    <row r="52" spans="1:15" x14ac:dyDescent="0.25">
      <c r="A52">
        <v>28</v>
      </c>
      <c r="B52">
        <v>28</v>
      </c>
      <c r="C52" s="4" t="s">
        <v>7</v>
      </c>
      <c r="D52" s="10">
        <f ca="1">SUMIF($C$91:$J$630,$C52,$D$91:$D$630)</f>
        <v>150</v>
      </c>
      <c r="E52" s="10">
        <f ca="1">SUMIF($C$91:$J$630,$C52,$E$91:$E$630)</f>
        <v>59</v>
      </c>
      <c r="F52" s="10">
        <f ca="1">SUMIF($C$91:$J$630,$C52,$F$91:$F$630)</f>
        <v>32</v>
      </c>
      <c r="G52" s="10">
        <f ca="1">SUMIF($C$91:$J$630,$C52,$G$91:$G$630)</f>
        <v>59</v>
      </c>
      <c r="H52" s="10">
        <f ca="1">SUMIF($C$91:$J$630,$C52,$H$91:$H$630)</f>
        <v>206</v>
      </c>
      <c r="I52" s="10">
        <f ca="1">SUMIF($C$91:$J$630,$C52,$I$91:$I$630)</f>
        <v>185</v>
      </c>
      <c r="J52" s="10">
        <f ca="1">SUMIF($C$91:$J$630,$C52,$J$91:$J$630)</f>
        <v>209</v>
      </c>
      <c r="K52" s="25">
        <f ca="1">J52/(D52*3)</f>
        <v>0.46444444444444444</v>
      </c>
      <c r="L52" s="27">
        <f ca="1">H52/D52</f>
        <v>1.3733333333333333</v>
      </c>
      <c r="M52" s="27">
        <f ca="1">I52/D52</f>
        <v>1.2333333333333334</v>
      </c>
      <c r="N52" s="10">
        <f ca="1">H52-I52</f>
        <v>21</v>
      </c>
      <c r="O52">
        <f>B52-A52</f>
        <v>0</v>
      </c>
    </row>
    <row r="53" spans="1:15" x14ac:dyDescent="0.25">
      <c r="A53">
        <v>29</v>
      </c>
      <c r="B53">
        <v>33</v>
      </c>
      <c r="C53" s="4" t="s">
        <v>112</v>
      </c>
      <c r="D53" s="10">
        <f ca="1">SUMIF($C$91:$J$630,$C53,$D$91:$D$630)</f>
        <v>180</v>
      </c>
      <c r="E53" s="10">
        <f ca="1">SUMIF($C$91:$J$630,$C53,$E$91:$E$630)</f>
        <v>61</v>
      </c>
      <c r="F53" s="10">
        <f ca="1">SUMIF($C$91:$J$630,$C53,$F$91:$F$630)</f>
        <v>25</v>
      </c>
      <c r="G53" s="10">
        <f ca="1">SUMIF($C$91:$J$630,$C53,$G$91:$G$630)</f>
        <v>94</v>
      </c>
      <c r="H53" s="10">
        <f ca="1">SUMIF($C$91:$J$630,$C53,$H$91:$H$630)</f>
        <v>227</v>
      </c>
      <c r="I53" s="10">
        <f ca="1">SUMIF($C$91:$J$630,$C53,$I$91:$I$630)</f>
        <v>326</v>
      </c>
      <c r="J53" s="10">
        <f ca="1">SUMIF($C$91:$J$630,$C53,$J$91:$J$630)</f>
        <v>208</v>
      </c>
      <c r="K53" s="25">
        <f ca="1">J53/(D53*3)</f>
        <v>0.38518518518518519</v>
      </c>
      <c r="L53" s="27">
        <f ca="1">H53/D53</f>
        <v>1.2611111111111111</v>
      </c>
      <c r="M53" s="27">
        <f ca="1">I53/D53</f>
        <v>1.8111111111111111</v>
      </c>
      <c r="N53" s="10">
        <f ca="1">H53-I53</f>
        <v>-99</v>
      </c>
      <c r="O53">
        <f>B53-A53</f>
        <v>4</v>
      </c>
    </row>
    <row r="54" spans="1:15" x14ac:dyDescent="0.25">
      <c r="A54">
        <v>30</v>
      </c>
      <c r="B54">
        <v>32</v>
      </c>
      <c r="C54" s="4" t="s">
        <v>73</v>
      </c>
      <c r="D54" s="10">
        <f ca="1">SUMIF($C$91:$J$630,$C54,$D$91:$D$630)</f>
        <v>240</v>
      </c>
      <c r="E54" s="10">
        <f ca="1">SUMIF($C$91:$J$630,$C54,$E$91:$E$630)</f>
        <v>56</v>
      </c>
      <c r="F54" s="10">
        <f ca="1">SUMIF($C$91:$J$630,$C54,$F$91:$F$630)</f>
        <v>30</v>
      </c>
      <c r="G54" s="10">
        <f ca="1">SUMIF($C$91:$J$630,$C54,$G$91:$G$630)</f>
        <v>154</v>
      </c>
      <c r="H54" s="10">
        <f ca="1">SUMIF($C$91:$J$630,$C54,$H$91:$H$630)</f>
        <v>210</v>
      </c>
      <c r="I54" s="10">
        <f ca="1">SUMIF($C$91:$J$630,$C54,$I$91:$I$630)</f>
        <v>648</v>
      </c>
      <c r="J54" s="10">
        <f ca="1">SUMIF($C$91:$J$630,$C54,$J$91:$J$630)</f>
        <v>198</v>
      </c>
      <c r="K54" s="25">
        <f ca="1">J54/(D54*3)</f>
        <v>0.27500000000000002</v>
      </c>
      <c r="L54" s="27">
        <f ca="1">H54/D54</f>
        <v>0.875</v>
      </c>
      <c r="M54" s="27">
        <f ca="1">I54/D54</f>
        <v>2.7</v>
      </c>
      <c r="N54" s="10">
        <f ca="1">H54-I54</f>
        <v>-438</v>
      </c>
      <c r="O54">
        <f>B54-A54</f>
        <v>2</v>
      </c>
    </row>
    <row r="55" spans="1:15" x14ac:dyDescent="0.25">
      <c r="A55">
        <v>31</v>
      </c>
      <c r="B55">
        <v>29</v>
      </c>
      <c r="C55" s="4" t="s">
        <v>2</v>
      </c>
      <c r="D55" s="10">
        <f ca="1">SUMIF($C$91:$J$630,$C55,$D$91:$D$630)</f>
        <v>180</v>
      </c>
      <c r="E55" s="10">
        <f ca="1">SUMIF($C$91:$J$630,$C55,$E$91:$E$630)</f>
        <v>49</v>
      </c>
      <c r="F55" s="10">
        <f ca="1">SUMIF($C$91:$J$630,$C55,$F$91:$F$630)</f>
        <v>46</v>
      </c>
      <c r="G55" s="10">
        <f ca="1">SUMIF($C$91:$J$630,$C55,$G$91:$G$630)</f>
        <v>85</v>
      </c>
      <c r="H55" s="10">
        <f ca="1">SUMIF($C$91:$J$630,$C55,$H$91:$H$630)</f>
        <v>250</v>
      </c>
      <c r="I55" s="10">
        <f ca="1">SUMIF($C$91:$J$630,$C55,$I$91:$I$630)</f>
        <v>286</v>
      </c>
      <c r="J55" s="10">
        <f ca="1">SUMIF($C$91:$J$630,$C55,$J$91:$J$630)</f>
        <v>193</v>
      </c>
      <c r="K55" s="25">
        <f ca="1">J55/(D55*3)</f>
        <v>0.3574074074074074</v>
      </c>
      <c r="L55" s="27">
        <f ca="1">H55/D55</f>
        <v>1.3888888888888888</v>
      </c>
      <c r="M55" s="27">
        <f ca="1">I55/D55</f>
        <v>1.5888888888888888</v>
      </c>
      <c r="N55" s="10">
        <f ca="1">H55-I55</f>
        <v>-36</v>
      </c>
      <c r="O55">
        <f>B55-A55</f>
        <v>-2</v>
      </c>
    </row>
    <row r="56" spans="1:15" x14ac:dyDescent="0.25">
      <c r="A56">
        <v>32</v>
      </c>
      <c r="B56">
        <v>30</v>
      </c>
      <c r="C56" s="4" t="s">
        <v>41</v>
      </c>
      <c r="D56" s="10">
        <f ca="1">SUMIF($C$91:$J$630,$C56,$D$91:$D$630)</f>
        <v>180</v>
      </c>
      <c r="E56" s="10">
        <f ca="1">SUMIF($C$91:$J$630,$C56,$E$91:$E$630)</f>
        <v>50</v>
      </c>
      <c r="F56" s="10">
        <f ca="1">SUMIF($C$91:$J$630,$C56,$F$91:$F$630)</f>
        <v>28</v>
      </c>
      <c r="G56" s="10">
        <f ca="1">SUMIF($C$91:$J$630,$C56,$G$91:$G$630)</f>
        <v>102</v>
      </c>
      <c r="H56" s="10">
        <f ca="1">SUMIF($C$91:$J$630,$C56,$H$91:$H$630)</f>
        <v>295</v>
      </c>
      <c r="I56" s="10">
        <f ca="1">SUMIF($C$91:$J$630,$C56,$I$91:$I$630)</f>
        <v>372</v>
      </c>
      <c r="J56" s="10">
        <f ca="1">SUMIF($C$91:$J$630,$C56,$J$91:$J$630)</f>
        <v>178</v>
      </c>
      <c r="K56" s="25">
        <f ca="1">J56/(D56*3)</f>
        <v>0.32962962962962961</v>
      </c>
      <c r="L56" s="27">
        <f ca="1">H56/D56</f>
        <v>1.6388888888888888</v>
      </c>
      <c r="M56" s="27">
        <f ca="1">I56/D56</f>
        <v>2.0666666666666669</v>
      </c>
      <c r="N56" s="10">
        <f ca="1">H56-I56</f>
        <v>-77</v>
      </c>
      <c r="O56">
        <f>B56-A56</f>
        <v>-2</v>
      </c>
    </row>
    <row r="57" spans="1:15" x14ac:dyDescent="0.25">
      <c r="A57">
        <v>33</v>
      </c>
      <c r="B57">
        <v>31</v>
      </c>
      <c r="C57" s="4" t="s">
        <v>68</v>
      </c>
      <c r="D57" s="10">
        <f ca="1">SUMIF($C$91:$J$630,$C57,$D$91:$D$630)</f>
        <v>240</v>
      </c>
      <c r="E57" s="10">
        <f ca="1">SUMIF($C$91:$J$630,$C57,$E$91:$E$630)</f>
        <v>50</v>
      </c>
      <c r="F57" s="10">
        <f ca="1">SUMIF($C$91:$J$630,$C57,$F$91:$F$630)</f>
        <v>26</v>
      </c>
      <c r="G57" s="10">
        <f ca="1">SUMIF($C$91:$J$630,$C57,$G$91:$G$630)</f>
        <v>164</v>
      </c>
      <c r="H57" s="10">
        <f ca="1">SUMIF($C$91:$J$630,$C57,$H$91:$H$630)</f>
        <v>259</v>
      </c>
      <c r="I57" s="10">
        <f ca="1">SUMIF($C$91:$J$630,$C57,$I$91:$I$630)</f>
        <v>681</v>
      </c>
      <c r="J57" s="10">
        <f ca="1">SUMIF($C$91:$J$630,$C57,$J$91:$J$630)</f>
        <v>176</v>
      </c>
      <c r="K57" s="25">
        <f ca="1">J57/(D57*3)</f>
        <v>0.24444444444444444</v>
      </c>
      <c r="L57" s="27">
        <f ca="1">H57/D57</f>
        <v>1.0791666666666666</v>
      </c>
      <c r="M57" s="27">
        <f ca="1">I57/D57</f>
        <v>2.8374999999999999</v>
      </c>
      <c r="N57" s="10">
        <f ca="1">H57-I57</f>
        <v>-422</v>
      </c>
      <c r="O57">
        <f>B57-A57</f>
        <v>-2</v>
      </c>
    </row>
    <row r="58" spans="1:15" x14ac:dyDescent="0.25">
      <c r="A58">
        <v>34</v>
      </c>
      <c r="B58">
        <v>34</v>
      </c>
      <c r="C58" s="4" t="s">
        <v>61</v>
      </c>
      <c r="D58" s="10">
        <f ca="1">SUMIF($C$91:$J$630,$C58,$D$91:$D$630)</f>
        <v>150</v>
      </c>
      <c r="E58" s="10">
        <f ca="1">SUMIF($C$91:$J$630,$C58,$E$91:$E$630)</f>
        <v>43</v>
      </c>
      <c r="F58" s="10">
        <f ca="1">SUMIF($C$91:$J$630,$C58,$F$91:$F$630)</f>
        <v>21</v>
      </c>
      <c r="G58" s="10">
        <f ca="1">SUMIF($C$91:$J$630,$C58,$G$91:$G$630)</f>
        <v>86</v>
      </c>
      <c r="H58" s="10">
        <f ca="1">SUMIF($C$91:$J$630,$C58,$H$91:$H$630)</f>
        <v>161</v>
      </c>
      <c r="I58" s="10">
        <f ca="1">SUMIF($C$91:$J$630,$C58,$I$91:$I$630)</f>
        <v>390</v>
      </c>
      <c r="J58" s="10">
        <f ca="1">SUMIF($C$91:$J$630,$C58,$J$91:$J$630)</f>
        <v>150</v>
      </c>
      <c r="K58" s="25">
        <f ca="1">J58/(D58*3)</f>
        <v>0.33333333333333331</v>
      </c>
      <c r="L58" s="27">
        <f ca="1">H58/D58</f>
        <v>1.0733333333333333</v>
      </c>
      <c r="M58" s="27">
        <f ca="1">I58/D58</f>
        <v>2.6</v>
      </c>
      <c r="N58" s="10">
        <f ca="1">H58-I58</f>
        <v>-229</v>
      </c>
      <c r="O58">
        <f>B58-A58</f>
        <v>0</v>
      </c>
    </row>
    <row r="59" spans="1:15" x14ac:dyDescent="0.25">
      <c r="A59">
        <v>35</v>
      </c>
      <c r="B59">
        <v>35</v>
      </c>
      <c r="C59" s="4" t="s">
        <v>5</v>
      </c>
      <c r="D59" s="10">
        <f ca="1">SUMIF($C$91:$J$630,$C59,$D$91:$D$630)</f>
        <v>120</v>
      </c>
      <c r="E59" s="10">
        <f ca="1">SUMIF($C$91:$J$630,$C59,$E$91:$E$630)</f>
        <v>39</v>
      </c>
      <c r="F59" s="10">
        <f ca="1">SUMIF($C$91:$J$630,$C59,$F$91:$F$630)</f>
        <v>27</v>
      </c>
      <c r="G59" s="10">
        <f ca="1">SUMIF($C$91:$J$630,$C59,$G$91:$G$630)</f>
        <v>54</v>
      </c>
      <c r="H59" s="10">
        <f ca="1">SUMIF($C$91:$J$630,$C59,$H$91:$H$630)</f>
        <v>136</v>
      </c>
      <c r="I59" s="10">
        <f ca="1">SUMIF($C$91:$J$630,$C59,$I$91:$I$630)</f>
        <v>168</v>
      </c>
      <c r="J59" s="10">
        <f ca="1">SUMIF($C$91:$J$630,$C59,$J$91:$J$630)</f>
        <v>144</v>
      </c>
      <c r="K59" s="25">
        <f ca="1">J59/(D59*3)</f>
        <v>0.4</v>
      </c>
      <c r="L59" s="27">
        <f ca="1">H59/D59</f>
        <v>1.1333333333333333</v>
      </c>
      <c r="M59" s="27">
        <f ca="1">I59/D59</f>
        <v>1.4</v>
      </c>
      <c r="N59" s="10">
        <f ca="1">H59-I59</f>
        <v>-32</v>
      </c>
      <c r="O59">
        <f>B59-A59</f>
        <v>0</v>
      </c>
    </row>
    <row r="60" spans="1:15" x14ac:dyDescent="0.25">
      <c r="A60">
        <v>36</v>
      </c>
      <c r="B60">
        <v>36</v>
      </c>
      <c r="C60" s="4" t="s">
        <v>17</v>
      </c>
      <c r="D60" s="10">
        <f ca="1">SUMIF($C$91:$J$630,$C60,$D$91:$D$630)</f>
        <v>120</v>
      </c>
      <c r="E60" s="10">
        <f ca="1">SUMIF($C$91:$J$630,$C60,$E$91:$E$630)</f>
        <v>35</v>
      </c>
      <c r="F60" s="10">
        <f ca="1">SUMIF($C$91:$J$630,$C60,$F$91:$F$630)</f>
        <v>34</v>
      </c>
      <c r="G60" s="10">
        <f ca="1">SUMIF($C$91:$J$630,$C60,$G$91:$G$630)</f>
        <v>51</v>
      </c>
      <c r="H60" s="10">
        <f ca="1">SUMIF($C$91:$J$630,$C60,$H$91:$H$630)</f>
        <v>123</v>
      </c>
      <c r="I60" s="10">
        <f ca="1">SUMIF($C$91:$J$630,$C60,$I$91:$I$630)</f>
        <v>169</v>
      </c>
      <c r="J60" s="10">
        <f ca="1">SUMIF($C$91:$J$630,$C60,$J$91:$J$630)</f>
        <v>139</v>
      </c>
      <c r="K60" s="25">
        <f ca="1">J60/(D60*3)</f>
        <v>0.38611111111111113</v>
      </c>
      <c r="L60" s="27">
        <f ca="1">H60/D60</f>
        <v>1.0249999999999999</v>
      </c>
      <c r="M60" s="27">
        <f ca="1">I60/D60</f>
        <v>1.4083333333333334</v>
      </c>
      <c r="N60" s="10">
        <f ca="1">H60-I60</f>
        <v>-46</v>
      </c>
      <c r="O60">
        <f>B60-A60</f>
        <v>0</v>
      </c>
    </row>
    <row r="61" spans="1:15" x14ac:dyDescent="0.25">
      <c r="A61">
        <v>37</v>
      </c>
      <c r="B61">
        <v>41</v>
      </c>
      <c r="C61" s="4" t="s">
        <v>115</v>
      </c>
      <c r="D61" s="10">
        <f ca="1">SUMIF($C$91:$J$630,$C61,$D$91:$D$630)</f>
        <v>150</v>
      </c>
      <c r="E61" s="10">
        <f ca="1">SUMIF($C$91:$J$630,$C61,$E$91:$E$630)</f>
        <v>34</v>
      </c>
      <c r="F61" s="10">
        <f ca="1">SUMIF($C$91:$J$630,$C61,$F$91:$F$630)</f>
        <v>24</v>
      </c>
      <c r="G61" s="10">
        <f ca="1">SUMIF($C$91:$J$630,$C61,$G$91:$G$630)</f>
        <v>92</v>
      </c>
      <c r="H61" s="10">
        <f ca="1">SUMIF($C$91:$J$630,$C61,$H$91:$H$630)</f>
        <v>141</v>
      </c>
      <c r="I61" s="10">
        <f ca="1">SUMIF($C$91:$J$630,$C61,$I$91:$I$630)</f>
        <v>321</v>
      </c>
      <c r="J61" s="10">
        <f ca="1">SUMIF($C$91:$J$630,$C61,$J$91:$J$630)</f>
        <v>126</v>
      </c>
      <c r="K61" s="25">
        <f ca="1">J61/(D61*3)</f>
        <v>0.28000000000000003</v>
      </c>
      <c r="L61" s="27">
        <f ca="1">H61/D61</f>
        <v>0.94</v>
      </c>
      <c r="M61" s="27">
        <f ca="1">I61/D61</f>
        <v>2.14</v>
      </c>
      <c r="N61" s="10">
        <f ca="1">H61-I61</f>
        <v>-180</v>
      </c>
      <c r="O61">
        <f>B61-A61</f>
        <v>4</v>
      </c>
    </row>
    <row r="62" spans="1:15" x14ac:dyDescent="0.25">
      <c r="A62">
        <v>38</v>
      </c>
      <c r="B62">
        <v>45</v>
      </c>
      <c r="C62" t="s">
        <v>130</v>
      </c>
      <c r="D62" s="10">
        <f ca="1">SUMIF($C$91:$J$630,$C62,$D$91:$D$630)</f>
        <v>90</v>
      </c>
      <c r="E62" s="10">
        <f ca="1">SUMIF($C$91:$J$630,$C62,$E$91:$E$630)</f>
        <v>36</v>
      </c>
      <c r="F62" s="10">
        <f ca="1">SUMIF($C$91:$J$630,$C62,$F$91:$F$630)</f>
        <v>10</v>
      </c>
      <c r="G62" s="10">
        <f ca="1">SUMIF($C$91:$J$630,$C62,$G$91:$G$630)</f>
        <v>44</v>
      </c>
      <c r="H62" s="10">
        <f ca="1">SUMIF($C$91:$J$630,$C62,$H$91:$H$630)</f>
        <v>146</v>
      </c>
      <c r="I62" s="10">
        <f ca="1">SUMIF($C$91:$J$630,$C62,$I$91:$I$630)</f>
        <v>154</v>
      </c>
      <c r="J62" s="10">
        <f ca="1">SUMIF($C$91:$J$630,$C62,$J$91:$J$630)</f>
        <v>118</v>
      </c>
      <c r="K62" s="25">
        <f ca="1">J62/(D62*3)</f>
        <v>0.43703703703703706</v>
      </c>
      <c r="L62" s="27">
        <f ca="1">H62/D62</f>
        <v>1.6222222222222222</v>
      </c>
      <c r="M62" s="27">
        <f ca="1">I62/D62</f>
        <v>1.711111111111111</v>
      </c>
      <c r="N62" s="10">
        <f ca="1">H62-I62</f>
        <v>-8</v>
      </c>
      <c r="O62">
        <f>B62-A62</f>
        <v>7</v>
      </c>
    </row>
    <row r="63" spans="1:15" x14ac:dyDescent="0.25">
      <c r="A63">
        <v>39</v>
      </c>
      <c r="B63">
        <v>37</v>
      </c>
      <c r="C63" s="4" t="s">
        <v>47</v>
      </c>
      <c r="D63" s="10">
        <f ca="1">SUMIF($C$91:$J$630,$C63,$D$91:$D$630)</f>
        <v>90</v>
      </c>
      <c r="E63" s="10">
        <f ca="1">SUMIF($C$91:$J$630,$C63,$E$91:$E$630)</f>
        <v>35</v>
      </c>
      <c r="F63" s="10">
        <f ca="1">SUMIF($C$91:$J$630,$C63,$F$91:$F$630)</f>
        <v>12</v>
      </c>
      <c r="G63" s="10">
        <f ca="1">SUMIF($C$91:$J$630,$C63,$G$91:$G$630)</f>
        <v>43</v>
      </c>
      <c r="H63" s="10">
        <f ca="1">SUMIF($C$91:$J$630,$C63,$H$91:$H$630)</f>
        <v>212</v>
      </c>
      <c r="I63" s="10">
        <f ca="1">SUMIF($C$91:$J$630,$C63,$I$91:$I$630)</f>
        <v>153</v>
      </c>
      <c r="J63" s="10">
        <f ca="1">SUMIF($C$91:$J$630,$C63,$J$91:$J$630)</f>
        <v>117</v>
      </c>
      <c r="K63" s="25">
        <f ca="1">J63/(D63*3)</f>
        <v>0.43333333333333335</v>
      </c>
      <c r="L63" s="27">
        <f ca="1">H63/D63</f>
        <v>2.3555555555555556</v>
      </c>
      <c r="M63" s="27">
        <f ca="1">I63/D63</f>
        <v>1.7</v>
      </c>
      <c r="N63" s="10">
        <f ca="1">H63-I63</f>
        <v>59</v>
      </c>
      <c r="O63">
        <f>B63-A63</f>
        <v>-2</v>
      </c>
    </row>
    <row r="64" spans="1:15" x14ac:dyDescent="0.25">
      <c r="A64">
        <v>40</v>
      </c>
      <c r="B64">
        <v>42</v>
      </c>
      <c r="C64" t="s">
        <v>128</v>
      </c>
      <c r="D64" s="10">
        <f ca="1">SUMIF($C$91:$J$630,$C64,$D$91:$D$630)</f>
        <v>120</v>
      </c>
      <c r="E64" s="10">
        <f ca="1">SUMIF($C$91:$J$630,$C64,$E$91:$E$630)</f>
        <v>32</v>
      </c>
      <c r="F64" s="10">
        <f ca="1">SUMIF($C$91:$J$630,$C64,$F$91:$F$630)</f>
        <v>16</v>
      </c>
      <c r="G64" s="10">
        <f ca="1">SUMIF($C$91:$J$630,$C64,$G$91:$G$630)</f>
        <v>72</v>
      </c>
      <c r="H64" s="10">
        <f ca="1">SUMIF($C$91:$J$630,$C64,$H$91:$H$630)</f>
        <v>140</v>
      </c>
      <c r="I64" s="10">
        <f ca="1">SUMIF($C$91:$J$630,$C64,$I$91:$I$630)</f>
        <v>240</v>
      </c>
      <c r="J64" s="10">
        <f ca="1">SUMIF($C$91:$J$630,$C64,$J$91:$J$630)</f>
        <v>112</v>
      </c>
      <c r="K64" s="25">
        <f ca="1">J64/(D64*3)</f>
        <v>0.31111111111111112</v>
      </c>
      <c r="L64" s="27">
        <f ca="1">H64/D64</f>
        <v>1.1666666666666667</v>
      </c>
      <c r="M64" s="27">
        <f ca="1">I64/D64</f>
        <v>2</v>
      </c>
      <c r="N64" s="10">
        <f ca="1">H64-I64</f>
        <v>-100</v>
      </c>
      <c r="O64">
        <f>B64-A64</f>
        <v>2</v>
      </c>
    </row>
    <row r="65" spans="1:15" x14ac:dyDescent="0.25">
      <c r="A65">
        <v>41</v>
      </c>
      <c r="B65">
        <v>38</v>
      </c>
      <c r="C65" s="4" t="s">
        <v>13</v>
      </c>
      <c r="D65" s="10">
        <f ca="1">SUMIF($C$91:$J$630,$C65,$D$91:$D$630)</f>
        <v>120</v>
      </c>
      <c r="E65" s="10">
        <f ca="1">SUMIF($C$91:$J$630,$C65,$E$91:$E$630)</f>
        <v>24</v>
      </c>
      <c r="F65" s="10">
        <f ca="1">SUMIF($C$91:$J$630,$C65,$F$91:$F$630)</f>
        <v>30</v>
      </c>
      <c r="G65" s="10">
        <f ca="1">SUMIF($C$91:$J$630,$C65,$G$91:$G$630)</f>
        <v>66</v>
      </c>
      <c r="H65" s="10">
        <f ca="1">SUMIF($C$91:$J$630,$C65,$H$91:$H$630)</f>
        <v>118</v>
      </c>
      <c r="I65" s="10">
        <f ca="1">SUMIF($C$91:$J$630,$C65,$I$91:$I$630)</f>
        <v>190</v>
      </c>
      <c r="J65" s="10">
        <f ca="1">SUMIF($C$91:$J$630,$C65,$J$91:$J$630)</f>
        <v>102</v>
      </c>
      <c r="K65" s="25">
        <f ca="1">J65/(D65*3)</f>
        <v>0.28333333333333333</v>
      </c>
      <c r="L65" s="27">
        <f ca="1">H65/D65</f>
        <v>0.98333333333333328</v>
      </c>
      <c r="M65" s="27">
        <f ca="1">I65/D65</f>
        <v>1.5833333333333333</v>
      </c>
      <c r="N65" s="10">
        <f ca="1">H65-I65</f>
        <v>-72</v>
      </c>
      <c r="O65">
        <f>B65-A65</f>
        <v>-3</v>
      </c>
    </row>
    <row r="66" spans="1:15" x14ac:dyDescent="0.25">
      <c r="A66">
        <v>42</v>
      </c>
      <c r="B66">
        <v>39</v>
      </c>
      <c r="C66" s="4" t="s">
        <v>38</v>
      </c>
      <c r="D66" s="10">
        <f ca="1">SUMIF($C$91:$J$630,$C66,$D$91:$D$630)</f>
        <v>120</v>
      </c>
      <c r="E66" s="10">
        <f ca="1">SUMIF($C$91:$J$630,$C66,$E$91:$E$630)</f>
        <v>29</v>
      </c>
      <c r="F66" s="10">
        <f ca="1">SUMIF($C$91:$J$630,$C66,$F$91:$F$630)</f>
        <v>11</v>
      </c>
      <c r="G66" s="10">
        <f ca="1">SUMIF($C$91:$J$630,$C66,$G$91:$G$630)</f>
        <v>80</v>
      </c>
      <c r="H66" s="10">
        <f ca="1">SUMIF($C$91:$J$630,$C66,$H$91:$H$630)</f>
        <v>138</v>
      </c>
      <c r="I66" s="10">
        <f ca="1">SUMIF($C$91:$J$630,$C66,$I$91:$I$630)</f>
        <v>322</v>
      </c>
      <c r="J66" s="10">
        <f ca="1">SUMIF($C$91:$J$630,$C66,$J$91:$J$630)</f>
        <v>98</v>
      </c>
      <c r="K66" s="25">
        <f ca="1">J66/(D66*3)</f>
        <v>0.2722222222222222</v>
      </c>
      <c r="L66" s="27">
        <f ca="1">H66/D66</f>
        <v>1.1499999999999999</v>
      </c>
      <c r="M66" s="27">
        <f ca="1">I66/D66</f>
        <v>2.6833333333333331</v>
      </c>
      <c r="N66" s="10">
        <f ca="1">H66-I66</f>
        <v>-184</v>
      </c>
      <c r="O66">
        <f>B66-A66</f>
        <v>-3</v>
      </c>
    </row>
    <row r="67" spans="1:15" x14ac:dyDescent="0.25">
      <c r="A67">
        <v>43</v>
      </c>
      <c r="B67">
        <v>40</v>
      </c>
      <c r="C67" s="4" t="s">
        <v>10</v>
      </c>
      <c r="D67" s="10">
        <f ca="1">SUMIF($C$91:$J$630,$C67,$D$91:$D$630)</f>
        <v>90</v>
      </c>
      <c r="E67" s="10">
        <f ca="1">SUMIF($C$91:$J$630,$C67,$E$91:$E$630)</f>
        <v>23</v>
      </c>
      <c r="F67" s="10">
        <f ca="1">SUMIF($C$91:$J$630,$C67,$F$91:$F$630)</f>
        <v>22</v>
      </c>
      <c r="G67" s="10">
        <f ca="1">SUMIF($C$91:$J$630,$C67,$G$91:$G$630)</f>
        <v>45</v>
      </c>
      <c r="H67" s="10">
        <f ca="1">SUMIF($C$91:$J$630,$C67,$H$91:$H$630)</f>
        <v>98</v>
      </c>
      <c r="I67" s="10">
        <f ca="1">SUMIF($C$91:$J$630,$C67,$I$91:$I$630)</f>
        <v>143</v>
      </c>
      <c r="J67" s="10">
        <f ca="1">SUMIF($C$91:$J$630,$C67,$J$91:$J$630)</f>
        <v>91</v>
      </c>
      <c r="K67" s="25">
        <f ca="1">J67/(D67*3)</f>
        <v>0.33703703703703702</v>
      </c>
      <c r="L67" s="27">
        <f ca="1">H67/D67</f>
        <v>1.0888888888888888</v>
      </c>
      <c r="M67" s="27">
        <f ca="1">I67/D67</f>
        <v>1.5888888888888888</v>
      </c>
      <c r="N67" s="10">
        <f ca="1">H67-I67</f>
        <v>-45</v>
      </c>
      <c r="O67">
        <f>B67-A67</f>
        <v>-3</v>
      </c>
    </row>
    <row r="68" spans="1:15" x14ac:dyDescent="0.25">
      <c r="A68">
        <v>44</v>
      </c>
      <c r="B68">
        <v>43</v>
      </c>
      <c r="C68" s="4" t="s">
        <v>95</v>
      </c>
      <c r="D68" s="10">
        <f ca="1">SUMIF($C$91:$J$630,$C68,$D$91:$D$630)</f>
        <v>90</v>
      </c>
      <c r="E68" s="10">
        <f ca="1">SUMIF($C$91:$J$630,$C68,$E$91:$E$630)</f>
        <v>26</v>
      </c>
      <c r="F68" s="10">
        <f ca="1">SUMIF($C$91:$J$630,$C68,$F$91:$F$630)</f>
        <v>6</v>
      </c>
      <c r="G68" s="10">
        <f ca="1">SUMIF($C$91:$J$630,$C68,$G$91:$G$630)</f>
        <v>58</v>
      </c>
      <c r="H68" s="10">
        <f ca="1">SUMIF($C$91:$J$630,$C68,$H$91:$H$630)</f>
        <v>119</v>
      </c>
      <c r="I68" s="10">
        <f ca="1">SUMIF($C$91:$J$630,$C68,$I$91:$I$630)</f>
        <v>263</v>
      </c>
      <c r="J68" s="10">
        <f ca="1">SUMIF($C$91:$J$630,$C68,$J$91:$J$630)</f>
        <v>84</v>
      </c>
      <c r="K68" s="25">
        <f ca="1">J68/(D68*3)</f>
        <v>0.31111111111111112</v>
      </c>
      <c r="L68" s="27">
        <f ca="1">H68/D68</f>
        <v>1.3222222222222222</v>
      </c>
      <c r="M68" s="27">
        <f ca="1">I68/D68</f>
        <v>2.9222222222222221</v>
      </c>
      <c r="N68" s="10">
        <f ca="1">H68-I68</f>
        <v>-144</v>
      </c>
      <c r="O68">
        <f>B68-A68</f>
        <v>-1</v>
      </c>
    </row>
    <row r="69" spans="1:15" x14ac:dyDescent="0.25">
      <c r="A69">
        <v>45</v>
      </c>
      <c r="B69">
        <v>44</v>
      </c>
      <c r="C69" s="4" t="s">
        <v>30</v>
      </c>
      <c r="D69" s="10">
        <f ca="1">SUMIF($C$91:$J$630,$C69,$D$91:$D$630)</f>
        <v>90</v>
      </c>
      <c r="E69" s="10">
        <f ca="1">SUMIF($C$91:$J$630,$C69,$E$91:$E$630)</f>
        <v>21</v>
      </c>
      <c r="F69" s="10">
        <f ca="1">SUMIF($C$91:$J$630,$C69,$F$91:$F$630)</f>
        <v>21</v>
      </c>
      <c r="G69" s="10">
        <f ca="1">SUMIF($C$91:$J$630,$C69,$G$91:$G$630)</f>
        <v>48</v>
      </c>
      <c r="H69" s="10">
        <f ca="1">SUMIF($C$91:$J$630,$C69,$H$91:$H$630)</f>
        <v>87</v>
      </c>
      <c r="I69" s="10">
        <f ca="1">SUMIF($C$91:$J$630,$C69,$I$91:$I$630)</f>
        <v>133</v>
      </c>
      <c r="J69" s="10">
        <f ca="1">SUMIF($C$91:$J$630,$C69,$J$91:$J$630)</f>
        <v>84</v>
      </c>
      <c r="K69" s="25">
        <f ca="1">J69/(D69*3)</f>
        <v>0.31111111111111112</v>
      </c>
      <c r="L69" s="27">
        <f ca="1">H69/D69</f>
        <v>0.96666666666666667</v>
      </c>
      <c r="M69" s="27">
        <f ca="1">I69/D69</f>
        <v>1.4777777777777779</v>
      </c>
      <c r="N69" s="10">
        <f ca="1">H69-I69</f>
        <v>-46</v>
      </c>
      <c r="O69">
        <f>B69-A69</f>
        <v>-1</v>
      </c>
    </row>
    <row r="70" spans="1:15" x14ac:dyDescent="0.25">
      <c r="A70">
        <v>46</v>
      </c>
      <c r="B70">
        <v>46</v>
      </c>
      <c r="C70" s="4" t="s">
        <v>48</v>
      </c>
      <c r="D70" s="10">
        <f ca="1">SUMIF($C$91:$J$630,$C70,$D$91:$D$630)</f>
        <v>60</v>
      </c>
      <c r="E70" s="10">
        <f ca="1">SUMIF($C$91:$J$630,$C70,$E$91:$E$630)</f>
        <v>18</v>
      </c>
      <c r="F70" s="10">
        <f ca="1">SUMIF($C$91:$J$630,$C70,$F$91:$F$630)</f>
        <v>13</v>
      </c>
      <c r="G70" s="10">
        <f ca="1">SUMIF($C$91:$J$630,$C70,$G$91:$G$630)</f>
        <v>29</v>
      </c>
      <c r="H70" s="10">
        <f ca="1">SUMIF($C$91:$J$630,$C70,$H$91:$H$630)</f>
        <v>116</v>
      </c>
      <c r="I70" s="10">
        <f ca="1">SUMIF($C$91:$J$630,$C70,$I$91:$I$630)</f>
        <v>114</v>
      </c>
      <c r="J70" s="10">
        <f ca="1">SUMIF($C$91:$J$630,$C70,$J$91:$J$630)</f>
        <v>67</v>
      </c>
      <c r="K70" s="25">
        <f ca="1">J70/(D70*3)</f>
        <v>0.37222222222222223</v>
      </c>
      <c r="L70" s="27">
        <f ca="1">H70/D70</f>
        <v>1.9333333333333333</v>
      </c>
      <c r="M70" s="27">
        <f ca="1">I70/D70</f>
        <v>1.9</v>
      </c>
      <c r="N70" s="10">
        <f ca="1">H70-I70</f>
        <v>2</v>
      </c>
      <c r="O70">
        <f>B70-A70</f>
        <v>0</v>
      </c>
    </row>
    <row r="71" spans="1:15" x14ac:dyDescent="0.25">
      <c r="A71">
        <v>47</v>
      </c>
      <c r="B71">
        <v>47</v>
      </c>
      <c r="C71" s="4" t="s">
        <v>67</v>
      </c>
      <c r="D71" s="10">
        <f ca="1">SUMIF($C$91:$J$630,$C71,$D$91:$D$630)</f>
        <v>60</v>
      </c>
      <c r="E71" s="10">
        <f ca="1">SUMIF($C$91:$J$630,$C71,$E$91:$E$630)</f>
        <v>14</v>
      </c>
      <c r="F71" s="10">
        <f ca="1">SUMIF($C$91:$J$630,$C71,$F$91:$F$630)</f>
        <v>12</v>
      </c>
      <c r="G71" s="10">
        <f ca="1">SUMIF($C$91:$J$630,$C71,$G$91:$G$630)</f>
        <v>34</v>
      </c>
      <c r="H71" s="10">
        <f ca="1">SUMIF($C$91:$J$630,$C71,$H$91:$H$630)</f>
        <v>48</v>
      </c>
      <c r="I71" s="10">
        <f ca="1">SUMIF($C$91:$J$630,$C71,$I$91:$I$630)</f>
        <v>126</v>
      </c>
      <c r="J71" s="10">
        <f ca="1">SUMIF($C$91:$J$630,$C71,$J$91:$J$630)</f>
        <v>54</v>
      </c>
      <c r="K71" s="25">
        <f ca="1">J71/(D71*3)</f>
        <v>0.3</v>
      </c>
      <c r="L71" s="27">
        <f ca="1">H71/D71</f>
        <v>0.8</v>
      </c>
      <c r="M71" s="27">
        <f ca="1">I71/D71</f>
        <v>2.1</v>
      </c>
      <c r="N71" s="10">
        <f ca="1">H71-I71</f>
        <v>-78</v>
      </c>
      <c r="O71">
        <f>B71-A71</f>
        <v>0</v>
      </c>
    </row>
    <row r="72" spans="1:15" x14ac:dyDescent="0.25">
      <c r="A72">
        <v>48</v>
      </c>
      <c r="B72">
        <v>48</v>
      </c>
      <c r="C72" s="4" t="s">
        <v>36</v>
      </c>
      <c r="D72" s="10">
        <f ca="1">SUMIF($C$91:$J$630,$C72,$D$91:$D$630)</f>
        <v>60</v>
      </c>
      <c r="E72" s="10">
        <f ca="1">SUMIF($C$91:$J$630,$C72,$E$91:$E$630)</f>
        <v>13</v>
      </c>
      <c r="F72" s="10">
        <f ca="1">SUMIF($C$91:$J$630,$C72,$F$91:$F$630)</f>
        <v>14</v>
      </c>
      <c r="G72" s="10">
        <f ca="1">SUMIF($C$91:$J$630,$C72,$G$91:$G$630)</f>
        <v>33</v>
      </c>
      <c r="H72" s="10">
        <f ca="1">SUMIF($C$91:$J$630,$C72,$H$91:$H$630)</f>
        <v>78</v>
      </c>
      <c r="I72" s="10">
        <f ca="1">SUMIF($C$91:$J$630,$C72,$I$91:$I$630)</f>
        <v>109</v>
      </c>
      <c r="J72" s="10">
        <f ca="1">SUMIF($C$91:$J$630,$C72,$J$91:$J$630)</f>
        <v>53</v>
      </c>
      <c r="K72" s="25">
        <f ca="1">J72/(D72*3)</f>
        <v>0.29444444444444445</v>
      </c>
      <c r="L72" s="27">
        <f ca="1">H72/D72</f>
        <v>1.3</v>
      </c>
      <c r="M72" s="27">
        <f ca="1">I72/D72</f>
        <v>1.8166666666666667</v>
      </c>
      <c r="N72" s="10">
        <f ca="1">H72-I72</f>
        <v>-31</v>
      </c>
      <c r="O72">
        <f>B72-A72</f>
        <v>0</v>
      </c>
    </row>
    <row r="73" spans="1:15" x14ac:dyDescent="0.25">
      <c r="A73">
        <v>49</v>
      </c>
      <c r="B73">
        <v>49</v>
      </c>
      <c r="C73" s="4" t="s">
        <v>114</v>
      </c>
      <c r="D73" s="10">
        <f ca="1">SUMIF($C$91:$J$630,$C73,$D$91:$D$630)</f>
        <v>90</v>
      </c>
      <c r="E73" s="10">
        <f ca="1">SUMIF($C$91:$J$630,$C73,$E$91:$E$630)</f>
        <v>15</v>
      </c>
      <c r="F73" s="10">
        <f ca="1">SUMIF($C$91:$J$630,$C73,$F$91:$F$630)</f>
        <v>6</v>
      </c>
      <c r="G73" s="10">
        <f ca="1">SUMIF($C$91:$J$630,$C73,$G$91:$G$630)</f>
        <v>69</v>
      </c>
      <c r="H73" s="10">
        <f ca="1">SUMIF($C$91:$J$630,$C73,$H$91:$H$630)</f>
        <v>77</v>
      </c>
      <c r="I73" s="10">
        <f ca="1">SUMIF($C$91:$J$630,$C73,$I$91:$I$630)</f>
        <v>318</v>
      </c>
      <c r="J73" s="10">
        <f ca="1">SUMIF($C$91:$J$630,$C73,$J$91:$J$630)</f>
        <v>51</v>
      </c>
      <c r="K73" s="25">
        <f ca="1">J73/(D73*3)</f>
        <v>0.18888888888888888</v>
      </c>
      <c r="L73" s="27">
        <f ca="1">H73/D73</f>
        <v>0.85555555555555551</v>
      </c>
      <c r="M73" s="27">
        <f ca="1">I73/D73</f>
        <v>3.5333333333333332</v>
      </c>
      <c r="N73" s="10">
        <f ca="1">H73-I73</f>
        <v>-241</v>
      </c>
      <c r="O73">
        <f>B73-A73</f>
        <v>0</v>
      </c>
    </row>
    <row r="74" spans="1:15" x14ac:dyDescent="0.25">
      <c r="A74">
        <v>50</v>
      </c>
      <c r="B74">
        <v>50</v>
      </c>
      <c r="C74" s="4" t="s">
        <v>65</v>
      </c>
      <c r="D74" s="10">
        <f ca="1">SUMIF($C$91:$J$630,$C74,$D$91:$D$630)</f>
        <v>60</v>
      </c>
      <c r="E74" s="10">
        <f ca="1">SUMIF($C$91:$J$630,$C74,$E$91:$E$630)</f>
        <v>12</v>
      </c>
      <c r="F74" s="10">
        <f ca="1">SUMIF($C$91:$J$630,$C74,$F$91:$F$630)</f>
        <v>7</v>
      </c>
      <c r="G74" s="10">
        <f ca="1">SUMIF($C$91:$J$630,$C74,$G$91:$G$630)</f>
        <v>41</v>
      </c>
      <c r="H74" s="10">
        <f ca="1">SUMIF($C$91:$J$630,$C74,$H$91:$H$630)</f>
        <v>69</v>
      </c>
      <c r="I74" s="10">
        <f ca="1">SUMIF($C$91:$J$630,$C74,$I$91:$I$630)</f>
        <v>145</v>
      </c>
      <c r="J74" s="10">
        <f ca="1">SUMIF($C$91:$J$630,$C74,$J$91:$J$630)</f>
        <v>43</v>
      </c>
      <c r="K74" s="25">
        <f ca="1">J74/(D74*3)</f>
        <v>0.2388888888888889</v>
      </c>
      <c r="L74" s="27">
        <f ca="1">H74/D74</f>
        <v>1.1499999999999999</v>
      </c>
      <c r="M74" s="27">
        <f ca="1">I74/D74</f>
        <v>2.4166666666666665</v>
      </c>
      <c r="N74" s="10">
        <f ca="1">H74-I74</f>
        <v>-76</v>
      </c>
      <c r="O74">
        <f>B74-A74</f>
        <v>0</v>
      </c>
    </row>
    <row r="75" spans="1:15" x14ac:dyDescent="0.25">
      <c r="A75">
        <v>51</v>
      </c>
      <c r="B75">
        <v>51</v>
      </c>
      <c r="C75" s="4" t="s">
        <v>8</v>
      </c>
      <c r="D75" s="10">
        <f ca="1">SUMIF($C$91:$J$630,$C75,$D$91:$D$630)</f>
        <v>30</v>
      </c>
      <c r="E75" s="10">
        <f ca="1">SUMIF($C$91:$J$630,$C75,$E$91:$E$630)</f>
        <v>12</v>
      </c>
      <c r="F75" s="10">
        <f ca="1">SUMIF($C$91:$J$630,$C75,$F$91:$F$630)</f>
        <v>3</v>
      </c>
      <c r="G75" s="10">
        <f ca="1">SUMIF($C$91:$J$630,$C75,$G$91:$G$630)</f>
        <v>15</v>
      </c>
      <c r="H75" s="10">
        <f ca="1">SUMIF($C$91:$J$630,$C75,$H$91:$H$630)</f>
        <v>45</v>
      </c>
      <c r="I75" s="10">
        <f ca="1">SUMIF($C$91:$J$630,$C75,$I$91:$I$630)</f>
        <v>43</v>
      </c>
      <c r="J75" s="10">
        <f ca="1">SUMIF($C$91:$J$630,$C75,$J$91:$J$630)</f>
        <v>39</v>
      </c>
      <c r="K75" s="25">
        <f ca="1">J75/(D75*3)</f>
        <v>0.43333333333333335</v>
      </c>
      <c r="L75" s="27">
        <f ca="1">H75/D75</f>
        <v>1.5</v>
      </c>
      <c r="M75" s="27">
        <f ca="1">I75/D75</f>
        <v>1.4333333333333333</v>
      </c>
      <c r="N75" s="10">
        <f ca="1">H75-I75</f>
        <v>2</v>
      </c>
      <c r="O75">
        <f>B75-A75</f>
        <v>0</v>
      </c>
    </row>
    <row r="76" spans="1:15" x14ac:dyDescent="0.25">
      <c r="A76">
        <v>52</v>
      </c>
      <c r="B76">
        <v>52</v>
      </c>
      <c r="C76" s="4" t="s">
        <v>59</v>
      </c>
      <c r="D76" s="10">
        <f ca="1">SUMIF($C$91:$J$630,$C76,$D$91:$D$630)</f>
        <v>60</v>
      </c>
      <c r="E76" s="10">
        <f ca="1">SUMIF($C$91:$J$630,$C76,$E$91:$E$630)</f>
        <v>10</v>
      </c>
      <c r="F76" s="10">
        <f ca="1">SUMIF($C$91:$J$630,$C76,$F$91:$F$630)</f>
        <v>8</v>
      </c>
      <c r="G76" s="10">
        <f ca="1">SUMIF($C$91:$J$630,$C76,$G$91:$G$630)</f>
        <v>42</v>
      </c>
      <c r="H76" s="10">
        <f ca="1">SUMIF($C$91:$J$630,$C76,$H$91:$H$630)</f>
        <v>43</v>
      </c>
      <c r="I76" s="10">
        <f ca="1">SUMIF($C$91:$J$630,$C76,$I$91:$I$630)</f>
        <v>152</v>
      </c>
      <c r="J76" s="10">
        <f ca="1">SUMIF($C$91:$J$630,$C76,$J$91:$J$630)</f>
        <v>38</v>
      </c>
      <c r="K76" s="25">
        <f ca="1">J76/(D76*3)</f>
        <v>0.21111111111111111</v>
      </c>
      <c r="L76" s="27">
        <f ca="1">H76/D76</f>
        <v>0.71666666666666667</v>
      </c>
      <c r="M76" s="27">
        <f ca="1">I76/D76</f>
        <v>2.5333333333333332</v>
      </c>
      <c r="N76" s="10">
        <f ca="1">H76-I76</f>
        <v>-109</v>
      </c>
      <c r="O76">
        <f>B76-A76</f>
        <v>0</v>
      </c>
    </row>
    <row r="77" spans="1:15" x14ac:dyDescent="0.25">
      <c r="A77">
        <v>53</v>
      </c>
      <c r="B77">
        <v>53</v>
      </c>
      <c r="C77" s="4" t="s">
        <v>11</v>
      </c>
      <c r="D77" s="10">
        <f ca="1">SUMIF($C$91:$J$630,$C77,$D$91:$D$630)</f>
        <v>30</v>
      </c>
      <c r="E77" s="10">
        <f ca="1">SUMIF($C$91:$J$630,$C77,$E$91:$E$630)</f>
        <v>10</v>
      </c>
      <c r="F77" s="10">
        <f ca="1">SUMIF($C$91:$J$630,$C77,$F$91:$F$630)</f>
        <v>5</v>
      </c>
      <c r="G77" s="10">
        <f ca="1">SUMIF($C$91:$J$630,$C77,$G$91:$G$630)</f>
        <v>15</v>
      </c>
      <c r="H77" s="10">
        <f ca="1">SUMIF($C$91:$J$630,$C77,$H$91:$H$630)</f>
        <v>53</v>
      </c>
      <c r="I77" s="10">
        <f ca="1">SUMIF($C$91:$J$630,$C77,$I$91:$I$630)</f>
        <v>57</v>
      </c>
      <c r="J77" s="10">
        <f ca="1">SUMIF($C$91:$J$630,$C77,$J$91:$J$630)</f>
        <v>35</v>
      </c>
      <c r="K77" s="25">
        <f ca="1">J77/(D77*3)</f>
        <v>0.3888888888888889</v>
      </c>
      <c r="L77" s="27">
        <f ca="1">H77/D77</f>
        <v>1.7666666666666666</v>
      </c>
      <c r="M77" s="27">
        <f ca="1">I77/D77</f>
        <v>1.9</v>
      </c>
      <c r="N77" s="10">
        <f ca="1">H77-I77</f>
        <v>-4</v>
      </c>
      <c r="O77">
        <f>B77-A77</f>
        <v>0</v>
      </c>
    </row>
    <row r="78" spans="1:15" x14ac:dyDescent="0.25">
      <c r="A78">
        <v>54</v>
      </c>
      <c r="B78">
        <v>54</v>
      </c>
      <c r="C78" s="4" t="s">
        <v>12</v>
      </c>
      <c r="D78" s="10">
        <f ca="1">SUMIF($C$91:$J$630,$C78,$D$91:$D$630)</f>
        <v>30</v>
      </c>
      <c r="E78" s="10">
        <f ca="1">SUMIF($C$91:$J$630,$C78,$E$91:$E$630)</f>
        <v>10</v>
      </c>
      <c r="F78" s="10">
        <f ca="1">SUMIF($C$91:$J$630,$C78,$F$91:$F$630)</f>
        <v>5</v>
      </c>
      <c r="G78" s="10">
        <f ca="1">SUMIF($C$91:$J$630,$C78,$G$91:$G$630)</f>
        <v>15</v>
      </c>
      <c r="H78" s="10">
        <f ca="1">SUMIF($C$91:$J$630,$C78,$H$91:$H$630)</f>
        <v>27</v>
      </c>
      <c r="I78" s="10">
        <f ca="1">SUMIF($C$91:$J$630,$C78,$I$91:$I$630)</f>
        <v>50</v>
      </c>
      <c r="J78" s="10">
        <f ca="1">SUMIF($C$91:$J$630,$C78,$J$91:$J$630)</f>
        <v>35</v>
      </c>
      <c r="K78" s="25">
        <f ca="1">J78/(D78*3)</f>
        <v>0.3888888888888889</v>
      </c>
      <c r="L78" s="27">
        <f ca="1">H78/D78</f>
        <v>0.9</v>
      </c>
      <c r="M78" s="27">
        <f ca="1">I78/D78</f>
        <v>1.6666666666666667</v>
      </c>
      <c r="N78" s="10">
        <f ca="1">H78-I78</f>
        <v>-23</v>
      </c>
      <c r="O78">
        <f>B78-A78</f>
        <v>0</v>
      </c>
    </row>
    <row r="79" spans="1:15" x14ac:dyDescent="0.25">
      <c r="A79">
        <v>55</v>
      </c>
      <c r="B79">
        <v>55</v>
      </c>
      <c r="C79" s="4" t="s">
        <v>45</v>
      </c>
      <c r="D79" s="10">
        <f ca="1">SUMIF($C$91:$J$630,$C79,$D$91:$D$630)</f>
        <v>30</v>
      </c>
      <c r="E79" s="10">
        <f ca="1">SUMIF($C$91:$J$630,$C79,$E$91:$E$630)</f>
        <v>9</v>
      </c>
      <c r="F79" s="10">
        <f ca="1">SUMIF($C$91:$J$630,$C79,$F$91:$F$630)</f>
        <v>4</v>
      </c>
      <c r="G79" s="10">
        <f ca="1">SUMIF($C$91:$J$630,$C79,$G$91:$G$630)</f>
        <v>17</v>
      </c>
      <c r="H79" s="10">
        <f ca="1">SUMIF($C$91:$J$630,$C79,$H$91:$H$630)</f>
        <v>45</v>
      </c>
      <c r="I79" s="10">
        <f ca="1">SUMIF($C$91:$J$630,$C79,$I$91:$I$630)</f>
        <v>57</v>
      </c>
      <c r="J79" s="10">
        <f ca="1">SUMIF($C$91:$J$630,$C79,$J$91:$J$630)</f>
        <v>31</v>
      </c>
      <c r="K79" s="25">
        <f ca="1">J79/(D79*3)</f>
        <v>0.34444444444444444</v>
      </c>
      <c r="L79" s="27">
        <f ca="1">H79/D79</f>
        <v>1.5</v>
      </c>
      <c r="M79" s="27">
        <f ca="1">I79/D79</f>
        <v>1.9</v>
      </c>
      <c r="N79" s="10">
        <f ca="1">H79-I79</f>
        <v>-12</v>
      </c>
      <c r="O79">
        <f>B79-A79</f>
        <v>0</v>
      </c>
    </row>
    <row r="80" spans="1:15" x14ac:dyDescent="0.25">
      <c r="A80">
        <v>56</v>
      </c>
      <c r="B80">
        <v>56</v>
      </c>
      <c r="C80" s="4" t="s">
        <v>39</v>
      </c>
      <c r="D80" s="10">
        <f ca="1">SUMIF($C$91:$J$630,$C80,$D$91:$D$630)</f>
        <v>30</v>
      </c>
      <c r="E80" s="10">
        <f ca="1">SUMIF($C$91:$J$630,$C80,$E$91:$E$630)</f>
        <v>8</v>
      </c>
      <c r="F80" s="10">
        <f ca="1">SUMIF($C$91:$J$630,$C80,$F$91:$F$630)</f>
        <v>7</v>
      </c>
      <c r="G80" s="10">
        <f ca="1">SUMIF($C$91:$J$630,$C80,$G$91:$G$630)</f>
        <v>15</v>
      </c>
      <c r="H80" s="10">
        <f ca="1">SUMIF($C$91:$J$630,$C80,$H$91:$H$630)</f>
        <v>44</v>
      </c>
      <c r="I80" s="10">
        <f ca="1">SUMIF($C$91:$J$630,$C80,$I$91:$I$630)</f>
        <v>55</v>
      </c>
      <c r="J80" s="10">
        <f ca="1">SUMIF($C$91:$J$630,$C80,$J$91:$J$630)</f>
        <v>31</v>
      </c>
      <c r="K80" s="25">
        <f ca="1">J80/(D80*3)</f>
        <v>0.34444444444444444</v>
      </c>
      <c r="L80" s="27">
        <f ca="1">H80/D80</f>
        <v>1.4666666666666666</v>
      </c>
      <c r="M80" s="27">
        <f ca="1">I80/D80</f>
        <v>1.8333333333333333</v>
      </c>
      <c r="N80" s="10">
        <f ca="1">H80-I80</f>
        <v>-11</v>
      </c>
      <c r="O80">
        <f>B80-A80</f>
        <v>0</v>
      </c>
    </row>
    <row r="81" spans="1:15" x14ac:dyDescent="0.25">
      <c r="A81">
        <v>57</v>
      </c>
      <c r="B81">
        <v>57</v>
      </c>
      <c r="C81" s="4" t="s">
        <v>93</v>
      </c>
      <c r="D81" s="10">
        <f ca="1">SUMIF($C$91:$J$630,$C81,$D$91:$D$630)</f>
        <v>30</v>
      </c>
      <c r="E81" s="10">
        <f ca="1">SUMIF($C$91:$J$630,$C81,$E$91:$E$630)</f>
        <v>4</v>
      </c>
      <c r="F81" s="10">
        <f ca="1">SUMIF($C$91:$J$630,$C81,$F$91:$F$630)</f>
        <v>5</v>
      </c>
      <c r="G81" s="10">
        <f ca="1">SUMIF($C$91:$J$630,$C81,$G$91:$G$630)</f>
        <v>21</v>
      </c>
      <c r="H81" s="10">
        <f ca="1">SUMIF($C$91:$J$630,$C81,$H$91:$H$630)</f>
        <v>13</v>
      </c>
      <c r="I81" s="10">
        <f ca="1">SUMIF($C$91:$J$630,$C81,$I$91:$I$630)</f>
        <v>71</v>
      </c>
      <c r="J81" s="10">
        <f ca="1">SUMIF($C$91:$J$630,$C81,$J$91:$J$630)</f>
        <v>17</v>
      </c>
      <c r="K81" s="25">
        <f ca="1">J81/(D81*3)</f>
        <v>0.18888888888888888</v>
      </c>
      <c r="L81" s="27">
        <f ca="1">H81/D81</f>
        <v>0.43333333333333335</v>
      </c>
      <c r="M81" s="27">
        <f ca="1">I81/D81</f>
        <v>2.3666666666666667</v>
      </c>
      <c r="N81" s="10">
        <f ca="1">H81-I81</f>
        <v>-58</v>
      </c>
      <c r="O81">
        <f>B81-A81</f>
        <v>0</v>
      </c>
    </row>
    <row r="82" spans="1:15" x14ac:dyDescent="0.25">
      <c r="A82">
        <v>58</v>
      </c>
      <c r="B82">
        <v>58</v>
      </c>
      <c r="C82" s="4" t="s">
        <v>19</v>
      </c>
      <c r="D82" s="10">
        <f ca="1">SUMIF($C$91:$J$630,$C82,$D$91:$D$630)</f>
        <v>24</v>
      </c>
      <c r="E82" s="10">
        <f ca="1">SUMIF($C$91:$J$630,$C82,$E$91:$E$630)</f>
        <v>4</v>
      </c>
      <c r="F82" s="10">
        <f ca="1">SUMIF($C$91:$J$630,$C82,$F$91:$F$630)</f>
        <v>1</v>
      </c>
      <c r="G82" s="10">
        <f ca="1">SUMIF($C$91:$J$630,$C82,$G$91:$G$630)</f>
        <v>19</v>
      </c>
      <c r="H82" s="10">
        <f ca="1">SUMIF($C$91:$J$630,$C82,$H$91:$H$630)</f>
        <v>23</v>
      </c>
      <c r="I82" s="10">
        <f ca="1">SUMIF($C$91:$J$630,$C82,$I$91:$I$630)</f>
        <v>73</v>
      </c>
      <c r="J82" s="10">
        <f ca="1">SUMIF($C$91:$J$630,$C82,$J$91:$J$630)</f>
        <v>13</v>
      </c>
      <c r="K82" s="25">
        <f ca="1">J82/(D82*3)</f>
        <v>0.18055555555555555</v>
      </c>
      <c r="L82" s="27">
        <f ca="1">H82/D82</f>
        <v>0.95833333333333337</v>
      </c>
      <c r="M82" s="27">
        <f ca="1">I82/D82</f>
        <v>3.0416666666666665</v>
      </c>
      <c r="N82" s="10">
        <f ca="1">H82-I82</f>
        <v>-50</v>
      </c>
      <c r="O82">
        <f>B82-A82</f>
        <v>0</v>
      </c>
    </row>
    <row r="83" spans="1:15" x14ac:dyDescent="0.25">
      <c r="A83">
        <v>59</v>
      </c>
      <c r="B83">
        <v>59</v>
      </c>
      <c r="C83" t="s">
        <v>131</v>
      </c>
      <c r="D83" s="10">
        <f ca="1">SUMIF($C$91:$J$630,$C83,$D$91:$D$630)</f>
        <v>30</v>
      </c>
      <c r="E83" s="10">
        <f ca="1">SUMIF($C$91:$J$630,$C83,$E$91:$E$630)</f>
        <v>4</v>
      </c>
      <c r="F83" s="10">
        <f ca="1">SUMIF($C$91:$J$630,$C83,$F$91:$F$630)</f>
        <v>1</v>
      </c>
      <c r="G83" s="10">
        <f ca="1">SUMIF($C$91:$J$630,$C83,$G$91:$G$630)</f>
        <v>25</v>
      </c>
      <c r="H83" s="10">
        <f ca="1">SUMIF($C$91:$J$630,$C83,$H$91:$H$630)</f>
        <v>15</v>
      </c>
      <c r="I83" s="10">
        <f ca="1">SUMIF($C$91:$J$630,$C83,$I$91:$I$630)</f>
        <v>101</v>
      </c>
      <c r="J83" s="10">
        <f ca="1">SUMIF($C$91:$J$630,$C83,$J$91:$J$630)</f>
        <v>13</v>
      </c>
      <c r="K83" s="25">
        <f ca="1">J83/(D83*3)</f>
        <v>0.14444444444444443</v>
      </c>
      <c r="L83" s="27">
        <f ca="1">H83/D83</f>
        <v>0.5</v>
      </c>
      <c r="M83" s="27">
        <f ca="1">I83/D83</f>
        <v>3.3666666666666667</v>
      </c>
      <c r="N83" s="10">
        <f ca="1">H83-I83</f>
        <v>-86</v>
      </c>
      <c r="O83">
        <f>B83-A83</f>
        <v>0</v>
      </c>
    </row>
    <row r="84" spans="1:15" x14ac:dyDescent="0.25">
      <c r="A84">
        <v>60</v>
      </c>
      <c r="B84">
        <v>60</v>
      </c>
      <c r="C84" s="4" t="s">
        <v>20</v>
      </c>
      <c r="D84" s="10">
        <f ca="1">SUMIF($C$91:$J$630,$C84,$D$91:$D$630)</f>
        <v>14</v>
      </c>
      <c r="E84" s="10">
        <f ca="1">SUMIF($C$91:$J$630,$C84,$E$91:$E$630)</f>
        <v>2</v>
      </c>
      <c r="F84" s="10">
        <f ca="1">SUMIF($C$91:$J$630,$C84,$F$91:$F$630)</f>
        <v>1</v>
      </c>
      <c r="G84" s="10">
        <f ca="1">SUMIF($C$91:$J$630,$C84,$G$91:$G$630)</f>
        <v>11</v>
      </c>
      <c r="H84" s="10">
        <f ca="1">SUMIF($C$91:$J$630,$C84,$H$91:$H$630)</f>
        <v>13</v>
      </c>
      <c r="I84" s="10">
        <f ca="1">SUMIF($C$91:$J$630,$C84,$I$91:$I$630)</f>
        <v>48</v>
      </c>
      <c r="J84" s="10">
        <f ca="1">SUMIF($C$91:$J$630,$C84,$J$91:$J$630)</f>
        <v>7</v>
      </c>
      <c r="K84" s="25">
        <f ca="1">J84/(D84*3)</f>
        <v>0.16666666666666666</v>
      </c>
      <c r="L84" s="27">
        <f ca="1">H84/D84</f>
        <v>0.9285714285714286</v>
      </c>
      <c r="M84" s="27">
        <f ca="1">I84/D84</f>
        <v>3.4285714285714284</v>
      </c>
      <c r="N84" s="10">
        <f ca="1">H84-I84</f>
        <v>-35</v>
      </c>
      <c r="O84">
        <f>B84-A84</f>
        <v>0</v>
      </c>
    </row>
    <row r="85" spans="1:15" x14ac:dyDescent="0.25">
      <c r="A85">
        <v>61</v>
      </c>
      <c r="B85">
        <v>61</v>
      </c>
      <c r="C85" s="4" t="s">
        <v>21</v>
      </c>
      <c r="D85" s="10">
        <f ca="1">SUMIF($C$91:$J$630,$C85,$D$91:$D$630)</f>
        <v>27</v>
      </c>
      <c r="E85" s="10">
        <f ca="1">SUMIF($C$91:$J$630,$C85,$E$91:$E$630)</f>
        <v>2</v>
      </c>
      <c r="F85" s="10">
        <f ca="1">SUMIF($C$91:$J$630,$C85,$F$91:$F$630)</f>
        <v>1</v>
      </c>
      <c r="G85" s="10">
        <f ca="1">SUMIF($C$91:$J$630,$C85,$G$91:$G$630)</f>
        <v>24</v>
      </c>
      <c r="H85" s="10">
        <f ca="1">SUMIF($C$91:$J$630,$C85,$H$91:$H$630)</f>
        <v>14</v>
      </c>
      <c r="I85" s="10">
        <f ca="1">SUMIF($C$91:$J$630,$C85,$I$91:$I$630)</f>
        <v>82</v>
      </c>
      <c r="J85" s="10">
        <f ca="1">SUMIF($C$91:$J$630,$C85,$J$91:$J$630)</f>
        <v>7</v>
      </c>
      <c r="K85" s="25">
        <f ca="1">J85/(D85*3)</f>
        <v>8.6419753086419748E-2</v>
      </c>
      <c r="L85" s="27">
        <f ca="1">H85/D85</f>
        <v>0.51851851851851849</v>
      </c>
      <c r="M85" s="27">
        <f ca="1">I85/D85</f>
        <v>3.0370370370370372</v>
      </c>
      <c r="N85" s="10">
        <f ca="1">H85-I85</f>
        <v>-68</v>
      </c>
      <c r="O85">
        <f>B85-A85</f>
        <v>0</v>
      </c>
    </row>
    <row r="86" spans="1:15" x14ac:dyDescent="0.25">
      <c r="A86">
        <v>62</v>
      </c>
      <c r="B86">
        <v>62</v>
      </c>
      <c r="C86" t="s">
        <v>157</v>
      </c>
      <c r="D86" s="10">
        <f ca="1">SUMIF($C$91:$J$630,$C86,$D$91:$D$630)</f>
        <v>30</v>
      </c>
      <c r="E86" s="10">
        <f ca="1">SUMIF($C$91:$J$630,$C86,$E$91:$E$630)</f>
        <v>2</v>
      </c>
      <c r="F86" s="10">
        <f ca="1">SUMIF($C$91:$J$630,$C86,$F$91:$F$630)</f>
        <v>1</v>
      </c>
      <c r="G86" s="10">
        <f ca="1">SUMIF($C$91:$J$630,$C86,$G$91:$G$630)</f>
        <v>27</v>
      </c>
      <c r="H86" s="10">
        <f ca="1">SUMIF($C$91:$J$630,$C86,$H$91:$H$630)</f>
        <v>11</v>
      </c>
      <c r="I86" s="10">
        <f ca="1">SUMIF($C$91:$J$630,$C86,$I$91:$I$630)</f>
        <v>109</v>
      </c>
      <c r="J86" s="10">
        <f ca="1">SUMIF($C$91:$J$630,$C86,$J$91:$J$630)</f>
        <v>7</v>
      </c>
      <c r="K86" s="25">
        <f ca="1">J86/(D86*3)</f>
        <v>7.7777777777777779E-2</v>
      </c>
      <c r="L86" s="27">
        <f ca="1">H86/D86</f>
        <v>0.36666666666666664</v>
      </c>
      <c r="M86" s="27">
        <f ca="1">I86/D86</f>
        <v>3.6333333333333333</v>
      </c>
      <c r="N86" s="10">
        <f ca="1">H86-I86</f>
        <v>-98</v>
      </c>
      <c r="O86">
        <f>B86-A86</f>
        <v>0</v>
      </c>
    </row>
    <row r="90" spans="1:15" x14ac:dyDescent="0.25">
      <c r="B90" s="35" t="s">
        <v>156</v>
      </c>
      <c r="C90" s="35"/>
      <c r="D90" s="35"/>
      <c r="E90" s="35"/>
      <c r="F90" s="35"/>
      <c r="G90" s="35"/>
      <c r="H90" s="35"/>
      <c r="I90" s="35"/>
      <c r="J90" s="35"/>
    </row>
    <row r="91" spans="1:15" x14ac:dyDescent="0.25">
      <c r="B91">
        <v>1</v>
      </c>
      <c r="C91" t="s">
        <v>92</v>
      </c>
      <c r="D91">
        <v>30</v>
      </c>
      <c r="E91">
        <v>26</v>
      </c>
      <c r="F91">
        <v>2</v>
      </c>
      <c r="G91">
        <v>2</v>
      </c>
      <c r="H91">
        <v>89</v>
      </c>
      <c r="I91">
        <v>13</v>
      </c>
      <c r="J91">
        <v>80</v>
      </c>
    </row>
    <row r="92" spans="1:15" x14ac:dyDescent="0.25">
      <c r="B92">
        <v>2</v>
      </c>
      <c r="C92" t="s">
        <v>43</v>
      </c>
      <c r="D92">
        <v>30</v>
      </c>
      <c r="E92">
        <v>20</v>
      </c>
      <c r="F92">
        <v>4</v>
      </c>
      <c r="G92">
        <v>6</v>
      </c>
      <c r="H92">
        <v>67</v>
      </c>
      <c r="I92">
        <v>23</v>
      </c>
      <c r="J92">
        <v>64</v>
      </c>
    </row>
    <row r="93" spans="1:15" x14ac:dyDescent="0.25">
      <c r="B93">
        <v>3</v>
      </c>
      <c r="C93" t="s">
        <v>70</v>
      </c>
      <c r="D93">
        <v>30</v>
      </c>
      <c r="E93">
        <v>19</v>
      </c>
      <c r="F93">
        <v>2</v>
      </c>
      <c r="G93">
        <v>9</v>
      </c>
      <c r="H93">
        <v>77</v>
      </c>
      <c r="I93">
        <v>30</v>
      </c>
      <c r="J93">
        <v>59</v>
      </c>
    </row>
    <row r="94" spans="1:15" x14ac:dyDescent="0.25">
      <c r="B94">
        <v>4</v>
      </c>
      <c r="C94" t="s">
        <v>64</v>
      </c>
      <c r="D94">
        <v>30</v>
      </c>
      <c r="E94">
        <v>18</v>
      </c>
      <c r="F94">
        <v>5</v>
      </c>
      <c r="G94">
        <v>7</v>
      </c>
      <c r="H94">
        <v>56</v>
      </c>
      <c r="I94">
        <v>20</v>
      </c>
      <c r="J94">
        <v>59</v>
      </c>
    </row>
    <row r="95" spans="1:15" x14ac:dyDescent="0.25">
      <c r="B95">
        <v>5</v>
      </c>
      <c r="C95" t="s">
        <v>32</v>
      </c>
      <c r="D95">
        <v>30</v>
      </c>
      <c r="E95">
        <v>16</v>
      </c>
      <c r="F95">
        <v>5</v>
      </c>
      <c r="G95">
        <v>9</v>
      </c>
      <c r="H95">
        <v>44</v>
      </c>
      <c r="I95">
        <v>25</v>
      </c>
      <c r="J95">
        <v>53</v>
      </c>
    </row>
    <row r="96" spans="1:15" x14ac:dyDescent="0.25">
      <c r="B96">
        <v>6</v>
      </c>
      <c r="C96" t="s">
        <v>33</v>
      </c>
      <c r="D96">
        <v>30</v>
      </c>
      <c r="E96">
        <v>15</v>
      </c>
      <c r="F96">
        <v>6</v>
      </c>
      <c r="G96">
        <v>9</v>
      </c>
      <c r="H96">
        <v>64</v>
      </c>
      <c r="I96">
        <v>35</v>
      </c>
      <c r="J96">
        <v>51</v>
      </c>
    </row>
    <row r="97" spans="2:10" x14ac:dyDescent="0.25">
      <c r="B97">
        <v>7</v>
      </c>
      <c r="C97" t="s">
        <v>58</v>
      </c>
      <c r="D97">
        <v>30</v>
      </c>
      <c r="E97">
        <v>13</v>
      </c>
      <c r="F97">
        <v>9</v>
      </c>
      <c r="G97">
        <v>8</v>
      </c>
      <c r="H97">
        <v>41</v>
      </c>
      <c r="I97">
        <v>29</v>
      </c>
      <c r="J97">
        <v>48</v>
      </c>
    </row>
    <row r="98" spans="2:10" x14ac:dyDescent="0.25">
      <c r="B98">
        <v>8</v>
      </c>
      <c r="C98" t="s">
        <v>71</v>
      </c>
      <c r="D98">
        <v>30</v>
      </c>
      <c r="E98">
        <v>14</v>
      </c>
      <c r="F98">
        <v>5</v>
      </c>
      <c r="G98">
        <v>11</v>
      </c>
      <c r="H98">
        <v>58</v>
      </c>
      <c r="I98">
        <v>42</v>
      </c>
      <c r="J98">
        <v>47</v>
      </c>
    </row>
    <row r="99" spans="2:10" x14ac:dyDescent="0.25">
      <c r="B99">
        <v>9</v>
      </c>
      <c r="C99" t="s">
        <v>112</v>
      </c>
      <c r="D99">
        <v>30</v>
      </c>
      <c r="E99">
        <v>12</v>
      </c>
      <c r="F99">
        <v>9</v>
      </c>
      <c r="G99">
        <v>9</v>
      </c>
      <c r="H99">
        <v>34</v>
      </c>
      <c r="I99">
        <v>31</v>
      </c>
      <c r="J99">
        <v>45</v>
      </c>
    </row>
    <row r="100" spans="2:10" x14ac:dyDescent="0.25">
      <c r="B100">
        <v>10</v>
      </c>
      <c r="C100" t="s">
        <v>130</v>
      </c>
      <c r="D100">
        <v>30</v>
      </c>
      <c r="E100">
        <v>12</v>
      </c>
      <c r="F100">
        <v>3</v>
      </c>
      <c r="G100">
        <v>15</v>
      </c>
      <c r="H100">
        <v>51</v>
      </c>
      <c r="I100">
        <v>53</v>
      </c>
      <c r="J100">
        <v>39</v>
      </c>
    </row>
    <row r="101" spans="2:10" x14ac:dyDescent="0.25">
      <c r="B101">
        <v>11</v>
      </c>
      <c r="C101" t="s">
        <v>115</v>
      </c>
      <c r="D101">
        <v>30</v>
      </c>
      <c r="E101">
        <v>11</v>
      </c>
      <c r="F101">
        <v>3</v>
      </c>
      <c r="G101">
        <v>16</v>
      </c>
      <c r="H101">
        <v>40</v>
      </c>
      <c r="I101">
        <v>72</v>
      </c>
      <c r="J101">
        <v>36</v>
      </c>
    </row>
    <row r="102" spans="2:10" x14ac:dyDescent="0.25">
      <c r="B102">
        <v>12</v>
      </c>
      <c r="C102" t="s">
        <v>76</v>
      </c>
      <c r="D102">
        <v>30</v>
      </c>
      <c r="E102">
        <v>11</v>
      </c>
      <c r="F102">
        <v>1</v>
      </c>
      <c r="G102">
        <v>18</v>
      </c>
      <c r="H102">
        <v>38</v>
      </c>
      <c r="I102">
        <v>55</v>
      </c>
      <c r="J102">
        <v>34</v>
      </c>
    </row>
    <row r="103" spans="2:10" x14ac:dyDescent="0.25">
      <c r="B103">
        <v>13</v>
      </c>
      <c r="C103" t="s">
        <v>73</v>
      </c>
      <c r="D103">
        <v>30</v>
      </c>
      <c r="E103">
        <v>9</v>
      </c>
      <c r="F103">
        <v>4</v>
      </c>
      <c r="G103">
        <v>17</v>
      </c>
      <c r="H103">
        <v>43</v>
      </c>
      <c r="I103">
        <v>68</v>
      </c>
      <c r="J103">
        <v>31</v>
      </c>
    </row>
    <row r="104" spans="2:10" x14ac:dyDescent="0.25">
      <c r="B104">
        <v>14</v>
      </c>
      <c r="C104" t="s">
        <v>128</v>
      </c>
      <c r="D104">
        <v>30</v>
      </c>
      <c r="E104">
        <v>8</v>
      </c>
      <c r="F104">
        <v>3</v>
      </c>
      <c r="G104">
        <v>19</v>
      </c>
      <c r="H104">
        <v>34</v>
      </c>
      <c r="I104">
        <v>52</v>
      </c>
      <c r="J104">
        <v>27</v>
      </c>
    </row>
    <row r="105" spans="2:10" x14ac:dyDescent="0.25">
      <c r="B105">
        <v>15</v>
      </c>
      <c r="C105" t="s">
        <v>56</v>
      </c>
      <c r="D105">
        <v>30</v>
      </c>
      <c r="E105">
        <v>3</v>
      </c>
      <c r="F105">
        <v>0</v>
      </c>
      <c r="G105">
        <v>27</v>
      </c>
      <c r="H105">
        <v>8</v>
      </c>
      <c r="I105">
        <v>98</v>
      </c>
      <c r="J105">
        <v>9</v>
      </c>
    </row>
    <row r="106" spans="2:10" x14ac:dyDescent="0.25">
      <c r="B106">
        <v>16</v>
      </c>
      <c r="C106" t="s">
        <v>157</v>
      </c>
      <c r="D106">
        <v>30</v>
      </c>
      <c r="E106">
        <v>2</v>
      </c>
      <c r="F106">
        <v>1</v>
      </c>
      <c r="G106">
        <v>27</v>
      </c>
      <c r="H106">
        <v>11</v>
      </c>
      <c r="I106">
        <v>109</v>
      </c>
      <c r="J106">
        <v>7</v>
      </c>
    </row>
    <row r="108" spans="2:10" x14ac:dyDescent="0.25">
      <c r="B108" s="35" t="s">
        <v>134</v>
      </c>
      <c r="C108" s="35"/>
      <c r="D108" s="35"/>
      <c r="E108" s="35"/>
      <c r="F108" s="35"/>
      <c r="G108" s="35"/>
      <c r="H108" s="35"/>
      <c r="I108" s="35"/>
      <c r="J108" s="35"/>
    </row>
    <row r="109" spans="2:10" x14ac:dyDescent="0.25">
      <c r="B109">
        <v>1</v>
      </c>
      <c r="C109" t="s">
        <v>64</v>
      </c>
      <c r="D109">
        <v>30</v>
      </c>
      <c r="E109">
        <v>26</v>
      </c>
      <c r="F109">
        <v>1</v>
      </c>
      <c r="G109">
        <v>3</v>
      </c>
      <c r="H109">
        <v>108</v>
      </c>
      <c r="I109">
        <v>23</v>
      </c>
      <c r="J109">
        <v>79</v>
      </c>
    </row>
    <row r="110" spans="2:10" x14ac:dyDescent="0.25">
      <c r="B110">
        <v>2</v>
      </c>
      <c r="C110" t="s">
        <v>92</v>
      </c>
      <c r="D110">
        <v>30</v>
      </c>
      <c r="E110">
        <v>26</v>
      </c>
      <c r="F110">
        <v>1</v>
      </c>
      <c r="G110">
        <v>3</v>
      </c>
      <c r="H110">
        <v>88</v>
      </c>
      <c r="I110">
        <v>16</v>
      </c>
      <c r="J110">
        <v>79</v>
      </c>
    </row>
    <row r="111" spans="2:10" x14ac:dyDescent="0.25">
      <c r="B111">
        <v>3</v>
      </c>
      <c r="C111" t="s">
        <v>70</v>
      </c>
      <c r="D111">
        <v>30</v>
      </c>
      <c r="E111">
        <v>23</v>
      </c>
      <c r="F111">
        <v>0</v>
      </c>
      <c r="G111">
        <v>7</v>
      </c>
      <c r="H111">
        <v>101</v>
      </c>
      <c r="I111">
        <v>30</v>
      </c>
      <c r="J111">
        <v>69</v>
      </c>
    </row>
    <row r="112" spans="2:10" x14ac:dyDescent="0.25">
      <c r="B112">
        <v>4</v>
      </c>
      <c r="C112" t="s">
        <v>33</v>
      </c>
      <c r="D112">
        <v>30</v>
      </c>
      <c r="E112">
        <v>22</v>
      </c>
      <c r="F112">
        <v>1</v>
      </c>
      <c r="G112">
        <v>7</v>
      </c>
      <c r="H112">
        <v>90</v>
      </c>
      <c r="I112">
        <v>31</v>
      </c>
      <c r="J112">
        <v>67</v>
      </c>
    </row>
    <row r="113" spans="2:11" x14ac:dyDescent="0.25">
      <c r="B113">
        <v>5</v>
      </c>
      <c r="C113" t="s">
        <v>58</v>
      </c>
      <c r="D113">
        <v>30</v>
      </c>
      <c r="E113">
        <v>17</v>
      </c>
      <c r="F113">
        <v>5</v>
      </c>
      <c r="G113">
        <v>8</v>
      </c>
      <c r="H113">
        <v>70</v>
      </c>
      <c r="I113">
        <v>29</v>
      </c>
      <c r="J113">
        <v>56</v>
      </c>
    </row>
    <row r="114" spans="2:11" x14ac:dyDescent="0.25">
      <c r="B114">
        <v>6</v>
      </c>
      <c r="C114" t="s">
        <v>32</v>
      </c>
      <c r="D114">
        <v>30</v>
      </c>
      <c r="E114">
        <v>17</v>
      </c>
      <c r="F114">
        <v>2</v>
      </c>
      <c r="G114">
        <v>11</v>
      </c>
      <c r="H114">
        <v>58</v>
      </c>
      <c r="I114">
        <v>34</v>
      </c>
      <c r="J114">
        <v>53</v>
      </c>
    </row>
    <row r="115" spans="2:11" x14ac:dyDescent="0.25">
      <c r="B115">
        <v>7</v>
      </c>
      <c r="C115" t="s">
        <v>71</v>
      </c>
      <c r="D115">
        <v>30</v>
      </c>
      <c r="E115">
        <v>16</v>
      </c>
      <c r="F115">
        <v>4</v>
      </c>
      <c r="G115">
        <v>10</v>
      </c>
      <c r="H115">
        <v>65</v>
      </c>
      <c r="I115">
        <v>38</v>
      </c>
      <c r="J115">
        <v>52</v>
      </c>
    </row>
    <row r="116" spans="2:11" x14ac:dyDescent="0.25">
      <c r="B116">
        <v>8</v>
      </c>
      <c r="C116" t="s">
        <v>43</v>
      </c>
      <c r="D116">
        <v>30</v>
      </c>
      <c r="E116">
        <v>14</v>
      </c>
      <c r="F116">
        <v>6</v>
      </c>
      <c r="G116">
        <v>10</v>
      </c>
      <c r="H116">
        <v>50</v>
      </c>
      <c r="I116">
        <v>39</v>
      </c>
      <c r="J116">
        <v>48</v>
      </c>
    </row>
    <row r="117" spans="2:11" x14ac:dyDescent="0.25">
      <c r="B117">
        <v>9</v>
      </c>
      <c r="C117" t="s">
        <v>130</v>
      </c>
      <c r="D117">
        <v>30</v>
      </c>
      <c r="E117">
        <v>12</v>
      </c>
      <c r="F117">
        <v>5</v>
      </c>
      <c r="G117">
        <v>13</v>
      </c>
      <c r="H117">
        <v>45</v>
      </c>
      <c r="I117">
        <v>51</v>
      </c>
      <c r="J117">
        <v>41</v>
      </c>
    </row>
    <row r="118" spans="2:11" x14ac:dyDescent="0.25">
      <c r="B118">
        <v>10</v>
      </c>
      <c r="C118" t="s">
        <v>112</v>
      </c>
      <c r="D118">
        <v>30</v>
      </c>
      <c r="E118">
        <v>11</v>
      </c>
      <c r="F118">
        <v>4</v>
      </c>
      <c r="G118">
        <v>15</v>
      </c>
      <c r="H118">
        <v>33</v>
      </c>
      <c r="I118">
        <v>53</v>
      </c>
      <c r="J118">
        <v>37</v>
      </c>
    </row>
    <row r="119" spans="2:11" x14ac:dyDescent="0.25">
      <c r="B119">
        <v>11</v>
      </c>
      <c r="C119" t="s">
        <v>128</v>
      </c>
      <c r="D119">
        <v>30</v>
      </c>
      <c r="E119">
        <v>10</v>
      </c>
      <c r="F119">
        <v>1</v>
      </c>
      <c r="G119">
        <v>19</v>
      </c>
      <c r="H119">
        <v>44</v>
      </c>
      <c r="I119">
        <v>67</v>
      </c>
      <c r="J119">
        <v>31</v>
      </c>
    </row>
    <row r="120" spans="2:11" x14ac:dyDescent="0.25">
      <c r="B120">
        <v>12</v>
      </c>
      <c r="C120" t="s">
        <v>73</v>
      </c>
      <c r="D120">
        <v>30</v>
      </c>
      <c r="E120">
        <v>9</v>
      </c>
      <c r="F120">
        <v>2</v>
      </c>
      <c r="G120">
        <v>19</v>
      </c>
      <c r="H120">
        <v>32</v>
      </c>
      <c r="I120">
        <v>80</v>
      </c>
      <c r="J120">
        <v>29</v>
      </c>
    </row>
    <row r="121" spans="2:11" x14ac:dyDescent="0.25">
      <c r="B121">
        <v>13</v>
      </c>
      <c r="C121" t="s">
        <v>76</v>
      </c>
      <c r="D121">
        <v>30</v>
      </c>
      <c r="E121">
        <v>8</v>
      </c>
      <c r="F121">
        <v>2</v>
      </c>
      <c r="G121">
        <v>20</v>
      </c>
      <c r="H121">
        <v>30</v>
      </c>
      <c r="I121">
        <v>81</v>
      </c>
      <c r="J121">
        <v>26</v>
      </c>
    </row>
    <row r="122" spans="2:11" x14ac:dyDescent="0.25">
      <c r="B122">
        <v>14</v>
      </c>
      <c r="C122" t="s">
        <v>115</v>
      </c>
      <c r="D122">
        <v>30</v>
      </c>
      <c r="E122">
        <v>8</v>
      </c>
      <c r="F122">
        <v>1</v>
      </c>
      <c r="G122">
        <v>21</v>
      </c>
      <c r="H122">
        <v>40</v>
      </c>
      <c r="I122">
        <v>61</v>
      </c>
      <c r="J122">
        <v>25</v>
      </c>
    </row>
    <row r="123" spans="2:11" x14ac:dyDescent="0.25">
      <c r="B123">
        <v>15</v>
      </c>
      <c r="C123" t="s">
        <v>68</v>
      </c>
      <c r="D123">
        <v>30</v>
      </c>
      <c r="E123">
        <v>1</v>
      </c>
      <c r="F123">
        <v>2</v>
      </c>
      <c r="G123">
        <v>27</v>
      </c>
      <c r="H123">
        <v>18</v>
      </c>
      <c r="I123">
        <v>104</v>
      </c>
      <c r="J123">
        <v>5</v>
      </c>
    </row>
    <row r="124" spans="2:11" x14ac:dyDescent="0.25">
      <c r="B124">
        <v>16</v>
      </c>
      <c r="C124" t="s">
        <v>133</v>
      </c>
      <c r="D124">
        <v>22</v>
      </c>
      <c r="E124">
        <v>0</v>
      </c>
      <c r="F124">
        <v>0</v>
      </c>
      <c r="G124">
        <v>22</v>
      </c>
      <c r="H124">
        <v>8</v>
      </c>
      <c r="I124">
        <v>127</v>
      </c>
      <c r="J124">
        <v>0</v>
      </c>
    </row>
    <row r="126" spans="2:11" x14ac:dyDescent="0.25">
      <c r="K126" s="25"/>
    </row>
    <row r="127" spans="2:11" x14ac:dyDescent="0.25">
      <c r="B127" s="35" t="s">
        <v>132</v>
      </c>
      <c r="C127" s="35"/>
      <c r="D127" s="35"/>
      <c r="E127" s="35"/>
      <c r="F127" s="35"/>
      <c r="G127" s="35"/>
      <c r="H127" s="35"/>
      <c r="I127" s="35"/>
      <c r="J127" s="35"/>
      <c r="K127" s="25"/>
    </row>
    <row r="128" spans="2:11" x14ac:dyDescent="0.25">
      <c r="B128">
        <v>1</v>
      </c>
      <c r="C128" t="s">
        <v>70</v>
      </c>
      <c r="D128">
        <v>30</v>
      </c>
      <c r="E128">
        <v>23</v>
      </c>
      <c r="F128">
        <v>3</v>
      </c>
      <c r="G128">
        <v>4</v>
      </c>
      <c r="H128">
        <v>95</v>
      </c>
      <c r="I128">
        <v>30</v>
      </c>
      <c r="J128">
        <v>72</v>
      </c>
      <c r="K128" s="25"/>
    </row>
    <row r="129" spans="2:10" x14ac:dyDescent="0.25">
      <c r="B129">
        <v>2</v>
      </c>
      <c r="C129" t="s">
        <v>92</v>
      </c>
      <c r="D129">
        <v>30</v>
      </c>
      <c r="E129">
        <v>21</v>
      </c>
      <c r="F129">
        <v>4</v>
      </c>
      <c r="G129">
        <v>5</v>
      </c>
      <c r="H129">
        <v>78</v>
      </c>
      <c r="I129">
        <v>22</v>
      </c>
      <c r="J129">
        <v>67</v>
      </c>
    </row>
    <row r="130" spans="2:10" x14ac:dyDescent="0.25">
      <c r="B130">
        <v>3</v>
      </c>
      <c r="C130" t="s">
        <v>43</v>
      </c>
      <c r="D130">
        <v>30</v>
      </c>
      <c r="E130">
        <v>22</v>
      </c>
      <c r="F130">
        <v>1</v>
      </c>
      <c r="G130">
        <v>7</v>
      </c>
      <c r="H130">
        <v>76</v>
      </c>
      <c r="I130">
        <v>29</v>
      </c>
      <c r="J130">
        <v>67</v>
      </c>
    </row>
    <row r="131" spans="2:10" x14ac:dyDescent="0.25">
      <c r="B131">
        <v>4</v>
      </c>
      <c r="C131" t="s">
        <v>58</v>
      </c>
      <c r="D131">
        <v>30</v>
      </c>
      <c r="E131">
        <v>20</v>
      </c>
      <c r="F131">
        <v>5</v>
      </c>
      <c r="G131">
        <v>5</v>
      </c>
      <c r="H131">
        <v>72</v>
      </c>
      <c r="I131">
        <v>25</v>
      </c>
      <c r="J131">
        <v>65</v>
      </c>
    </row>
    <row r="132" spans="2:10" x14ac:dyDescent="0.25">
      <c r="B132">
        <v>5</v>
      </c>
      <c r="C132" t="s">
        <v>33</v>
      </c>
      <c r="D132">
        <v>30</v>
      </c>
      <c r="E132">
        <v>20</v>
      </c>
      <c r="F132">
        <v>4</v>
      </c>
      <c r="G132">
        <v>6</v>
      </c>
      <c r="H132">
        <v>90</v>
      </c>
      <c r="I132">
        <v>36</v>
      </c>
      <c r="J132">
        <v>64</v>
      </c>
    </row>
    <row r="133" spans="2:10" x14ac:dyDescent="0.25">
      <c r="B133">
        <v>6</v>
      </c>
      <c r="C133" t="s">
        <v>64</v>
      </c>
      <c r="D133">
        <v>30</v>
      </c>
      <c r="E133">
        <v>18</v>
      </c>
      <c r="F133">
        <v>3</v>
      </c>
      <c r="G133">
        <v>9</v>
      </c>
      <c r="H133">
        <v>76</v>
      </c>
      <c r="I133">
        <v>29</v>
      </c>
      <c r="J133">
        <v>57</v>
      </c>
    </row>
    <row r="134" spans="2:10" x14ac:dyDescent="0.25">
      <c r="B134">
        <v>7</v>
      </c>
      <c r="C134" t="s">
        <v>32</v>
      </c>
      <c r="D134">
        <v>30</v>
      </c>
      <c r="E134">
        <v>16</v>
      </c>
      <c r="F134">
        <v>4</v>
      </c>
      <c r="G134">
        <v>10</v>
      </c>
      <c r="H134">
        <v>65</v>
      </c>
      <c r="I134">
        <v>35</v>
      </c>
      <c r="J134">
        <v>52</v>
      </c>
    </row>
    <row r="135" spans="2:10" x14ac:dyDescent="0.25">
      <c r="B135">
        <v>8</v>
      </c>
      <c r="C135" t="s">
        <v>71</v>
      </c>
      <c r="D135">
        <v>30</v>
      </c>
      <c r="E135">
        <v>13</v>
      </c>
      <c r="F135">
        <v>5</v>
      </c>
      <c r="G135">
        <v>12</v>
      </c>
      <c r="H135">
        <v>46</v>
      </c>
      <c r="I135">
        <v>52</v>
      </c>
      <c r="J135">
        <v>44</v>
      </c>
    </row>
    <row r="136" spans="2:10" x14ac:dyDescent="0.25">
      <c r="B136">
        <v>9</v>
      </c>
      <c r="C136" t="s">
        <v>73</v>
      </c>
      <c r="D136">
        <v>30</v>
      </c>
      <c r="E136">
        <v>13</v>
      </c>
      <c r="F136">
        <v>5</v>
      </c>
      <c r="G136">
        <v>12</v>
      </c>
      <c r="H136">
        <v>44</v>
      </c>
      <c r="I136">
        <v>52</v>
      </c>
      <c r="J136">
        <v>44</v>
      </c>
    </row>
    <row r="137" spans="2:10" x14ac:dyDescent="0.25">
      <c r="B137">
        <v>10</v>
      </c>
      <c r="C137" t="s">
        <v>130</v>
      </c>
      <c r="D137">
        <v>30</v>
      </c>
      <c r="E137">
        <v>12</v>
      </c>
      <c r="F137">
        <v>2</v>
      </c>
      <c r="G137">
        <v>16</v>
      </c>
      <c r="H137">
        <v>50</v>
      </c>
      <c r="I137">
        <v>50</v>
      </c>
      <c r="J137">
        <v>38</v>
      </c>
    </row>
    <row r="138" spans="2:10" x14ac:dyDescent="0.25">
      <c r="B138">
        <v>11</v>
      </c>
      <c r="C138" t="s">
        <v>112</v>
      </c>
      <c r="D138">
        <v>30</v>
      </c>
      <c r="E138">
        <v>9</v>
      </c>
      <c r="F138">
        <v>4</v>
      </c>
      <c r="G138">
        <v>17</v>
      </c>
      <c r="H138">
        <v>37</v>
      </c>
      <c r="I138">
        <v>64</v>
      </c>
      <c r="J138">
        <v>31</v>
      </c>
    </row>
    <row r="139" spans="2:10" x14ac:dyDescent="0.25">
      <c r="B139">
        <v>12</v>
      </c>
      <c r="C139" t="s">
        <v>128</v>
      </c>
      <c r="D139">
        <v>30</v>
      </c>
      <c r="E139">
        <v>6</v>
      </c>
      <c r="F139">
        <v>8</v>
      </c>
      <c r="G139">
        <v>16</v>
      </c>
      <c r="H139">
        <v>39</v>
      </c>
      <c r="I139">
        <v>56</v>
      </c>
      <c r="J139">
        <v>26</v>
      </c>
    </row>
    <row r="140" spans="2:10" x14ac:dyDescent="0.25">
      <c r="B140">
        <v>13</v>
      </c>
      <c r="C140" t="s">
        <v>76</v>
      </c>
      <c r="D140">
        <v>30</v>
      </c>
      <c r="E140">
        <v>5</v>
      </c>
      <c r="F140">
        <v>6</v>
      </c>
      <c r="G140">
        <v>19</v>
      </c>
      <c r="H140">
        <v>29</v>
      </c>
      <c r="I140">
        <v>61</v>
      </c>
      <c r="J140">
        <v>21</v>
      </c>
    </row>
    <row r="141" spans="2:10" x14ac:dyDescent="0.25">
      <c r="B141">
        <v>14</v>
      </c>
      <c r="C141" t="s">
        <v>115</v>
      </c>
      <c r="D141">
        <v>30</v>
      </c>
      <c r="E141">
        <v>4</v>
      </c>
      <c r="F141">
        <v>6</v>
      </c>
      <c r="G141">
        <v>20</v>
      </c>
      <c r="H141">
        <v>19</v>
      </c>
      <c r="I141">
        <v>67</v>
      </c>
      <c r="J141">
        <v>18</v>
      </c>
    </row>
    <row r="142" spans="2:10" x14ac:dyDescent="0.25">
      <c r="B142">
        <v>15</v>
      </c>
      <c r="C142" t="s">
        <v>131</v>
      </c>
      <c r="D142">
        <v>30</v>
      </c>
      <c r="E142">
        <v>4</v>
      </c>
      <c r="F142">
        <v>1</v>
      </c>
      <c r="G142">
        <v>25</v>
      </c>
      <c r="H142">
        <v>15</v>
      </c>
      <c r="I142">
        <v>101</v>
      </c>
      <c r="J142">
        <v>13</v>
      </c>
    </row>
    <row r="143" spans="2:10" x14ac:dyDescent="0.25">
      <c r="B143">
        <v>16</v>
      </c>
      <c r="C143" t="s">
        <v>114</v>
      </c>
      <c r="D143">
        <v>30</v>
      </c>
      <c r="E143">
        <v>3</v>
      </c>
      <c r="F143">
        <v>1</v>
      </c>
      <c r="G143">
        <v>26</v>
      </c>
      <c r="H143">
        <v>26</v>
      </c>
      <c r="I143">
        <v>148</v>
      </c>
      <c r="J143">
        <v>10</v>
      </c>
    </row>
    <row r="145" spans="2:11" x14ac:dyDescent="0.25">
      <c r="I145" s="32"/>
      <c r="J145" s="32"/>
    </row>
    <row r="146" spans="2:11" x14ac:dyDescent="0.25">
      <c r="B146" s="35" t="s">
        <v>129</v>
      </c>
      <c r="C146" s="35"/>
      <c r="D146" s="35"/>
      <c r="E146" s="35"/>
      <c r="F146" s="35"/>
      <c r="G146" s="35"/>
      <c r="H146" s="35"/>
      <c r="I146" s="35"/>
      <c r="J146" s="35"/>
    </row>
    <row r="147" spans="2:11" x14ac:dyDescent="0.25">
      <c r="B147">
        <v>1</v>
      </c>
      <c r="C147" t="s">
        <v>43</v>
      </c>
      <c r="D147">
        <v>30</v>
      </c>
      <c r="E147">
        <v>24</v>
      </c>
      <c r="F147">
        <v>4</v>
      </c>
      <c r="G147">
        <v>2</v>
      </c>
      <c r="H147">
        <v>90</v>
      </c>
      <c r="I147">
        <v>18</v>
      </c>
      <c r="J147">
        <v>76</v>
      </c>
      <c r="K147"/>
    </row>
    <row r="148" spans="2:11" x14ac:dyDescent="0.25">
      <c r="B148">
        <v>2</v>
      </c>
      <c r="C148" t="s">
        <v>64</v>
      </c>
      <c r="D148">
        <v>30</v>
      </c>
      <c r="E148">
        <v>23</v>
      </c>
      <c r="F148">
        <v>5</v>
      </c>
      <c r="G148">
        <v>2</v>
      </c>
      <c r="H148">
        <v>99</v>
      </c>
      <c r="I148">
        <v>19</v>
      </c>
      <c r="J148">
        <v>74</v>
      </c>
      <c r="K148"/>
    </row>
    <row r="149" spans="2:11" x14ac:dyDescent="0.25">
      <c r="B149">
        <v>3</v>
      </c>
      <c r="C149" t="s">
        <v>92</v>
      </c>
      <c r="D149">
        <v>30</v>
      </c>
      <c r="E149">
        <v>23</v>
      </c>
      <c r="F149">
        <v>4</v>
      </c>
      <c r="G149">
        <v>3</v>
      </c>
      <c r="H149">
        <v>91</v>
      </c>
      <c r="I149">
        <v>17</v>
      </c>
      <c r="J149">
        <v>73</v>
      </c>
      <c r="K149"/>
    </row>
    <row r="150" spans="2:11" x14ac:dyDescent="0.25">
      <c r="B150">
        <v>4</v>
      </c>
      <c r="C150" t="s">
        <v>33</v>
      </c>
      <c r="D150">
        <v>30</v>
      </c>
      <c r="E150">
        <v>21</v>
      </c>
      <c r="F150">
        <v>2</v>
      </c>
      <c r="G150">
        <v>7</v>
      </c>
      <c r="H150">
        <v>109</v>
      </c>
      <c r="I150">
        <v>30</v>
      </c>
      <c r="J150">
        <v>65</v>
      </c>
      <c r="K150"/>
    </row>
    <row r="151" spans="2:11" x14ac:dyDescent="0.25">
      <c r="B151">
        <v>5</v>
      </c>
      <c r="C151" t="s">
        <v>70</v>
      </c>
      <c r="D151">
        <v>30</v>
      </c>
      <c r="E151">
        <v>20</v>
      </c>
      <c r="F151">
        <v>5</v>
      </c>
      <c r="G151">
        <v>5</v>
      </c>
      <c r="H151">
        <v>88</v>
      </c>
      <c r="I151">
        <v>33</v>
      </c>
      <c r="J151">
        <v>65</v>
      </c>
      <c r="K151"/>
    </row>
    <row r="152" spans="2:11" x14ac:dyDescent="0.25">
      <c r="B152">
        <v>6</v>
      </c>
      <c r="C152" t="s">
        <v>32</v>
      </c>
      <c r="D152">
        <v>30</v>
      </c>
      <c r="E152">
        <v>18</v>
      </c>
      <c r="F152">
        <v>2</v>
      </c>
      <c r="G152">
        <v>10</v>
      </c>
      <c r="H152">
        <v>76</v>
      </c>
      <c r="I152">
        <v>52</v>
      </c>
      <c r="J152">
        <v>56</v>
      </c>
      <c r="K152"/>
    </row>
    <row r="153" spans="2:11" x14ac:dyDescent="0.25">
      <c r="B153">
        <v>7</v>
      </c>
      <c r="C153" t="s">
        <v>71</v>
      </c>
      <c r="D153">
        <v>30</v>
      </c>
      <c r="E153">
        <v>16</v>
      </c>
      <c r="F153">
        <v>6</v>
      </c>
      <c r="G153">
        <v>8</v>
      </c>
      <c r="H153">
        <v>55</v>
      </c>
      <c r="I153">
        <v>38</v>
      </c>
      <c r="J153">
        <v>54</v>
      </c>
      <c r="K153"/>
    </row>
    <row r="154" spans="2:11" x14ac:dyDescent="0.25">
      <c r="B154">
        <v>8</v>
      </c>
      <c r="C154" t="s">
        <v>76</v>
      </c>
      <c r="D154">
        <v>30</v>
      </c>
      <c r="E154">
        <v>14</v>
      </c>
      <c r="F154">
        <v>2</v>
      </c>
      <c r="G154">
        <v>14</v>
      </c>
      <c r="H154">
        <v>49</v>
      </c>
      <c r="I154">
        <v>69</v>
      </c>
      <c r="J154">
        <v>44</v>
      </c>
      <c r="K154"/>
    </row>
    <row r="155" spans="2:11" x14ac:dyDescent="0.25">
      <c r="B155">
        <v>9</v>
      </c>
      <c r="C155" t="s">
        <v>58</v>
      </c>
      <c r="D155">
        <v>30</v>
      </c>
      <c r="E155">
        <v>12</v>
      </c>
      <c r="F155">
        <v>2</v>
      </c>
      <c r="G155">
        <v>16</v>
      </c>
      <c r="H155">
        <v>39</v>
      </c>
      <c r="I155">
        <v>53</v>
      </c>
      <c r="J155">
        <v>38</v>
      </c>
      <c r="K155"/>
    </row>
    <row r="156" spans="2:11" x14ac:dyDescent="0.25">
      <c r="B156">
        <v>10</v>
      </c>
      <c r="C156" t="s">
        <v>73</v>
      </c>
      <c r="D156">
        <v>30</v>
      </c>
      <c r="E156">
        <v>8</v>
      </c>
      <c r="F156">
        <v>7</v>
      </c>
      <c r="G156">
        <v>15</v>
      </c>
      <c r="H156">
        <v>21</v>
      </c>
      <c r="I156">
        <v>68</v>
      </c>
      <c r="J156">
        <v>31</v>
      </c>
      <c r="K156"/>
    </row>
    <row r="157" spans="2:11" x14ac:dyDescent="0.25">
      <c r="B157">
        <v>11</v>
      </c>
      <c r="C157" t="s">
        <v>112</v>
      </c>
      <c r="D157">
        <v>30</v>
      </c>
      <c r="E157">
        <v>9</v>
      </c>
      <c r="F157">
        <v>2</v>
      </c>
      <c r="G157">
        <v>19</v>
      </c>
      <c r="H157">
        <v>29</v>
      </c>
      <c r="I157">
        <v>64</v>
      </c>
      <c r="J157">
        <v>29</v>
      </c>
      <c r="K157"/>
    </row>
    <row r="158" spans="2:11" x14ac:dyDescent="0.25">
      <c r="B158">
        <v>12</v>
      </c>
      <c r="C158" t="s">
        <v>128</v>
      </c>
      <c r="D158">
        <v>30</v>
      </c>
      <c r="E158">
        <v>8</v>
      </c>
      <c r="F158">
        <v>4</v>
      </c>
      <c r="G158">
        <v>18</v>
      </c>
      <c r="H158">
        <v>23</v>
      </c>
      <c r="I158">
        <v>65</v>
      </c>
      <c r="J158">
        <v>28</v>
      </c>
      <c r="K158"/>
    </row>
    <row r="159" spans="2:11" x14ac:dyDescent="0.25">
      <c r="B159">
        <v>13</v>
      </c>
      <c r="C159" t="s">
        <v>115</v>
      </c>
      <c r="D159">
        <v>30</v>
      </c>
      <c r="E159">
        <v>4</v>
      </c>
      <c r="F159">
        <v>5</v>
      </c>
      <c r="G159">
        <v>21</v>
      </c>
      <c r="H159">
        <v>21</v>
      </c>
      <c r="I159">
        <v>70</v>
      </c>
      <c r="J159">
        <v>17</v>
      </c>
      <c r="K159"/>
    </row>
    <row r="160" spans="2:11" x14ac:dyDescent="0.25">
      <c r="B160">
        <v>14</v>
      </c>
      <c r="C160" t="s">
        <v>114</v>
      </c>
      <c r="D160">
        <v>30</v>
      </c>
      <c r="E160">
        <v>5</v>
      </c>
      <c r="F160">
        <v>2</v>
      </c>
      <c r="G160">
        <v>23</v>
      </c>
      <c r="H160">
        <v>24</v>
      </c>
      <c r="I160">
        <v>83</v>
      </c>
      <c r="J160">
        <v>17</v>
      </c>
      <c r="K160"/>
    </row>
    <row r="161" spans="2:13" x14ac:dyDescent="0.25">
      <c r="B161">
        <v>15</v>
      </c>
      <c r="C161" t="s">
        <v>56</v>
      </c>
      <c r="D161">
        <v>30</v>
      </c>
      <c r="E161">
        <v>4</v>
      </c>
      <c r="F161">
        <v>4</v>
      </c>
      <c r="G161">
        <v>22</v>
      </c>
      <c r="H161">
        <v>21</v>
      </c>
      <c r="I161">
        <v>75</v>
      </c>
      <c r="J161">
        <v>16</v>
      </c>
      <c r="K161"/>
    </row>
    <row r="162" spans="2:13" x14ac:dyDescent="0.25">
      <c r="B162">
        <v>16</v>
      </c>
      <c r="C162" t="s">
        <v>68</v>
      </c>
      <c r="D162">
        <v>30</v>
      </c>
      <c r="E162">
        <v>1</v>
      </c>
      <c r="F162">
        <v>4</v>
      </c>
      <c r="G162">
        <v>25</v>
      </c>
      <c r="H162">
        <v>22</v>
      </c>
      <c r="I162">
        <v>103</v>
      </c>
      <c r="J162">
        <v>7</v>
      </c>
      <c r="K162"/>
    </row>
    <row r="163" spans="2:13" x14ac:dyDescent="0.25">
      <c r="I163" s="32"/>
      <c r="J163" s="32"/>
    </row>
    <row r="164" spans="2:13" x14ac:dyDescent="0.25">
      <c r="C164" s="22"/>
      <c r="I164" s="32"/>
      <c r="J164" s="32"/>
    </row>
    <row r="165" spans="2:13" x14ac:dyDescent="0.25">
      <c r="I165" s="32"/>
      <c r="J165" s="32"/>
    </row>
    <row r="166" spans="2:13" x14ac:dyDescent="0.25">
      <c r="B166" s="36" t="s">
        <v>113</v>
      </c>
      <c r="C166" s="36"/>
      <c r="D166" s="36"/>
      <c r="E166" s="36"/>
      <c r="F166" s="36"/>
      <c r="G166" s="36"/>
      <c r="H166" s="36"/>
      <c r="I166" s="36"/>
      <c r="J166" s="36"/>
      <c r="K166"/>
      <c r="L166" s="10"/>
      <c r="M166" s="10"/>
    </row>
    <row r="167" spans="2:13" x14ac:dyDescent="0.25">
      <c r="B167" s="2">
        <v>1</v>
      </c>
      <c r="C167" s="4" t="s">
        <v>70</v>
      </c>
      <c r="D167" s="23">
        <v>30</v>
      </c>
      <c r="E167" s="23">
        <v>24</v>
      </c>
      <c r="F167" s="23">
        <v>1</v>
      </c>
      <c r="G167" s="23">
        <f>D167-E167-F167</f>
        <v>5</v>
      </c>
      <c r="H167" s="23">
        <v>126</v>
      </c>
      <c r="I167" s="23">
        <v>27</v>
      </c>
      <c r="J167" s="24">
        <f>E167*3+F167*1</f>
        <v>73</v>
      </c>
      <c r="K167" s="7">
        <f t="shared" ref="K167:K182" si="0">(E167*3+F167)/(D167*3)*100</f>
        <v>81.111111111111114</v>
      </c>
      <c r="L167" s="10">
        <f>H167/D167</f>
        <v>4.2</v>
      </c>
      <c r="M167" s="10">
        <f>I167/D167</f>
        <v>0.9</v>
      </c>
    </row>
    <row r="168" spans="2:13" x14ac:dyDescent="0.25">
      <c r="B168" s="2">
        <v>2</v>
      </c>
      <c r="C168" s="4" t="s">
        <v>33</v>
      </c>
      <c r="D168" s="23">
        <v>30</v>
      </c>
      <c r="E168" s="23">
        <v>23</v>
      </c>
      <c r="F168" s="23">
        <v>2</v>
      </c>
      <c r="G168" s="23">
        <f t="shared" ref="G168:G182" si="1">D168-E168-F168</f>
        <v>5</v>
      </c>
      <c r="H168" s="23">
        <v>106</v>
      </c>
      <c r="I168" s="23">
        <v>23</v>
      </c>
      <c r="J168" s="24">
        <f t="shared" ref="J168:J182" si="2">E168*3+F168*1</f>
        <v>71</v>
      </c>
      <c r="K168" s="8">
        <f t="shared" si="0"/>
        <v>78.888888888888886</v>
      </c>
      <c r="L168" s="28">
        <f t="shared" ref="L168:L182" si="3">H168/D168</f>
        <v>3.5333333333333332</v>
      </c>
      <c r="M168" s="28">
        <f t="shared" ref="M168:M182" si="4">I168/D168</f>
        <v>0.76666666666666672</v>
      </c>
    </row>
    <row r="169" spans="2:13" x14ac:dyDescent="0.25">
      <c r="B169" s="2">
        <v>3</v>
      </c>
      <c r="C169" s="4" t="s">
        <v>64</v>
      </c>
      <c r="D169" s="23">
        <v>30</v>
      </c>
      <c r="E169" s="23">
        <v>21</v>
      </c>
      <c r="F169" s="23">
        <v>6</v>
      </c>
      <c r="G169" s="23">
        <f t="shared" si="1"/>
        <v>3</v>
      </c>
      <c r="H169" s="23">
        <v>130</v>
      </c>
      <c r="I169" s="23">
        <v>24</v>
      </c>
      <c r="J169" s="24">
        <f t="shared" si="2"/>
        <v>69</v>
      </c>
      <c r="K169">
        <f t="shared" si="0"/>
        <v>76.666666666666671</v>
      </c>
      <c r="L169" s="29">
        <f t="shared" si="3"/>
        <v>4.333333333333333</v>
      </c>
      <c r="M169" s="10">
        <f t="shared" si="4"/>
        <v>0.8</v>
      </c>
    </row>
    <row r="170" spans="2:13" x14ac:dyDescent="0.25">
      <c r="B170" s="2">
        <v>4</v>
      </c>
      <c r="C170" s="4" t="s">
        <v>92</v>
      </c>
      <c r="D170" s="23">
        <v>30</v>
      </c>
      <c r="E170" s="23">
        <v>21</v>
      </c>
      <c r="F170" s="23">
        <v>5</v>
      </c>
      <c r="G170" s="23">
        <f t="shared" si="1"/>
        <v>4</v>
      </c>
      <c r="H170" s="23">
        <v>89</v>
      </c>
      <c r="I170" s="23">
        <v>20</v>
      </c>
      <c r="J170" s="24">
        <f t="shared" si="2"/>
        <v>68</v>
      </c>
      <c r="K170">
        <f t="shared" si="0"/>
        <v>75.555555555555557</v>
      </c>
      <c r="L170" s="28">
        <f t="shared" si="3"/>
        <v>2.9666666666666668</v>
      </c>
      <c r="M170" s="29">
        <f t="shared" si="4"/>
        <v>0.66666666666666663</v>
      </c>
    </row>
    <row r="171" spans="2:13" x14ac:dyDescent="0.25">
      <c r="B171" s="2">
        <v>5</v>
      </c>
      <c r="C171" s="4" t="s">
        <v>58</v>
      </c>
      <c r="D171" s="23">
        <v>30</v>
      </c>
      <c r="E171" s="23">
        <v>20</v>
      </c>
      <c r="F171" s="23">
        <v>5</v>
      </c>
      <c r="G171" s="23">
        <f t="shared" si="1"/>
        <v>5</v>
      </c>
      <c r="H171" s="23">
        <v>75</v>
      </c>
      <c r="I171" s="23">
        <v>34</v>
      </c>
      <c r="J171" s="24">
        <f t="shared" si="2"/>
        <v>65</v>
      </c>
      <c r="K171">
        <f t="shared" si="0"/>
        <v>72.222222222222214</v>
      </c>
      <c r="L171" s="10">
        <f t="shared" si="3"/>
        <v>2.5</v>
      </c>
      <c r="M171" s="28">
        <f t="shared" si="4"/>
        <v>1.1333333333333333</v>
      </c>
    </row>
    <row r="172" spans="2:13" x14ac:dyDescent="0.25">
      <c r="B172" s="2">
        <v>6</v>
      </c>
      <c r="C172" s="4" t="s">
        <v>43</v>
      </c>
      <c r="D172" s="23">
        <v>30</v>
      </c>
      <c r="E172" s="23">
        <v>17</v>
      </c>
      <c r="F172" s="23">
        <v>4</v>
      </c>
      <c r="G172" s="23">
        <f t="shared" si="1"/>
        <v>9</v>
      </c>
      <c r="H172" s="23">
        <v>86</v>
      </c>
      <c r="I172" s="23">
        <v>37</v>
      </c>
      <c r="J172" s="24">
        <f t="shared" si="2"/>
        <v>55</v>
      </c>
      <c r="K172">
        <f t="shared" si="0"/>
        <v>61.111111111111114</v>
      </c>
      <c r="L172" s="10">
        <f t="shared" si="3"/>
        <v>2.8666666666666667</v>
      </c>
      <c r="M172" s="10">
        <f t="shared" si="4"/>
        <v>1.2333333333333334</v>
      </c>
    </row>
    <row r="173" spans="2:13" x14ac:dyDescent="0.25">
      <c r="B173" s="2">
        <v>7</v>
      </c>
      <c r="C173" s="4" t="s">
        <v>71</v>
      </c>
      <c r="D173" s="23">
        <v>30</v>
      </c>
      <c r="E173" s="23">
        <v>15</v>
      </c>
      <c r="F173" s="23">
        <v>7</v>
      </c>
      <c r="G173" s="23">
        <f t="shared" si="1"/>
        <v>8</v>
      </c>
      <c r="H173" s="23">
        <v>68</v>
      </c>
      <c r="I173" s="23">
        <v>37</v>
      </c>
      <c r="J173" s="24">
        <f t="shared" si="2"/>
        <v>52</v>
      </c>
      <c r="K173">
        <f t="shared" si="0"/>
        <v>57.777777777777771</v>
      </c>
      <c r="L173" s="10">
        <f t="shared" si="3"/>
        <v>2.2666666666666666</v>
      </c>
      <c r="M173" s="10">
        <f t="shared" si="4"/>
        <v>1.2333333333333334</v>
      </c>
    </row>
    <row r="174" spans="2:13" x14ac:dyDescent="0.25">
      <c r="B174" s="2">
        <v>8</v>
      </c>
      <c r="C174" s="4" t="s">
        <v>32</v>
      </c>
      <c r="D174" s="23">
        <v>30</v>
      </c>
      <c r="E174" s="23">
        <v>15</v>
      </c>
      <c r="F174" s="23">
        <v>5</v>
      </c>
      <c r="G174" s="23">
        <f t="shared" si="1"/>
        <v>10</v>
      </c>
      <c r="H174" s="23">
        <v>60</v>
      </c>
      <c r="I174" s="23">
        <v>58</v>
      </c>
      <c r="J174" s="24">
        <f t="shared" si="2"/>
        <v>50</v>
      </c>
      <c r="K174">
        <f t="shared" si="0"/>
        <v>55.555555555555557</v>
      </c>
      <c r="L174" s="10">
        <f t="shared" si="3"/>
        <v>2</v>
      </c>
      <c r="M174" s="10">
        <f t="shared" si="4"/>
        <v>1.9333333333333333</v>
      </c>
    </row>
    <row r="175" spans="2:13" x14ac:dyDescent="0.25">
      <c r="B175" s="2">
        <v>9</v>
      </c>
      <c r="C175" s="4" t="s">
        <v>76</v>
      </c>
      <c r="D175" s="23">
        <v>30</v>
      </c>
      <c r="E175" s="23">
        <v>8</v>
      </c>
      <c r="F175" s="23">
        <v>6</v>
      </c>
      <c r="G175" s="23">
        <f t="shared" si="1"/>
        <v>16</v>
      </c>
      <c r="H175" s="23">
        <v>53</v>
      </c>
      <c r="I175" s="23">
        <v>64</v>
      </c>
      <c r="J175" s="24">
        <f t="shared" si="2"/>
        <v>30</v>
      </c>
      <c r="K175">
        <f t="shared" si="0"/>
        <v>33.333333333333329</v>
      </c>
      <c r="L175" s="10">
        <f t="shared" si="3"/>
        <v>1.7666666666666666</v>
      </c>
      <c r="M175" s="10">
        <f t="shared" si="4"/>
        <v>2.1333333333333333</v>
      </c>
    </row>
    <row r="176" spans="2:13" x14ac:dyDescent="0.25">
      <c r="B176" s="2">
        <v>10</v>
      </c>
      <c r="C176" s="4" t="s">
        <v>115</v>
      </c>
      <c r="D176" s="23">
        <v>30</v>
      </c>
      <c r="E176" s="23">
        <v>7</v>
      </c>
      <c r="F176" s="23">
        <v>9</v>
      </c>
      <c r="G176" s="23">
        <f t="shared" si="1"/>
        <v>14</v>
      </c>
      <c r="H176" s="23">
        <v>21</v>
      </c>
      <c r="I176" s="23">
        <v>51</v>
      </c>
      <c r="J176" s="24">
        <f t="shared" si="2"/>
        <v>30</v>
      </c>
      <c r="K176">
        <f t="shared" si="0"/>
        <v>33.333333333333329</v>
      </c>
      <c r="L176" s="10">
        <f t="shared" si="3"/>
        <v>0.7</v>
      </c>
      <c r="M176" s="10">
        <f t="shared" si="4"/>
        <v>1.7</v>
      </c>
    </row>
    <row r="177" spans="2:13" x14ac:dyDescent="0.25">
      <c r="B177" s="2">
        <v>11</v>
      </c>
      <c r="C177" s="4" t="s">
        <v>68</v>
      </c>
      <c r="D177" s="23">
        <v>30</v>
      </c>
      <c r="E177" s="23">
        <v>8</v>
      </c>
      <c r="F177" s="23">
        <v>3</v>
      </c>
      <c r="G177" s="23">
        <f t="shared" si="1"/>
        <v>19</v>
      </c>
      <c r="H177" s="23">
        <v>37</v>
      </c>
      <c r="I177" s="23">
        <v>76</v>
      </c>
      <c r="J177" s="24">
        <f t="shared" si="2"/>
        <v>27</v>
      </c>
      <c r="K177">
        <f t="shared" si="0"/>
        <v>30</v>
      </c>
      <c r="L177" s="10">
        <f t="shared" si="3"/>
        <v>1.2333333333333334</v>
      </c>
      <c r="M177" s="10">
        <f t="shared" si="4"/>
        <v>2.5333333333333332</v>
      </c>
    </row>
    <row r="178" spans="2:13" x14ac:dyDescent="0.25">
      <c r="B178" s="2">
        <v>12</v>
      </c>
      <c r="C178" s="4" t="s">
        <v>56</v>
      </c>
      <c r="D178" s="23">
        <v>30</v>
      </c>
      <c r="E178" s="23">
        <v>7</v>
      </c>
      <c r="F178" s="23">
        <v>6</v>
      </c>
      <c r="G178" s="23">
        <f t="shared" si="1"/>
        <v>17</v>
      </c>
      <c r="H178" s="23">
        <v>25</v>
      </c>
      <c r="I178" s="23">
        <v>81</v>
      </c>
      <c r="J178" s="24">
        <f t="shared" si="2"/>
        <v>27</v>
      </c>
      <c r="K178">
        <f t="shared" si="0"/>
        <v>30</v>
      </c>
      <c r="L178" s="10">
        <f t="shared" si="3"/>
        <v>0.83333333333333337</v>
      </c>
      <c r="M178" s="10">
        <f t="shared" si="4"/>
        <v>2.7</v>
      </c>
    </row>
    <row r="179" spans="2:13" x14ac:dyDescent="0.25">
      <c r="B179" s="2">
        <v>13</v>
      </c>
      <c r="C179" s="4" t="s">
        <v>112</v>
      </c>
      <c r="D179" s="23">
        <v>30</v>
      </c>
      <c r="E179" s="23">
        <v>7</v>
      </c>
      <c r="F179" s="23">
        <v>4</v>
      </c>
      <c r="G179" s="23">
        <f t="shared" si="1"/>
        <v>19</v>
      </c>
      <c r="H179" s="23">
        <v>41</v>
      </c>
      <c r="I179" s="23">
        <v>74</v>
      </c>
      <c r="J179" s="24">
        <f t="shared" si="2"/>
        <v>25</v>
      </c>
      <c r="K179">
        <f t="shared" si="0"/>
        <v>27.777777777777779</v>
      </c>
      <c r="L179" s="10">
        <f t="shared" si="3"/>
        <v>1.3666666666666667</v>
      </c>
      <c r="M179" s="10">
        <f t="shared" si="4"/>
        <v>2.4666666666666668</v>
      </c>
    </row>
    <row r="180" spans="2:13" x14ac:dyDescent="0.25">
      <c r="B180" s="2">
        <v>14</v>
      </c>
      <c r="C180" s="4" t="s">
        <v>114</v>
      </c>
      <c r="D180" s="23">
        <v>30</v>
      </c>
      <c r="E180" s="23">
        <v>7</v>
      </c>
      <c r="F180" s="23">
        <v>3</v>
      </c>
      <c r="G180" s="23">
        <f t="shared" si="1"/>
        <v>20</v>
      </c>
      <c r="H180" s="23">
        <v>27</v>
      </c>
      <c r="I180" s="23">
        <v>87</v>
      </c>
      <c r="J180" s="24">
        <f t="shared" si="2"/>
        <v>24</v>
      </c>
      <c r="K180">
        <f t="shared" si="0"/>
        <v>26.666666666666668</v>
      </c>
      <c r="L180" s="9">
        <f t="shared" si="3"/>
        <v>0.9</v>
      </c>
      <c r="M180" s="10">
        <f t="shared" si="4"/>
        <v>2.9</v>
      </c>
    </row>
    <row r="181" spans="2:13" x14ac:dyDescent="0.25">
      <c r="B181" s="2">
        <v>15</v>
      </c>
      <c r="C181" s="4" t="s">
        <v>95</v>
      </c>
      <c r="D181" s="23">
        <v>30</v>
      </c>
      <c r="E181" s="23">
        <v>6</v>
      </c>
      <c r="F181" s="23">
        <v>2</v>
      </c>
      <c r="G181" s="23">
        <f t="shared" si="1"/>
        <v>22</v>
      </c>
      <c r="H181" s="23">
        <v>36</v>
      </c>
      <c r="I181" s="23">
        <v>91</v>
      </c>
      <c r="J181" s="24">
        <f t="shared" si="2"/>
        <v>20</v>
      </c>
      <c r="K181">
        <f t="shared" si="0"/>
        <v>22.222222222222221</v>
      </c>
      <c r="L181" s="10">
        <f t="shared" si="3"/>
        <v>1.2</v>
      </c>
      <c r="M181" s="9">
        <f t="shared" si="4"/>
        <v>3.0333333333333332</v>
      </c>
    </row>
    <row r="182" spans="2:13" x14ac:dyDescent="0.25">
      <c r="B182" s="2">
        <v>16</v>
      </c>
      <c r="C182" s="4" t="s">
        <v>52</v>
      </c>
      <c r="D182" s="23">
        <v>30</v>
      </c>
      <c r="E182" s="23">
        <v>0</v>
      </c>
      <c r="F182" s="23">
        <v>0</v>
      </c>
      <c r="G182" s="23">
        <f t="shared" si="1"/>
        <v>30</v>
      </c>
      <c r="H182" s="23">
        <v>0</v>
      </c>
      <c r="I182" s="23">
        <v>196</v>
      </c>
      <c r="J182" s="24">
        <f t="shared" si="2"/>
        <v>0</v>
      </c>
      <c r="K182" s="2">
        <f t="shared" si="0"/>
        <v>0</v>
      </c>
      <c r="L182" s="23">
        <f t="shared" si="3"/>
        <v>0</v>
      </c>
      <c r="M182" s="23">
        <f t="shared" si="4"/>
        <v>6.5333333333333332</v>
      </c>
    </row>
    <row r="183" spans="2:13" x14ac:dyDescent="0.25">
      <c r="B183" s="36" t="s">
        <v>111</v>
      </c>
      <c r="C183" s="36"/>
      <c r="D183" s="36"/>
      <c r="E183" s="36"/>
      <c r="F183" s="36"/>
      <c r="G183" s="36"/>
      <c r="H183" s="36"/>
      <c r="I183" s="36"/>
      <c r="J183" s="36"/>
    </row>
    <row r="184" spans="2:13" x14ac:dyDescent="0.25">
      <c r="B184" s="2">
        <v>1</v>
      </c>
      <c r="C184" s="4" t="s">
        <v>70</v>
      </c>
      <c r="D184" s="23">
        <v>30</v>
      </c>
      <c r="E184" s="23">
        <v>27</v>
      </c>
      <c r="F184" s="23">
        <v>1</v>
      </c>
      <c r="G184" s="23">
        <f>D184-E184-F184</f>
        <v>2</v>
      </c>
      <c r="H184" s="23">
        <v>114</v>
      </c>
      <c r="I184" s="23">
        <v>19</v>
      </c>
      <c r="J184" s="24">
        <f>E184*3+F184*1</f>
        <v>82</v>
      </c>
    </row>
    <row r="185" spans="2:13" x14ac:dyDescent="0.25">
      <c r="B185" s="2">
        <v>2</v>
      </c>
      <c r="C185" s="4" t="s">
        <v>33</v>
      </c>
      <c r="D185" s="23">
        <v>30</v>
      </c>
      <c r="E185" s="23">
        <v>26</v>
      </c>
      <c r="F185" s="23">
        <v>2</v>
      </c>
      <c r="G185" s="23">
        <f t="shared" ref="G185:G199" si="5">D185-E185-F185</f>
        <v>2</v>
      </c>
      <c r="H185" s="23">
        <v>118</v>
      </c>
      <c r="I185" s="23">
        <v>14</v>
      </c>
      <c r="J185" s="24">
        <f t="shared" ref="J185:J199" si="6">E185*3+F185*1</f>
        <v>80</v>
      </c>
    </row>
    <row r="186" spans="2:13" x14ac:dyDescent="0.25">
      <c r="B186" s="2">
        <v>3</v>
      </c>
      <c r="C186" s="4" t="s">
        <v>64</v>
      </c>
      <c r="D186" s="23">
        <v>30</v>
      </c>
      <c r="E186" s="23">
        <v>23</v>
      </c>
      <c r="F186" s="23">
        <v>1</v>
      </c>
      <c r="G186" s="23">
        <f t="shared" si="5"/>
        <v>6</v>
      </c>
      <c r="H186" s="23">
        <v>119</v>
      </c>
      <c r="I186" s="23">
        <v>17</v>
      </c>
      <c r="J186" s="24">
        <f t="shared" si="6"/>
        <v>70</v>
      </c>
    </row>
    <row r="187" spans="2:13" x14ac:dyDescent="0.25">
      <c r="B187" s="2">
        <v>4</v>
      </c>
      <c r="C187" s="4" t="s">
        <v>43</v>
      </c>
      <c r="D187" s="23">
        <v>30</v>
      </c>
      <c r="E187" s="23">
        <v>22</v>
      </c>
      <c r="F187" s="23">
        <v>2</v>
      </c>
      <c r="G187" s="23">
        <f t="shared" si="5"/>
        <v>6</v>
      </c>
      <c r="H187" s="23">
        <v>83</v>
      </c>
      <c r="I187" s="23">
        <v>26</v>
      </c>
      <c r="J187" s="24">
        <f t="shared" si="6"/>
        <v>68</v>
      </c>
    </row>
    <row r="188" spans="2:13" x14ac:dyDescent="0.25">
      <c r="B188" s="2">
        <v>5</v>
      </c>
      <c r="C188" s="4" t="s">
        <v>92</v>
      </c>
      <c r="D188" s="23">
        <v>30</v>
      </c>
      <c r="E188" s="23">
        <v>18</v>
      </c>
      <c r="F188" s="23">
        <v>5</v>
      </c>
      <c r="G188" s="23">
        <f t="shared" si="5"/>
        <v>7</v>
      </c>
      <c r="H188" s="23">
        <v>65</v>
      </c>
      <c r="I188" s="23">
        <v>31</v>
      </c>
      <c r="J188" s="24">
        <f t="shared" si="6"/>
        <v>59</v>
      </c>
    </row>
    <row r="189" spans="2:13" x14ac:dyDescent="0.25">
      <c r="B189" s="2">
        <v>6</v>
      </c>
      <c r="C189" s="4" t="s">
        <v>58</v>
      </c>
      <c r="D189" s="23">
        <v>30</v>
      </c>
      <c r="E189" s="23">
        <v>19</v>
      </c>
      <c r="F189" s="23">
        <v>2</v>
      </c>
      <c r="G189" s="23">
        <f t="shared" si="5"/>
        <v>9</v>
      </c>
      <c r="H189" s="23">
        <v>70</v>
      </c>
      <c r="I189" s="23">
        <v>41</v>
      </c>
      <c r="J189" s="24">
        <f t="shared" si="6"/>
        <v>59</v>
      </c>
    </row>
    <row r="190" spans="2:13" x14ac:dyDescent="0.25">
      <c r="B190" s="2">
        <v>7</v>
      </c>
      <c r="C190" s="4" t="s">
        <v>71</v>
      </c>
      <c r="D190" s="23">
        <v>30</v>
      </c>
      <c r="E190" s="23">
        <v>18</v>
      </c>
      <c r="F190" s="23">
        <v>1</v>
      </c>
      <c r="G190" s="23">
        <f t="shared" si="5"/>
        <v>11</v>
      </c>
      <c r="H190" s="23">
        <v>79</v>
      </c>
      <c r="I190" s="23">
        <v>38</v>
      </c>
      <c r="J190" s="24">
        <f t="shared" si="6"/>
        <v>55</v>
      </c>
    </row>
    <row r="191" spans="2:13" x14ac:dyDescent="0.25">
      <c r="B191" s="2">
        <v>8</v>
      </c>
      <c r="C191" s="4" t="s">
        <v>32</v>
      </c>
      <c r="D191" s="23">
        <v>30</v>
      </c>
      <c r="E191" s="23">
        <v>17</v>
      </c>
      <c r="F191" s="23">
        <v>2</v>
      </c>
      <c r="G191" s="23">
        <f t="shared" si="5"/>
        <v>11</v>
      </c>
      <c r="H191" s="23">
        <v>73</v>
      </c>
      <c r="I191" s="23">
        <v>48</v>
      </c>
      <c r="J191" s="24">
        <f t="shared" si="6"/>
        <v>53</v>
      </c>
    </row>
    <row r="192" spans="2:13" x14ac:dyDescent="0.25">
      <c r="B192" s="2">
        <v>9</v>
      </c>
      <c r="C192" s="4" t="s">
        <v>112</v>
      </c>
      <c r="D192" s="23">
        <v>30</v>
      </c>
      <c r="E192" s="23">
        <v>13</v>
      </c>
      <c r="F192" s="23">
        <v>2</v>
      </c>
      <c r="G192" s="23">
        <f t="shared" si="5"/>
        <v>15</v>
      </c>
      <c r="H192" s="23">
        <v>53</v>
      </c>
      <c r="I192" s="23">
        <v>40</v>
      </c>
      <c r="J192" s="24">
        <f t="shared" si="6"/>
        <v>41</v>
      </c>
    </row>
    <row r="193" spans="2:13" x14ac:dyDescent="0.25">
      <c r="B193" s="2">
        <v>10</v>
      </c>
      <c r="C193" s="4" t="s">
        <v>56</v>
      </c>
      <c r="D193" s="23">
        <v>30</v>
      </c>
      <c r="E193" s="23">
        <v>9</v>
      </c>
      <c r="F193" s="23">
        <v>2</v>
      </c>
      <c r="G193" s="23">
        <f t="shared" si="5"/>
        <v>19</v>
      </c>
      <c r="H193" s="23">
        <v>37</v>
      </c>
      <c r="I193" s="23">
        <v>72</v>
      </c>
      <c r="J193" s="24">
        <f t="shared" si="6"/>
        <v>29</v>
      </c>
    </row>
    <row r="194" spans="2:13" x14ac:dyDescent="0.25">
      <c r="B194" s="2">
        <v>11</v>
      </c>
      <c r="C194" s="4" t="s">
        <v>95</v>
      </c>
      <c r="D194" s="23">
        <v>30</v>
      </c>
      <c r="E194" s="23">
        <v>10</v>
      </c>
      <c r="F194" s="23">
        <v>1</v>
      </c>
      <c r="G194" s="23">
        <f t="shared" si="5"/>
        <v>19</v>
      </c>
      <c r="H194" s="23">
        <v>42</v>
      </c>
      <c r="I194" s="23">
        <v>79</v>
      </c>
      <c r="J194" s="24">
        <f t="shared" si="6"/>
        <v>31</v>
      </c>
    </row>
    <row r="195" spans="2:13" x14ac:dyDescent="0.25">
      <c r="B195" s="2">
        <v>12</v>
      </c>
      <c r="C195" s="4" t="s">
        <v>76</v>
      </c>
      <c r="D195" s="23">
        <v>30</v>
      </c>
      <c r="E195" s="23">
        <v>7</v>
      </c>
      <c r="F195" s="23">
        <v>5</v>
      </c>
      <c r="G195" s="23">
        <f t="shared" si="5"/>
        <v>18</v>
      </c>
      <c r="H195" s="23">
        <v>51</v>
      </c>
      <c r="I195" s="23">
        <v>67</v>
      </c>
      <c r="J195" s="24">
        <f t="shared" si="6"/>
        <v>26</v>
      </c>
    </row>
    <row r="196" spans="2:13" x14ac:dyDescent="0.25">
      <c r="B196" s="2">
        <v>13</v>
      </c>
      <c r="C196" s="4" t="s">
        <v>68</v>
      </c>
      <c r="D196" s="23">
        <v>30</v>
      </c>
      <c r="E196" s="23">
        <v>8</v>
      </c>
      <c r="F196" s="23">
        <v>2</v>
      </c>
      <c r="G196" s="23">
        <f t="shared" si="5"/>
        <v>20</v>
      </c>
      <c r="H196" s="23">
        <v>47</v>
      </c>
      <c r="I196" s="23">
        <v>74</v>
      </c>
      <c r="J196" s="24">
        <f t="shared" si="6"/>
        <v>26</v>
      </c>
    </row>
    <row r="197" spans="2:13" x14ac:dyDescent="0.25">
      <c r="B197" s="2">
        <v>14</v>
      </c>
      <c r="C197" s="4" t="s">
        <v>52</v>
      </c>
      <c r="D197" s="23">
        <v>30</v>
      </c>
      <c r="E197" s="23">
        <v>6</v>
      </c>
      <c r="F197" s="23">
        <v>2</v>
      </c>
      <c r="G197" s="23">
        <f t="shared" si="5"/>
        <v>22</v>
      </c>
      <c r="H197" s="23">
        <v>34</v>
      </c>
      <c r="I197" s="23">
        <v>116</v>
      </c>
      <c r="J197" s="24">
        <f t="shared" si="6"/>
        <v>20</v>
      </c>
    </row>
    <row r="198" spans="2:13" x14ac:dyDescent="0.25">
      <c r="B198" s="2">
        <v>15</v>
      </c>
      <c r="C198" s="4" t="s">
        <v>34</v>
      </c>
      <c r="D198" s="23">
        <v>30</v>
      </c>
      <c r="E198" s="23">
        <v>2</v>
      </c>
      <c r="F198" s="23">
        <v>0</v>
      </c>
      <c r="G198" s="23">
        <f t="shared" si="5"/>
        <v>28</v>
      </c>
      <c r="H198" s="23">
        <v>9</v>
      </c>
      <c r="I198" s="23">
        <v>162</v>
      </c>
      <c r="J198" s="24">
        <f t="shared" si="6"/>
        <v>6</v>
      </c>
    </row>
    <row r="199" spans="2:13" x14ac:dyDescent="0.25">
      <c r="B199" s="2">
        <v>16</v>
      </c>
      <c r="C199" s="4" t="s">
        <v>34</v>
      </c>
      <c r="D199" s="23">
        <v>30</v>
      </c>
      <c r="E199" s="23">
        <v>0</v>
      </c>
      <c r="F199" s="23">
        <v>0</v>
      </c>
      <c r="G199" s="23">
        <f t="shared" si="5"/>
        <v>30</v>
      </c>
      <c r="H199" s="23">
        <v>3</v>
      </c>
      <c r="I199" s="23">
        <v>138</v>
      </c>
      <c r="J199" s="24">
        <f t="shared" si="6"/>
        <v>0</v>
      </c>
    </row>
    <row r="200" spans="2:13" x14ac:dyDescent="0.25">
      <c r="B200" s="36" t="s">
        <v>94</v>
      </c>
      <c r="C200" s="36"/>
      <c r="D200" s="36"/>
      <c r="E200" s="36"/>
      <c r="F200" s="36"/>
      <c r="G200" s="36"/>
      <c r="H200" s="36"/>
      <c r="I200" s="36"/>
      <c r="J200" s="36"/>
    </row>
    <row r="201" spans="2:13" x14ac:dyDescent="0.25">
      <c r="B201" s="2">
        <v>1</v>
      </c>
      <c r="C201" s="4" t="s">
        <v>70</v>
      </c>
      <c r="D201" s="23">
        <v>30</v>
      </c>
      <c r="E201" s="23">
        <v>25</v>
      </c>
      <c r="F201" s="23">
        <v>0</v>
      </c>
      <c r="G201" s="23">
        <f>D201-E201-F201</f>
        <v>5</v>
      </c>
      <c r="H201" s="23">
        <v>118</v>
      </c>
      <c r="I201" s="23">
        <v>18</v>
      </c>
      <c r="J201" s="24">
        <f>E201*3+F201*1</f>
        <v>75</v>
      </c>
      <c r="K201" s="12">
        <f t="shared" ref="K201:K216" si="7">(E201*3+F201)/(D201*3)*100</f>
        <v>83.333333333333343</v>
      </c>
      <c r="L201" s="27">
        <f>H201/D201</f>
        <v>3.9333333333333331</v>
      </c>
      <c r="M201" s="27">
        <f>I201/D201</f>
        <v>0.6</v>
      </c>
    </row>
    <row r="202" spans="2:13" x14ac:dyDescent="0.25">
      <c r="B202" s="2">
        <v>2</v>
      </c>
      <c r="C202" s="4" t="s">
        <v>43</v>
      </c>
      <c r="D202" s="23">
        <v>30</v>
      </c>
      <c r="E202" s="23">
        <v>25</v>
      </c>
      <c r="F202" s="23">
        <v>0</v>
      </c>
      <c r="G202" s="23">
        <f t="shared" ref="G202:G216" si="8">D202-E202-F202</f>
        <v>5</v>
      </c>
      <c r="H202" s="23">
        <v>110</v>
      </c>
      <c r="I202" s="23">
        <v>20</v>
      </c>
      <c r="J202" s="24">
        <f t="shared" ref="J202:J216" si="9">E202*3+F202*1</f>
        <v>75</v>
      </c>
      <c r="K202" s="13">
        <f t="shared" si="7"/>
        <v>83.333333333333343</v>
      </c>
      <c r="L202" s="27">
        <f t="shared" ref="L202:L216" si="10">H202/D202</f>
        <v>3.6666666666666665</v>
      </c>
      <c r="M202" s="30">
        <f t="shared" ref="M202:M216" si="11">I202/D202</f>
        <v>0.66666666666666663</v>
      </c>
    </row>
    <row r="203" spans="2:13" x14ac:dyDescent="0.25">
      <c r="B203" s="2">
        <v>3</v>
      </c>
      <c r="C203" s="4" t="s">
        <v>64</v>
      </c>
      <c r="D203" s="23">
        <v>30</v>
      </c>
      <c r="E203" s="23">
        <v>24</v>
      </c>
      <c r="F203" s="23">
        <v>2</v>
      </c>
      <c r="G203" s="23">
        <f t="shared" si="8"/>
        <v>4</v>
      </c>
      <c r="H203" s="23">
        <v>138</v>
      </c>
      <c r="I203" s="23">
        <v>21</v>
      </c>
      <c r="J203" s="24">
        <f t="shared" si="9"/>
        <v>74</v>
      </c>
      <c r="K203" s="12">
        <f t="shared" si="7"/>
        <v>82.222222222222214</v>
      </c>
      <c r="L203" s="27">
        <f t="shared" si="10"/>
        <v>4.5999999999999996</v>
      </c>
      <c r="M203" s="27">
        <f t="shared" si="11"/>
        <v>0.7</v>
      </c>
    </row>
    <row r="204" spans="2:13" x14ac:dyDescent="0.25">
      <c r="B204" s="2">
        <v>4</v>
      </c>
      <c r="C204" s="4" t="s">
        <v>33</v>
      </c>
      <c r="D204" s="23">
        <v>30</v>
      </c>
      <c r="E204" s="23">
        <v>22</v>
      </c>
      <c r="F204" s="23">
        <v>5</v>
      </c>
      <c r="G204" s="23">
        <f t="shared" si="8"/>
        <v>3</v>
      </c>
      <c r="H204" s="23">
        <v>103</v>
      </c>
      <c r="I204" s="23">
        <v>21</v>
      </c>
      <c r="J204" s="24">
        <f t="shared" si="9"/>
        <v>71</v>
      </c>
      <c r="K204" s="12">
        <f t="shared" si="7"/>
        <v>78.888888888888886</v>
      </c>
      <c r="L204" s="30">
        <f t="shared" si="10"/>
        <v>3.4333333333333331</v>
      </c>
      <c r="M204" s="27">
        <f t="shared" si="11"/>
        <v>0.7</v>
      </c>
    </row>
    <row r="205" spans="2:13" x14ac:dyDescent="0.25">
      <c r="B205" s="2">
        <v>5</v>
      </c>
      <c r="C205" s="4" t="s">
        <v>32</v>
      </c>
      <c r="D205" s="23">
        <v>30</v>
      </c>
      <c r="E205" s="23">
        <v>19</v>
      </c>
      <c r="F205" s="23">
        <v>3</v>
      </c>
      <c r="G205" s="23">
        <f t="shared" si="8"/>
        <v>8</v>
      </c>
      <c r="H205" s="23">
        <v>76</v>
      </c>
      <c r="I205" s="23">
        <v>40</v>
      </c>
      <c r="J205" s="24">
        <f t="shared" si="9"/>
        <v>60</v>
      </c>
      <c r="K205" s="12">
        <f t="shared" si="7"/>
        <v>66.666666666666657</v>
      </c>
      <c r="L205" s="27">
        <f t="shared" si="10"/>
        <v>2.5333333333333332</v>
      </c>
      <c r="M205" s="30">
        <f t="shared" si="11"/>
        <v>1.3333333333333333</v>
      </c>
    </row>
    <row r="206" spans="2:13" x14ac:dyDescent="0.25">
      <c r="B206" s="2">
        <v>6</v>
      </c>
      <c r="C206" s="4" t="s">
        <v>18</v>
      </c>
      <c r="D206" s="23">
        <v>30</v>
      </c>
      <c r="E206" s="23">
        <v>18</v>
      </c>
      <c r="F206" s="23">
        <v>4</v>
      </c>
      <c r="G206" s="23">
        <f t="shared" si="8"/>
        <v>8</v>
      </c>
      <c r="H206" s="23">
        <v>77</v>
      </c>
      <c r="I206" s="23">
        <v>32</v>
      </c>
      <c r="J206" s="24">
        <f t="shared" si="9"/>
        <v>58</v>
      </c>
      <c r="K206" s="12">
        <f t="shared" si="7"/>
        <v>64.444444444444443</v>
      </c>
      <c r="L206" s="27">
        <f t="shared" si="10"/>
        <v>2.5666666666666669</v>
      </c>
      <c r="M206" s="27">
        <f t="shared" si="11"/>
        <v>1.0666666666666667</v>
      </c>
    </row>
    <row r="207" spans="2:13" x14ac:dyDescent="0.25">
      <c r="B207" s="2">
        <v>7</v>
      </c>
      <c r="C207" s="4" t="s">
        <v>71</v>
      </c>
      <c r="D207" s="23">
        <v>30</v>
      </c>
      <c r="E207" s="23">
        <v>13</v>
      </c>
      <c r="F207" s="23">
        <v>4</v>
      </c>
      <c r="G207" s="23">
        <f t="shared" si="8"/>
        <v>13</v>
      </c>
      <c r="H207" s="23">
        <v>65</v>
      </c>
      <c r="I207" s="23">
        <v>48</v>
      </c>
      <c r="J207" s="24">
        <f t="shared" si="9"/>
        <v>43</v>
      </c>
      <c r="K207" s="12">
        <f t="shared" si="7"/>
        <v>47.777777777777779</v>
      </c>
      <c r="L207" s="27">
        <f t="shared" si="10"/>
        <v>2.1666666666666665</v>
      </c>
      <c r="M207" s="27">
        <f t="shared" si="11"/>
        <v>1.6</v>
      </c>
    </row>
    <row r="208" spans="2:13" x14ac:dyDescent="0.25">
      <c r="B208" s="2">
        <v>8</v>
      </c>
      <c r="C208" s="4" t="s">
        <v>76</v>
      </c>
      <c r="D208" s="23">
        <v>30</v>
      </c>
      <c r="E208" s="23">
        <v>12</v>
      </c>
      <c r="F208" s="23">
        <v>3</v>
      </c>
      <c r="G208" s="23">
        <f t="shared" si="8"/>
        <v>15</v>
      </c>
      <c r="H208" s="23">
        <v>43</v>
      </c>
      <c r="I208" s="23">
        <v>63</v>
      </c>
      <c r="J208" s="24">
        <f t="shared" si="9"/>
        <v>39</v>
      </c>
      <c r="K208" s="12">
        <f t="shared" si="7"/>
        <v>43.333333333333336</v>
      </c>
      <c r="L208" s="27">
        <f t="shared" si="10"/>
        <v>1.4333333333333333</v>
      </c>
      <c r="M208" s="27">
        <f t="shared" si="11"/>
        <v>2.1</v>
      </c>
    </row>
    <row r="209" spans="2:13" x14ac:dyDescent="0.25">
      <c r="B209" s="2">
        <v>9</v>
      </c>
      <c r="C209" s="4" t="s">
        <v>58</v>
      </c>
      <c r="D209" s="23">
        <v>30</v>
      </c>
      <c r="E209" s="23">
        <v>11</v>
      </c>
      <c r="F209" s="23">
        <v>5</v>
      </c>
      <c r="G209" s="23">
        <f t="shared" si="8"/>
        <v>14</v>
      </c>
      <c r="H209" s="23">
        <v>31</v>
      </c>
      <c r="I209" s="23">
        <v>52</v>
      </c>
      <c r="J209" s="24">
        <f t="shared" si="9"/>
        <v>38</v>
      </c>
      <c r="K209" s="12">
        <f t="shared" si="7"/>
        <v>42.222222222222221</v>
      </c>
      <c r="L209" s="27">
        <f t="shared" si="10"/>
        <v>1.0333333333333334</v>
      </c>
      <c r="M209" s="27">
        <f t="shared" si="11"/>
        <v>1.7333333333333334</v>
      </c>
    </row>
    <row r="210" spans="2:13" x14ac:dyDescent="0.25">
      <c r="B210" s="2">
        <v>10</v>
      </c>
      <c r="C210" s="4" t="s">
        <v>92</v>
      </c>
      <c r="D210" s="23">
        <v>30</v>
      </c>
      <c r="E210" s="23">
        <v>10</v>
      </c>
      <c r="F210" s="23">
        <v>5</v>
      </c>
      <c r="G210" s="23">
        <f t="shared" si="8"/>
        <v>15</v>
      </c>
      <c r="H210" s="23">
        <v>42</v>
      </c>
      <c r="I210" s="23">
        <v>49</v>
      </c>
      <c r="J210" s="24">
        <f t="shared" si="9"/>
        <v>35</v>
      </c>
      <c r="K210" s="12">
        <f t="shared" si="7"/>
        <v>38.888888888888893</v>
      </c>
      <c r="L210" s="27">
        <f t="shared" si="10"/>
        <v>1.4</v>
      </c>
      <c r="M210" s="27">
        <f t="shared" si="11"/>
        <v>1.6333333333333333</v>
      </c>
    </row>
    <row r="211" spans="2:13" x14ac:dyDescent="0.25">
      <c r="B211" s="2">
        <v>11</v>
      </c>
      <c r="C211" s="4" t="s">
        <v>68</v>
      </c>
      <c r="D211" s="23">
        <v>30</v>
      </c>
      <c r="E211" s="23">
        <v>11</v>
      </c>
      <c r="F211" s="23">
        <v>1</v>
      </c>
      <c r="G211" s="23">
        <f t="shared" si="8"/>
        <v>18</v>
      </c>
      <c r="H211" s="23">
        <v>38</v>
      </c>
      <c r="I211" s="23">
        <v>81</v>
      </c>
      <c r="J211" s="24">
        <f t="shared" si="9"/>
        <v>34</v>
      </c>
      <c r="K211" s="12">
        <f t="shared" si="7"/>
        <v>37.777777777777779</v>
      </c>
      <c r="L211" s="27">
        <f t="shared" si="10"/>
        <v>1.2666666666666666</v>
      </c>
      <c r="M211" s="27">
        <f t="shared" si="11"/>
        <v>2.7</v>
      </c>
    </row>
    <row r="212" spans="2:13" x14ac:dyDescent="0.25">
      <c r="B212" s="2">
        <v>12</v>
      </c>
      <c r="C212" s="4" t="s">
        <v>95</v>
      </c>
      <c r="D212" s="23">
        <v>30</v>
      </c>
      <c r="E212" s="23">
        <v>10</v>
      </c>
      <c r="F212" s="23">
        <v>3</v>
      </c>
      <c r="G212" s="23">
        <f t="shared" si="8"/>
        <v>17</v>
      </c>
      <c r="H212" s="23">
        <v>41</v>
      </c>
      <c r="I212" s="23">
        <v>93</v>
      </c>
      <c r="J212" s="24">
        <f t="shared" si="9"/>
        <v>33</v>
      </c>
      <c r="K212" s="12">
        <f t="shared" si="7"/>
        <v>36.666666666666664</v>
      </c>
      <c r="L212" s="27">
        <f t="shared" si="10"/>
        <v>1.3666666666666667</v>
      </c>
      <c r="M212" s="27">
        <f t="shared" si="11"/>
        <v>3.1</v>
      </c>
    </row>
    <row r="213" spans="2:13" x14ac:dyDescent="0.25">
      <c r="B213" s="2">
        <v>13</v>
      </c>
      <c r="C213" s="4" t="s">
        <v>52</v>
      </c>
      <c r="D213" s="23">
        <v>30</v>
      </c>
      <c r="E213" s="23">
        <v>5</v>
      </c>
      <c r="F213" s="23">
        <v>6</v>
      </c>
      <c r="G213" s="23">
        <f t="shared" si="8"/>
        <v>19</v>
      </c>
      <c r="H213" s="23">
        <v>26</v>
      </c>
      <c r="I213" s="23">
        <v>102</v>
      </c>
      <c r="J213" s="24">
        <f t="shared" si="9"/>
        <v>21</v>
      </c>
      <c r="K213" s="12">
        <f t="shared" si="7"/>
        <v>23.333333333333332</v>
      </c>
      <c r="L213" s="27">
        <f t="shared" si="10"/>
        <v>0.8666666666666667</v>
      </c>
      <c r="M213" s="27">
        <f t="shared" si="11"/>
        <v>3.4</v>
      </c>
    </row>
    <row r="214" spans="2:13" x14ac:dyDescent="0.25">
      <c r="B214" s="2">
        <v>14</v>
      </c>
      <c r="C214" s="4" t="s">
        <v>56</v>
      </c>
      <c r="D214" s="23">
        <v>30</v>
      </c>
      <c r="E214" s="23">
        <v>5</v>
      </c>
      <c r="F214" s="23">
        <v>2</v>
      </c>
      <c r="G214" s="23">
        <f t="shared" si="8"/>
        <v>23</v>
      </c>
      <c r="H214" s="23">
        <v>13</v>
      </c>
      <c r="I214" s="23">
        <v>93</v>
      </c>
      <c r="J214" s="24">
        <f t="shared" si="9"/>
        <v>17</v>
      </c>
      <c r="K214" s="12">
        <f t="shared" si="7"/>
        <v>18.888888888888889</v>
      </c>
      <c r="L214" s="31">
        <f t="shared" si="10"/>
        <v>0.43333333333333335</v>
      </c>
      <c r="M214" s="27">
        <f t="shared" si="11"/>
        <v>3.1</v>
      </c>
    </row>
    <row r="215" spans="2:13" x14ac:dyDescent="0.25">
      <c r="B215" s="2">
        <v>15</v>
      </c>
      <c r="C215" s="4" t="s">
        <v>50</v>
      </c>
      <c r="D215" s="23">
        <v>30</v>
      </c>
      <c r="E215" s="23">
        <v>3</v>
      </c>
      <c r="F215" s="23">
        <v>6</v>
      </c>
      <c r="G215" s="23">
        <f t="shared" si="8"/>
        <v>21</v>
      </c>
      <c r="H215" s="23">
        <v>16</v>
      </c>
      <c r="I215" s="23">
        <v>69</v>
      </c>
      <c r="J215" s="24">
        <f t="shared" si="9"/>
        <v>15</v>
      </c>
      <c r="K215" s="12">
        <f t="shared" si="7"/>
        <v>16.666666666666664</v>
      </c>
      <c r="L215" s="27">
        <f t="shared" si="10"/>
        <v>0.53333333333333333</v>
      </c>
      <c r="M215" s="27">
        <f t="shared" si="11"/>
        <v>2.2999999999999998</v>
      </c>
    </row>
    <row r="216" spans="2:13" x14ac:dyDescent="0.25">
      <c r="B216" s="2">
        <v>16</v>
      </c>
      <c r="C216" s="4" t="s">
        <v>73</v>
      </c>
      <c r="D216" s="23">
        <v>30</v>
      </c>
      <c r="E216" s="23">
        <v>2</v>
      </c>
      <c r="F216" s="23">
        <v>1</v>
      </c>
      <c r="G216" s="23">
        <f t="shared" si="8"/>
        <v>27</v>
      </c>
      <c r="H216" s="23">
        <v>13</v>
      </c>
      <c r="I216" s="23">
        <v>148</v>
      </c>
      <c r="J216" s="24">
        <f t="shared" si="9"/>
        <v>7</v>
      </c>
      <c r="K216" s="14">
        <f t="shared" si="7"/>
        <v>7.7777777777777777</v>
      </c>
      <c r="L216" s="27">
        <f t="shared" si="10"/>
        <v>0.43333333333333335</v>
      </c>
      <c r="M216" s="31">
        <f t="shared" si="11"/>
        <v>4.9333333333333336</v>
      </c>
    </row>
    <row r="217" spans="2:13" x14ac:dyDescent="0.25">
      <c r="B217" s="2"/>
      <c r="C217" s="2"/>
      <c r="D217" s="23"/>
      <c r="E217" s="23"/>
      <c r="F217" s="23"/>
      <c r="G217" s="23"/>
      <c r="H217" s="23"/>
      <c r="I217" s="23"/>
      <c r="J217" s="23"/>
    </row>
    <row r="218" spans="2:13" x14ac:dyDescent="0.25">
      <c r="B218" s="36" t="s">
        <v>91</v>
      </c>
      <c r="C218" s="36"/>
      <c r="D218" s="36"/>
      <c r="E218" s="36"/>
      <c r="F218" s="36"/>
      <c r="G218" s="36"/>
      <c r="H218" s="36"/>
      <c r="I218" s="36"/>
      <c r="J218" s="36"/>
    </row>
    <row r="219" spans="2:13" x14ac:dyDescent="0.25">
      <c r="B219" s="2">
        <v>1</v>
      </c>
      <c r="C219" s="4" t="s">
        <v>18</v>
      </c>
      <c r="D219" s="23">
        <v>30</v>
      </c>
      <c r="E219" s="23">
        <v>25</v>
      </c>
      <c r="F219" s="23">
        <v>2</v>
      </c>
      <c r="G219" s="23">
        <f>D219-E219-F219</f>
        <v>3</v>
      </c>
      <c r="H219" s="23">
        <v>97</v>
      </c>
      <c r="I219" s="23">
        <v>17</v>
      </c>
      <c r="J219" s="24">
        <f>E219*3+F219*1</f>
        <v>77</v>
      </c>
      <c r="K219" s="12">
        <f t="shared" ref="K219:K234" si="12">(E219*3+F219)/(D219*3)*100</f>
        <v>85.555555555555557</v>
      </c>
    </row>
    <row r="220" spans="2:13" x14ac:dyDescent="0.25">
      <c r="B220" s="2">
        <v>2</v>
      </c>
      <c r="C220" s="4" t="s">
        <v>32</v>
      </c>
      <c r="D220" s="23">
        <v>30</v>
      </c>
      <c r="E220" s="23">
        <v>25</v>
      </c>
      <c r="F220" s="23">
        <v>1</v>
      </c>
      <c r="G220" s="23">
        <f t="shared" ref="G220:G234" si="13">D220-E220-F220</f>
        <v>4</v>
      </c>
      <c r="H220" s="23">
        <v>109</v>
      </c>
      <c r="I220" s="23">
        <v>32</v>
      </c>
      <c r="J220" s="24">
        <f t="shared" ref="J220:J234" si="14">E220*3+F220*1</f>
        <v>76</v>
      </c>
      <c r="K220" s="12">
        <f t="shared" si="12"/>
        <v>84.444444444444443</v>
      </c>
    </row>
    <row r="221" spans="2:13" x14ac:dyDescent="0.25">
      <c r="B221" s="2">
        <v>3</v>
      </c>
      <c r="C221" s="4" t="s">
        <v>64</v>
      </c>
      <c r="D221" s="23">
        <v>30</v>
      </c>
      <c r="E221" s="23">
        <v>24</v>
      </c>
      <c r="F221" s="23">
        <v>2</v>
      </c>
      <c r="G221" s="23">
        <f t="shared" si="13"/>
        <v>4</v>
      </c>
      <c r="H221" s="23">
        <v>108</v>
      </c>
      <c r="I221" s="23">
        <v>25</v>
      </c>
      <c r="J221" s="24">
        <f t="shared" si="14"/>
        <v>74</v>
      </c>
      <c r="K221" s="12">
        <f t="shared" si="12"/>
        <v>82.222222222222214</v>
      </c>
    </row>
    <row r="222" spans="2:13" x14ac:dyDescent="0.25">
      <c r="B222" s="2">
        <v>4</v>
      </c>
      <c r="C222" s="4" t="s">
        <v>33</v>
      </c>
      <c r="D222" s="23">
        <v>30</v>
      </c>
      <c r="E222" s="23">
        <v>23</v>
      </c>
      <c r="F222" s="23">
        <v>2</v>
      </c>
      <c r="G222" s="23">
        <f t="shared" si="13"/>
        <v>5</v>
      </c>
      <c r="H222" s="23">
        <v>109</v>
      </c>
      <c r="I222" s="23">
        <v>20</v>
      </c>
      <c r="J222" s="24">
        <f t="shared" si="14"/>
        <v>71</v>
      </c>
      <c r="K222" s="12">
        <f t="shared" si="12"/>
        <v>78.888888888888886</v>
      </c>
    </row>
    <row r="223" spans="2:13" x14ac:dyDescent="0.25">
      <c r="B223" s="2">
        <v>5</v>
      </c>
      <c r="C223" s="4" t="s">
        <v>70</v>
      </c>
      <c r="D223" s="23">
        <v>30</v>
      </c>
      <c r="E223" s="23">
        <v>20</v>
      </c>
      <c r="F223" s="23">
        <v>6</v>
      </c>
      <c r="G223" s="23">
        <f t="shared" si="13"/>
        <v>4</v>
      </c>
      <c r="H223" s="23">
        <v>84</v>
      </c>
      <c r="I223" s="23">
        <v>31</v>
      </c>
      <c r="J223" s="24">
        <f t="shared" si="14"/>
        <v>66</v>
      </c>
      <c r="K223" s="12">
        <f t="shared" si="12"/>
        <v>73.333333333333329</v>
      </c>
    </row>
    <row r="224" spans="2:13" x14ac:dyDescent="0.25">
      <c r="B224" s="2">
        <v>6</v>
      </c>
      <c r="C224" s="4" t="s">
        <v>43</v>
      </c>
      <c r="D224" s="23">
        <v>30</v>
      </c>
      <c r="E224" s="23">
        <v>21</v>
      </c>
      <c r="F224" s="23">
        <v>2</v>
      </c>
      <c r="G224" s="23">
        <f t="shared" si="13"/>
        <v>7</v>
      </c>
      <c r="H224" s="23">
        <v>91</v>
      </c>
      <c r="I224" s="23">
        <v>27</v>
      </c>
      <c r="J224" s="24">
        <f t="shared" si="14"/>
        <v>65</v>
      </c>
      <c r="K224" s="12">
        <f t="shared" si="12"/>
        <v>72.222222222222214</v>
      </c>
    </row>
    <row r="225" spans="2:11" x14ac:dyDescent="0.25">
      <c r="B225" s="2">
        <v>7</v>
      </c>
      <c r="C225" s="4" t="s">
        <v>92</v>
      </c>
      <c r="D225" s="23">
        <v>30</v>
      </c>
      <c r="E225" s="23">
        <v>14</v>
      </c>
      <c r="F225" s="23">
        <v>1</v>
      </c>
      <c r="G225" s="23">
        <f t="shared" si="13"/>
        <v>15</v>
      </c>
      <c r="H225" s="23">
        <v>31</v>
      </c>
      <c r="I225" s="23">
        <v>47</v>
      </c>
      <c r="J225" s="24">
        <f t="shared" si="14"/>
        <v>43</v>
      </c>
      <c r="K225" s="12">
        <f t="shared" si="12"/>
        <v>47.777777777777779</v>
      </c>
    </row>
    <row r="226" spans="2:11" x14ac:dyDescent="0.25">
      <c r="B226" s="2">
        <v>8</v>
      </c>
      <c r="C226" s="4" t="s">
        <v>71</v>
      </c>
      <c r="D226" s="23">
        <v>30</v>
      </c>
      <c r="E226" s="23">
        <v>10</v>
      </c>
      <c r="F226" s="23">
        <v>4</v>
      </c>
      <c r="G226" s="23">
        <f t="shared" si="13"/>
        <v>16</v>
      </c>
      <c r="H226" s="23">
        <v>41</v>
      </c>
      <c r="I226" s="23">
        <v>56</v>
      </c>
      <c r="J226" s="24">
        <f t="shared" si="14"/>
        <v>34</v>
      </c>
      <c r="K226" s="12">
        <f t="shared" si="12"/>
        <v>37.777777777777779</v>
      </c>
    </row>
    <row r="227" spans="2:11" x14ac:dyDescent="0.25">
      <c r="B227" s="2">
        <v>9</v>
      </c>
      <c r="C227" s="4" t="s">
        <v>50</v>
      </c>
      <c r="D227" s="23">
        <v>30</v>
      </c>
      <c r="E227" s="23">
        <v>9</v>
      </c>
      <c r="F227" s="23">
        <v>6</v>
      </c>
      <c r="G227" s="23">
        <f t="shared" si="13"/>
        <v>15</v>
      </c>
      <c r="H227" s="23">
        <v>26</v>
      </c>
      <c r="I227" s="23">
        <v>50</v>
      </c>
      <c r="J227" s="24">
        <f t="shared" si="14"/>
        <v>33</v>
      </c>
      <c r="K227" s="12">
        <f t="shared" si="12"/>
        <v>36.666666666666664</v>
      </c>
    </row>
    <row r="228" spans="2:11" x14ac:dyDescent="0.25">
      <c r="B228" s="2">
        <v>10</v>
      </c>
      <c r="C228" s="4" t="s">
        <v>68</v>
      </c>
      <c r="D228" s="23">
        <v>30</v>
      </c>
      <c r="E228" s="23">
        <v>9</v>
      </c>
      <c r="F228" s="23">
        <v>4</v>
      </c>
      <c r="G228" s="23">
        <f t="shared" si="13"/>
        <v>17</v>
      </c>
      <c r="H228" s="23">
        <v>33</v>
      </c>
      <c r="I228" s="23">
        <v>72</v>
      </c>
      <c r="J228" s="24">
        <f t="shared" si="14"/>
        <v>31</v>
      </c>
      <c r="K228" s="12">
        <f t="shared" si="12"/>
        <v>34.444444444444443</v>
      </c>
    </row>
    <row r="229" spans="2:11" x14ac:dyDescent="0.25">
      <c r="B229" s="2">
        <v>11</v>
      </c>
      <c r="C229" s="4" t="s">
        <v>52</v>
      </c>
      <c r="D229" s="23">
        <v>30</v>
      </c>
      <c r="E229" s="23">
        <v>7</v>
      </c>
      <c r="F229" s="23">
        <v>5</v>
      </c>
      <c r="G229" s="23">
        <f t="shared" si="13"/>
        <v>18</v>
      </c>
      <c r="H229" s="23">
        <v>23</v>
      </c>
      <c r="I229" s="23">
        <v>67</v>
      </c>
      <c r="J229" s="24">
        <f t="shared" si="14"/>
        <v>26</v>
      </c>
      <c r="K229" s="12">
        <f t="shared" si="12"/>
        <v>28.888888888888886</v>
      </c>
    </row>
    <row r="230" spans="2:11" x14ac:dyDescent="0.25">
      <c r="B230" s="2">
        <v>12</v>
      </c>
      <c r="C230" s="4" t="s">
        <v>58</v>
      </c>
      <c r="D230" s="23">
        <v>30</v>
      </c>
      <c r="E230" s="23">
        <v>7</v>
      </c>
      <c r="F230" s="23">
        <v>4</v>
      </c>
      <c r="G230" s="23">
        <f t="shared" si="13"/>
        <v>19</v>
      </c>
      <c r="H230" s="23">
        <v>19</v>
      </c>
      <c r="I230" s="23">
        <v>80</v>
      </c>
      <c r="J230" s="24">
        <f t="shared" si="14"/>
        <v>25</v>
      </c>
      <c r="K230" s="12">
        <f t="shared" si="12"/>
        <v>27.777777777777779</v>
      </c>
    </row>
    <row r="231" spans="2:11" x14ac:dyDescent="0.25">
      <c r="B231" s="2">
        <v>13</v>
      </c>
      <c r="C231" s="4" t="s">
        <v>73</v>
      </c>
      <c r="D231" s="23">
        <v>30</v>
      </c>
      <c r="E231" s="23">
        <v>6</v>
      </c>
      <c r="F231" s="23">
        <v>5</v>
      </c>
      <c r="G231" s="23">
        <f t="shared" si="13"/>
        <v>19</v>
      </c>
      <c r="H231" s="23">
        <v>18</v>
      </c>
      <c r="I231" s="23">
        <v>78</v>
      </c>
      <c r="J231" s="24">
        <f t="shared" si="14"/>
        <v>23</v>
      </c>
      <c r="K231" s="12">
        <f t="shared" si="12"/>
        <v>25.555555555555554</v>
      </c>
    </row>
    <row r="232" spans="2:11" x14ac:dyDescent="0.25">
      <c r="B232" s="2">
        <v>14</v>
      </c>
      <c r="C232" s="4" t="s">
        <v>56</v>
      </c>
      <c r="D232" s="23">
        <v>30</v>
      </c>
      <c r="E232" s="23">
        <v>6</v>
      </c>
      <c r="F232" s="23">
        <v>2</v>
      </c>
      <c r="G232" s="23">
        <f t="shared" si="13"/>
        <v>22</v>
      </c>
      <c r="H232" s="23">
        <v>17</v>
      </c>
      <c r="I232" s="23">
        <v>62</v>
      </c>
      <c r="J232" s="24">
        <f t="shared" si="14"/>
        <v>20</v>
      </c>
      <c r="K232" s="12">
        <f t="shared" si="12"/>
        <v>22.222222222222221</v>
      </c>
    </row>
    <row r="233" spans="2:11" x14ac:dyDescent="0.25">
      <c r="B233" s="2">
        <v>15</v>
      </c>
      <c r="C233" s="4" t="s">
        <v>93</v>
      </c>
      <c r="D233" s="23">
        <v>30</v>
      </c>
      <c r="E233" s="23">
        <v>4</v>
      </c>
      <c r="F233" s="23">
        <v>5</v>
      </c>
      <c r="G233" s="23">
        <f t="shared" si="13"/>
        <v>21</v>
      </c>
      <c r="H233" s="23">
        <v>13</v>
      </c>
      <c r="I233" s="23">
        <v>71</v>
      </c>
      <c r="J233" s="24">
        <f t="shared" si="14"/>
        <v>17</v>
      </c>
      <c r="K233" s="12">
        <f t="shared" si="12"/>
        <v>18.888888888888889</v>
      </c>
    </row>
    <row r="234" spans="2:11" x14ac:dyDescent="0.25">
      <c r="B234" s="2">
        <v>16</v>
      </c>
      <c r="C234" s="4" t="s">
        <v>34</v>
      </c>
      <c r="D234" s="23">
        <v>5</v>
      </c>
      <c r="E234" s="23">
        <v>0</v>
      </c>
      <c r="F234" s="23">
        <v>0</v>
      </c>
      <c r="G234" s="23">
        <f t="shared" si="13"/>
        <v>5</v>
      </c>
      <c r="H234" s="23">
        <v>0</v>
      </c>
      <c r="I234" s="23">
        <v>28</v>
      </c>
      <c r="J234" s="24">
        <f t="shared" si="14"/>
        <v>0</v>
      </c>
      <c r="K234" s="12">
        <f t="shared" si="12"/>
        <v>0</v>
      </c>
    </row>
    <row r="235" spans="2:11" x14ac:dyDescent="0.25">
      <c r="B235" s="2"/>
      <c r="C235" s="2"/>
      <c r="D235" s="23"/>
      <c r="E235" s="23"/>
      <c r="F235" s="23"/>
      <c r="G235" s="23"/>
      <c r="H235" s="23"/>
      <c r="I235" s="23"/>
      <c r="J235" s="23"/>
    </row>
    <row r="236" spans="2:11" x14ac:dyDescent="0.25">
      <c r="B236" s="36" t="s">
        <v>77</v>
      </c>
      <c r="C236" s="36"/>
      <c r="D236" s="36"/>
      <c r="E236" s="36"/>
      <c r="F236" s="36"/>
      <c r="G236" s="36"/>
      <c r="H236" s="36"/>
      <c r="I236" s="36"/>
      <c r="J236" s="36"/>
    </row>
    <row r="237" spans="2:11" x14ac:dyDescent="0.25">
      <c r="B237" s="2">
        <v>1</v>
      </c>
      <c r="C237" s="4" t="s">
        <v>64</v>
      </c>
      <c r="D237" s="23">
        <v>30</v>
      </c>
      <c r="E237" s="23">
        <v>26</v>
      </c>
      <c r="F237" s="23">
        <v>2</v>
      </c>
      <c r="G237" s="23">
        <f>D237-E237-F237</f>
        <v>2</v>
      </c>
      <c r="H237" s="23">
        <v>103</v>
      </c>
      <c r="I237" s="23">
        <v>16</v>
      </c>
      <c r="J237" s="24">
        <f>E237*3+F237*1</f>
        <v>80</v>
      </c>
    </row>
    <row r="238" spans="2:11" x14ac:dyDescent="0.25">
      <c r="B238" s="2">
        <v>2</v>
      </c>
      <c r="C238" s="4" t="s">
        <v>18</v>
      </c>
      <c r="D238" s="23">
        <v>30</v>
      </c>
      <c r="E238" s="23">
        <v>25</v>
      </c>
      <c r="F238" s="23">
        <v>3</v>
      </c>
      <c r="G238" s="23">
        <f t="shared" ref="G238:G252" si="15">D238-E238-F238</f>
        <v>2</v>
      </c>
      <c r="H238" s="23">
        <v>106</v>
      </c>
      <c r="I238" s="23">
        <v>19</v>
      </c>
      <c r="J238" s="24">
        <f t="shared" ref="J238:J252" si="16">E238*3+F238*1</f>
        <v>78</v>
      </c>
    </row>
    <row r="239" spans="2:11" x14ac:dyDescent="0.25">
      <c r="B239" s="2">
        <v>3</v>
      </c>
      <c r="C239" s="4" t="s">
        <v>32</v>
      </c>
      <c r="D239" s="23">
        <v>30</v>
      </c>
      <c r="E239" s="23">
        <v>25</v>
      </c>
      <c r="F239" s="23">
        <v>2</v>
      </c>
      <c r="G239" s="23">
        <f t="shared" si="15"/>
        <v>3</v>
      </c>
      <c r="H239" s="23">
        <v>81</v>
      </c>
      <c r="I239" s="23">
        <v>22</v>
      </c>
      <c r="J239" s="24">
        <f t="shared" si="16"/>
        <v>77</v>
      </c>
    </row>
    <row r="240" spans="2:11" x14ac:dyDescent="0.25">
      <c r="B240" s="2">
        <v>4</v>
      </c>
      <c r="C240" s="4" t="s">
        <v>33</v>
      </c>
      <c r="D240" s="23">
        <v>30</v>
      </c>
      <c r="E240" s="23">
        <v>22</v>
      </c>
      <c r="F240" s="23">
        <v>3</v>
      </c>
      <c r="G240" s="23">
        <f t="shared" si="15"/>
        <v>5</v>
      </c>
      <c r="H240" s="23">
        <v>96</v>
      </c>
      <c r="I240" s="23">
        <v>25</v>
      </c>
      <c r="J240" s="24">
        <f t="shared" si="16"/>
        <v>69</v>
      </c>
    </row>
    <row r="241" spans="2:10" x14ac:dyDescent="0.25">
      <c r="B241" s="2">
        <v>5</v>
      </c>
      <c r="C241" s="4" t="s">
        <v>70</v>
      </c>
      <c r="D241" s="23">
        <v>30</v>
      </c>
      <c r="E241" s="23">
        <v>20</v>
      </c>
      <c r="F241" s="23">
        <v>4</v>
      </c>
      <c r="G241" s="23">
        <f t="shared" si="15"/>
        <v>6</v>
      </c>
      <c r="H241" s="23">
        <v>90</v>
      </c>
      <c r="I241" s="23">
        <v>34</v>
      </c>
      <c r="J241" s="24">
        <f t="shared" si="16"/>
        <v>64</v>
      </c>
    </row>
    <row r="242" spans="2:10" x14ac:dyDescent="0.25">
      <c r="B242" s="2">
        <v>6</v>
      </c>
      <c r="C242" s="4" t="s">
        <v>43</v>
      </c>
      <c r="D242" s="23">
        <v>30</v>
      </c>
      <c r="E242" s="23">
        <v>16</v>
      </c>
      <c r="F242" s="23">
        <v>2</v>
      </c>
      <c r="G242" s="23">
        <f t="shared" si="15"/>
        <v>12</v>
      </c>
      <c r="H242" s="23">
        <v>67</v>
      </c>
      <c r="I242" s="23">
        <v>37</v>
      </c>
      <c r="J242" s="24">
        <f t="shared" si="16"/>
        <v>50</v>
      </c>
    </row>
    <row r="243" spans="2:10" x14ac:dyDescent="0.25">
      <c r="B243" s="2">
        <v>7</v>
      </c>
      <c r="C243" s="4" t="s">
        <v>50</v>
      </c>
      <c r="D243" s="23">
        <v>30</v>
      </c>
      <c r="E243" s="23">
        <v>11</v>
      </c>
      <c r="F243" s="23">
        <v>3</v>
      </c>
      <c r="G243" s="23">
        <f t="shared" si="15"/>
        <v>16</v>
      </c>
      <c r="H243" s="23">
        <v>42</v>
      </c>
      <c r="I243" s="23">
        <v>55</v>
      </c>
      <c r="J243" s="24">
        <f t="shared" si="16"/>
        <v>36</v>
      </c>
    </row>
    <row r="244" spans="2:10" x14ac:dyDescent="0.25">
      <c r="B244" s="2">
        <v>8</v>
      </c>
      <c r="C244" s="4" t="s">
        <v>58</v>
      </c>
      <c r="D244" s="23">
        <v>30</v>
      </c>
      <c r="E244" s="23">
        <v>11</v>
      </c>
      <c r="F244" s="23">
        <v>3</v>
      </c>
      <c r="G244" s="23">
        <f t="shared" si="15"/>
        <v>16</v>
      </c>
      <c r="H244" s="23">
        <v>40</v>
      </c>
      <c r="I244" s="23">
        <v>56</v>
      </c>
      <c r="J244" s="24">
        <f t="shared" si="16"/>
        <v>36</v>
      </c>
    </row>
    <row r="245" spans="2:10" x14ac:dyDescent="0.25">
      <c r="B245" s="2">
        <v>9</v>
      </c>
      <c r="C245" s="4" t="s">
        <v>92</v>
      </c>
      <c r="D245" s="23">
        <v>30</v>
      </c>
      <c r="E245" s="23">
        <v>8</v>
      </c>
      <c r="F245" s="23">
        <v>4</v>
      </c>
      <c r="G245" s="23">
        <f t="shared" si="15"/>
        <v>18</v>
      </c>
      <c r="H245" s="23">
        <v>37</v>
      </c>
      <c r="I245" s="23">
        <v>65</v>
      </c>
      <c r="J245" s="24">
        <f t="shared" si="16"/>
        <v>28</v>
      </c>
    </row>
    <row r="246" spans="2:10" x14ac:dyDescent="0.25">
      <c r="B246" s="2">
        <v>10</v>
      </c>
      <c r="C246" s="4" t="s">
        <v>68</v>
      </c>
      <c r="D246" s="23">
        <v>30</v>
      </c>
      <c r="E246" s="23">
        <v>8</v>
      </c>
      <c r="F246" s="23">
        <v>4</v>
      </c>
      <c r="G246" s="23">
        <f t="shared" si="15"/>
        <v>18</v>
      </c>
      <c r="H246" s="23">
        <v>40</v>
      </c>
      <c r="I246" s="23">
        <v>85</v>
      </c>
      <c r="J246" s="24">
        <f t="shared" si="16"/>
        <v>28</v>
      </c>
    </row>
    <row r="247" spans="2:10" x14ac:dyDescent="0.25">
      <c r="B247" s="2">
        <v>11</v>
      </c>
      <c r="C247" s="4" t="s">
        <v>52</v>
      </c>
      <c r="D247" s="23">
        <v>30</v>
      </c>
      <c r="E247" s="23">
        <v>8</v>
      </c>
      <c r="F247" s="23">
        <v>3</v>
      </c>
      <c r="G247" s="23">
        <f t="shared" si="15"/>
        <v>19</v>
      </c>
      <c r="H247" s="23">
        <v>35</v>
      </c>
      <c r="I247" s="23">
        <v>86</v>
      </c>
      <c r="J247" s="24">
        <f t="shared" si="16"/>
        <v>27</v>
      </c>
    </row>
    <row r="248" spans="2:10" x14ac:dyDescent="0.25">
      <c r="B248" s="2">
        <v>12</v>
      </c>
      <c r="C248" s="4" t="s">
        <v>71</v>
      </c>
      <c r="D248" s="23">
        <v>30</v>
      </c>
      <c r="E248" s="23">
        <v>7</v>
      </c>
      <c r="F248" s="23">
        <v>3</v>
      </c>
      <c r="G248" s="23">
        <f t="shared" si="15"/>
        <v>20</v>
      </c>
      <c r="H248" s="23">
        <v>36</v>
      </c>
      <c r="I248" s="23">
        <v>79</v>
      </c>
      <c r="J248" s="24">
        <f t="shared" si="16"/>
        <v>24</v>
      </c>
    </row>
    <row r="249" spans="2:10" x14ac:dyDescent="0.25">
      <c r="B249" s="2">
        <v>13</v>
      </c>
      <c r="C249" s="4" t="s">
        <v>53</v>
      </c>
      <c r="D249" s="23">
        <v>30</v>
      </c>
      <c r="E249" s="23">
        <v>5</v>
      </c>
      <c r="F249" s="23">
        <v>7</v>
      </c>
      <c r="G249" s="23">
        <f t="shared" si="15"/>
        <v>18</v>
      </c>
      <c r="H249" s="23">
        <v>28</v>
      </c>
      <c r="I249" s="23">
        <v>68</v>
      </c>
      <c r="J249" s="24">
        <f t="shared" si="16"/>
        <v>22</v>
      </c>
    </row>
    <row r="250" spans="2:10" x14ac:dyDescent="0.25">
      <c r="B250" s="2">
        <v>14</v>
      </c>
      <c r="C250" s="4" t="s">
        <v>73</v>
      </c>
      <c r="D250" s="23">
        <v>30</v>
      </c>
      <c r="E250" s="23">
        <v>5</v>
      </c>
      <c r="F250" s="23">
        <v>4</v>
      </c>
      <c r="G250" s="23">
        <f t="shared" si="15"/>
        <v>21</v>
      </c>
      <c r="H250" s="23">
        <v>17</v>
      </c>
      <c r="I250" s="23">
        <v>85</v>
      </c>
      <c r="J250" s="24">
        <f t="shared" si="16"/>
        <v>19</v>
      </c>
    </row>
    <row r="251" spans="2:10" x14ac:dyDescent="0.25">
      <c r="B251" s="2">
        <v>15</v>
      </c>
      <c r="C251" s="4" t="s">
        <v>76</v>
      </c>
      <c r="D251" s="23">
        <v>30</v>
      </c>
      <c r="E251" s="23">
        <v>4</v>
      </c>
      <c r="F251" s="23">
        <v>3</v>
      </c>
      <c r="G251" s="23">
        <f t="shared" si="15"/>
        <v>23</v>
      </c>
      <c r="H251" s="23">
        <v>16</v>
      </c>
      <c r="I251" s="23">
        <v>91</v>
      </c>
      <c r="J251" s="24">
        <f t="shared" si="16"/>
        <v>15</v>
      </c>
    </row>
    <row r="252" spans="2:10" x14ac:dyDescent="0.25">
      <c r="B252" s="2">
        <v>16</v>
      </c>
      <c r="C252" s="4" t="s">
        <v>34</v>
      </c>
      <c r="D252" s="23">
        <v>5</v>
      </c>
      <c r="E252" s="23">
        <v>0</v>
      </c>
      <c r="F252" s="23">
        <v>0</v>
      </c>
      <c r="G252" s="23">
        <f t="shared" si="15"/>
        <v>5</v>
      </c>
      <c r="H252" s="23">
        <v>1</v>
      </c>
      <c r="I252" s="23">
        <v>32</v>
      </c>
      <c r="J252" s="24">
        <f t="shared" si="16"/>
        <v>0</v>
      </c>
    </row>
    <row r="253" spans="2:10" x14ac:dyDescent="0.25">
      <c r="B253" s="2"/>
      <c r="C253" s="2"/>
      <c r="D253" s="23"/>
      <c r="E253" s="23"/>
      <c r="F253" s="23"/>
      <c r="G253" s="23"/>
      <c r="H253" s="23"/>
      <c r="I253" s="23"/>
      <c r="J253" s="23"/>
    </row>
    <row r="254" spans="2:10" x14ac:dyDescent="0.25">
      <c r="B254" s="36" t="s">
        <v>75</v>
      </c>
      <c r="C254" s="36"/>
      <c r="D254" s="36"/>
      <c r="E254" s="36"/>
      <c r="F254" s="36"/>
      <c r="G254" s="36"/>
      <c r="H254" s="36"/>
      <c r="I254" s="36"/>
      <c r="J254" s="36"/>
    </row>
    <row r="255" spans="2:10" x14ac:dyDescent="0.25">
      <c r="B255" s="2">
        <v>1</v>
      </c>
      <c r="C255" s="4" t="s">
        <v>18</v>
      </c>
      <c r="D255" s="23">
        <v>30</v>
      </c>
      <c r="E255" s="23">
        <v>27</v>
      </c>
      <c r="F255" s="23">
        <v>3</v>
      </c>
      <c r="G255" s="23">
        <f>D255-E255-F255</f>
        <v>0</v>
      </c>
      <c r="H255" s="23">
        <v>112</v>
      </c>
      <c r="I255" s="23">
        <v>14</v>
      </c>
      <c r="J255" s="24">
        <f>E255*3+F255*1</f>
        <v>84</v>
      </c>
    </row>
    <row r="256" spans="2:10" x14ac:dyDescent="0.25">
      <c r="B256" s="2">
        <v>2</v>
      </c>
      <c r="C256" s="4" t="s">
        <v>32</v>
      </c>
      <c r="D256" s="23">
        <v>30</v>
      </c>
      <c r="E256" s="23">
        <v>27</v>
      </c>
      <c r="F256" s="23">
        <v>0</v>
      </c>
      <c r="G256" s="23">
        <f t="shared" ref="G256:G270" si="17">D256-E256-F256</f>
        <v>3</v>
      </c>
      <c r="H256" s="23">
        <v>119</v>
      </c>
      <c r="I256" s="23">
        <v>19</v>
      </c>
      <c r="J256" s="24">
        <f t="shared" ref="J256:J270" si="18">E256*3+F256*1</f>
        <v>81</v>
      </c>
    </row>
    <row r="257" spans="2:10" x14ac:dyDescent="0.25">
      <c r="B257" s="2">
        <v>3</v>
      </c>
      <c r="C257" s="4" t="s">
        <v>33</v>
      </c>
      <c r="D257" s="23">
        <v>30</v>
      </c>
      <c r="E257" s="23">
        <v>21</v>
      </c>
      <c r="F257" s="23">
        <v>2</v>
      </c>
      <c r="G257" s="23">
        <f t="shared" si="17"/>
        <v>7</v>
      </c>
      <c r="H257" s="23">
        <v>71</v>
      </c>
      <c r="I257" s="23">
        <v>26</v>
      </c>
      <c r="J257" s="24">
        <f t="shared" si="18"/>
        <v>65</v>
      </c>
    </row>
    <row r="258" spans="2:10" x14ac:dyDescent="0.25">
      <c r="B258" s="2">
        <v>4</v>
      </c>
      <c r="C258" s="4" t="s">
        <v>43</v>
      </c>
      <c r="D258" s="23">
        <v>30</v>
      </c>
      <c r="E258" s="23">
        <v>19</v>
      </c>
      <c r="F258" s="23">
        <v>6</v>
      </c>
      <c r="G258" s="23">
        <f t="shared" si="17"/>
        <v>5</v>
      </c>
      <c r="H258" s="23">
        <v>74</v>
      </c>
      <c r="I258" s="23">
        <v>28</v>
      </c>
      <c r="J258" s="24">
        <f t="shared" si="18"/>
        <v>63</v>
      </c>
    </row>
    <row r="259" spans="2:10" x14ac:dyDescent="0.25">
      <c r="B259" s="2">
        <v>5</v>
      </c>
      <c r="C259" s="4" t="s">
        <v>51</v>
      </c>
      <c r="D259" s="23">
        <v>30</v>
      </c>
      <c r="E259" s="23">
        <v>19</v>
      </c>
      <c r="F259" s="23">
        <v>2</v>
      </c>
      <c r="G259" s="23">
        <f t="shared" si="17"/>
        <v>9</v>
      </c>
      <c r="H259" s="23">
        <v>69</v>
      </c>
      <c r="I259" s="23">
        <v>35</v>
      </c>
      <c r="J259" s="24">
        <f t="shared" si="18"/>
        <v>59</v>
      </c>
    </row>
    <row r="260" spans="2:10" x14ac:dyDescent="0.25">
      <c r="B260" s="2">
        <v>6</v>
      </c>
      <c r="C260" s="4" t="s">
        <v>70</v>
      </c>
      <c r="D260" s="23">
        <v>30</v>
      </c>
      <c r="E260" s="23">
        <v>18</v>
      </c>
      <c r="F260" s="23">
        <v>3</v>
      </c>
      <c r="G260" s="23">
        <f t="shared" si="17"/>
        <v>9</v>
      </c>
      <c r="H260" s="23">
        <v>54</v>
      </c>
      <c r="I260" s="23">
        <v>50</v>
      </c>
      <c r="J260" s="24">
        <f t="shared" si="18"/>
        <v>57</v>
      </c>
    </row>
    <row r="261" spans="2:10" x14ac:dyDescent="0.25">
      <c r="B261" s="2">
        <v>7</v>
      </c>
      <c r="C261" s="4" t="s">
        <v>64</v>
      </c>
      <c r="D261" s="23">
        <v>30</v>
      </c>
      <c r="E261" s="23">
        <v>14</v>
      </c>
      <c r="F261" s="23">
        <v>5</v>
      </c>
      <c r="G261" s="23">
        <f t="shared" si="17"/>
        <v>11</v>
      </c>
      <c r="H261" s="23">
        <v>52</v>
      </c>
      <c r="I261" s="23">
        <v>29</v>
      </c>
      <c r="J261" s="24">
        <f t="shared" si="18"/>
        <v>47</v>
      </c>
    </row>
    <row r="262" spans="2:10" x14ac:dyDescent="0.25">
      <c r="B262" s="2">
        <v>8</v>
      </c>
      <c r="C262" s="4" t="s">
        <v>50</v>
      </c>
      <c r="D262" s="23">
        <v>30</v>
      </c>
      <c r="E262" s="23">
        <v>10</v>
      </c>
      <c r="F262" s="23">
        <v>7</v>
      </c>
      <c r="G262" s="23">
        <f t="shared" si="17"/>
        <v>13</v>
      </c>
      <c r="H262" s="23">
        <v>37</v>
      </c>
      <c r="I262" s="23">
        <v>41</v>
      </c>
      <c r="J262" s="24">
        <f t="shared" si="18"/>
        <v>37</v>
      </c>
    </row>
    <row r="263" spans="2:10" x14ac:dyDescent="0.25">
      <c r="B263" s="2">
        <v>9</v>
      </c>
      <c r="C263" s="4" t="s">
        <v>58</v>
      </c>
      <c r="D263" s="23">
        <v>30</v>
      </c>
      <c r="E263" s="23">
        <v>10</v>
      </c>
      <c r="F263" s="23">
        <v>7</v>
      </c>
      <c r="G263" s="23">
        <f t="shared" si="17"/>
        <v>13</v>
      </c>
      <c r="H263" s="23">
        <v>35</v>
      </c>
      <c r="I263" s="23">
        <v>49</v>
      </c>
      <c r="J263" s="24">
        <f t="shared" si="18"/>
        <v>37</v>
      </c>
    </row>
    <row r="264" spans="2:10" x14ac:dyDescent="0.25">
      <c r="B264" s="2">
        <v>10</v>
      </c>
      <c r="C264" s="4" t="s">
        <v>71</v>
      </c>
      <c r="D264" s="23">
        <v>30</v>
      </c>
      <c r="E264" s="23">
        <v>9</v>
      </c>
      <c r="F264" s="23">
        <v>7</v>
      </c>
      <c r="G264" s="23">
        <f t="shared" si="17"/>
        <v>14</v>
      </c>
      <c r="H264" s="23">
        <v>38</v>
      </c>
      <c r="I264" s="23">
        <v>59</v>
      </c>
      <c r="J264" s="24">
        <f t="shared" si="18"/>
        <v>34</v>
      </c>
    </row>
    <row r="265" spans="2:10" x14ac:dyDescent="0.25">
      <c r="B265" s="2">
        <v>11</v>
      </c>
      <c r="C265" s="4" t="s">
        <v>52</v>
      </c>
      <c r="D265" s="23">
        <v>30</v>
      </c>
      <c r="E265" s="23">
        <v>9</v>
      </c>
      <c r="F265" s="23">
        <v>5</v>
      </c>
      <c r="G265" s="23">
        <f t="shared" si="17"/>
        <v>16</v>
      </c>
      <c r="H265" s="23">
        <v>36</v>
      </c>
      <c r="I265" s="23">
        <v>59</v>
      </c>
      <c r="J265" s="24">
        <f t="shared" si="18"/>
        <v>32</v>
      </c>
    </row>
    <row r="266" spans="2:10" x14ac:dyDescent="0.25">
      <c r="B266" s="2">
        <v>12</v>
      </c>
      <c r="C266" s="4" t="s">
        <v>92</v>
      </c>
      <c r="D266" s="23">
        <v>30</v>
      </c>
      <c r="E266" s="23">
        <v>7</v>
      </c>
      <c r="F266" s="23">
        <v>7</v>
      </c>
      <c r="G266" s="23">
        <f t="shared" si="17"/>
        <v>16</v>
      </c>
      <c r="H266" s="23">
        <v>33</v>
      </c>
      <c r="I266" s="23">
        <v>75</v>
      </c>
      <c r="J266" s="24">
        <f t="shared" si="18"/>
        <v>28</v>
      </c>
    </row>
    <row r="267" spans="2:10" x14ac:dyDescent="0.25">
      <c r="B267" s="2">
        <v>13</v>
      </c>
      <c r="C267" s="4" t="s">
        <v>53</v>
      </c>
      <c r="D267" s="23">
        <v>30</v>
      </c>
      <c r="E267" s="23">
        <v>4</v>
      </c>
      <c r="F267" s="23">
        <v>7</v>
      </c>
      <c r="G267" s="23">
        <f t="shared" si="17"/>
        <v>19</v>
      </c>
      <c r="H267" s="23">
        <v>21</v>
      </c>
      <c r="I267" s="23">
        <v>68</v>
      </c>
      <c r="J267" s="24">
        <f t="shared" si="18"/>
        <v>19</v>
      </c>
    </row>
    <row r="268" spans="2:10" x14ac:dyDescent="0.25">
      <c r="B268" s="2">
        <v>14</v>
      </c>
      <c r="C268" s="4" t="s">
        <v>76</v>
      </c>
      <c r="D268" s="23">
        <v>30</v>
      </c>
      <c r="E268" s="23">
        <v>2</v>
      </c>
      <c r="F268" s="23">
        <v>6</v>
      </c>
      <c r="G268" s="23">
        <f t="shared" si="17"/>
        <v>22</v>
      </c>
      <c r="H268" s="23">
        <v>24</v>
      </c>
      <c r="I268" s="23">
        <v>84</v>
      </c>
      <c r="J268" s="24">
        <f t="shared" si="18"/>
        <v>12</v>
      </c>
    </row>
    <row r="269" spans="2:10" x14ac:dyDescent="0.25">
      <c r="B269" s="2">
        <v>15</v>
      </c>
      <c r="C269" s="4" t="s">
        <v>56</v>
      </c>
      <c r="D269" s="23">
        <v>30</v>
      </c>
      <c r="E269" s="23">
        <v>2</v>
      </c>
      <c r="F269" s="23">
        <v>4</v>
      </c>
      <c r="G269" s="23">
        <f t="shared" si="17"/>
        <v>24</v>
      </c>
      <c r="H269" s="23">
        <v>18</v>
      </c>
      <c r="I269" s="23">
        <v>92</v>
      </c>
      <c r="J269" s="24">
        <f t="shared" si="18"/>
        <v>10</v>
      </c>
    </row>
    <row r="270" spans="2:10" x14ac:dyDescent="0.25">
      <c r="B270" s="2">
        <v>16</v>
      </c>
      <c r="C270" s="4" t="s">
        <v>34</v>
      </c>
      <c r="D270" s="23">
        <v>1</v>
      </c>
      <c r="E270" s="23">
        <v>0</v>
      </c>
      <c r="F270" s="23">
        <v>0</v>
      </c>
      <c r="G270" s="23">
        <f t="shared" si="17"/>
        <v>1</v>
      </c>
      <c r="H270" s="23">
        <v>0</v>
      </c>
      <c r="I270" s="23">
        <v>6</v>
      </c>
      <c r="J270" s="24">
        <f t="shared" si="18"/>
        <v>0</v>
      </c>
    </row>
    <row r="271" spans="2:10" x14ac:dyDescent="0.25">
      <c r="B271" s="2"/>
      <c r="C271" s="2"/>
      <c r="D271" s="23"/>
      <c r="E271" s="23"/>
      <c r="F271" s="23"/>
      <c r="G271" s="23"/>
      <c r="H271" s="23"/>
      <c r="I271" s="23"/>
      <c r="J271" s="23"/>
    </row>
    <row r="272" spans="2:10" x14ac:dyDescent="0.25">
      <c r="B272" s="36" t="s">
        <v>74</v>
      </c>
      <c r="C272" s="36"/>
      <c r="D272" s="36"/>
      <c r="E272" s="36"/>
      <c r="F272" s="36"/>
      <c r="G272" s="36"/>
      <c r="H272" s="36"/>
      <c r="I272" s="36"/>
      <c r="J272" s="36"/>
    </row>
    <row r="273" spans="2:10" x14ac:dyDescent="0.25">
      <c r="B273" s="2">
        <v>1</v>
      </c>
      <c r="C273" s="4" t="s">
        <v>32</v>
      </c>
      <c r="D273" s="23">
        <v>30</v>
      </c>
      <c r="E273" s="23">
        <v>27</v>
      </c>
      <c r="F273" s="23">
        <v>2</v>
      </c>
      <c r="G273" s="23">
        <f>D273-E273-F273</f>
        <v>1</v>
      </c>
      <c r="H273" s="23">
        <v>121</v>
      </c>
      <c r="I273" s="23">
        <v>12</v>
      </c>
      <c r="J273" s="24">
        <f>E273*3+F273*1</f>
        <v>83</v>
      </c>
    </row>
    <row r="274" spans="2:10" x14ac:dyDescent="0.25">
      <c r="B274" s="2">
        <v>2</v>
      </c>
      <c r="C274" s="4" t="s">
        <v>18</v>
      </c>
      <c r="D274" s="23">
        <v>30</v>
      </c>
      <c r="E274" s="23">
        <v>26</v>
      </c>
      <c r="F274" s="23">
        <v>0</v>
      </c>
      <c r="G274" s="23">
        <f t="shared" ref="G274:G288" si="19">D274-E274-F274</f>
        <v>4</v>
      </c>
      <c r="H274" s="23">
        <v>115</v>
      </c>
      <c r="I274" s="23">
        <v>16</v>
      </c>
      <c r="J274" s="24">
        <f t="shared" ref="J274:J288" si="20">E274*3+F274*1</f>
        <v>78</v>
      </c>
    </row>
    <row r="275" spans="2:10" x14ac:dyDescent="0.25">
      <c r="B275" s="2">
        <v>3</v>
      </c>
      <c r="C275" s="4" t="s">
        <v>51</v>
      </c>
      <c r="D275" s="23">
        <v>30</v>
      </c>
      <c r="E275" s="23">
        <v>21</v>
      </c>
      <c r="F275" s="23">
        <v>3</v>
      </c>
      <c r="G275" s="23">
        <f t="shared" si="19"/>
        <v>6</v>
      </c>
      <c r="H275" s="23">
        <v>91</v>
      </c>
      <c r="I275" s="23">
        <v>21</v>
      </c>
      <c r="J275" s="24">
        <f t="shared" si="20"/>
        <v>66</v>
      </c>
    </row>
    <row r="276" spans="2:10" x14ac:dyDescent="0.25">
      <c r="B276" s="2">
        <v>4</v>
      </c>
      <c r="C276" s="4" t="s">
        <v>43</v>
      </c>
      <c r="D276" s="23">
        <v>30</v>
      </c>
      <c r="E276" s="23">
        <v>21</v>
      </c>
      <c r="F276" s="23">
        <v>1</v>
      </c>
      <c r="G276" s="23">
        <f t="shared" si="19"/>
        <v>8</v>
      </c>
      <c r="H276" s="23">
        <v>78</v>
      </c>
      <c r="I276" s="23">
        <v>25</v>
      </c>
      <c r="J276" s="24">
        <f t="shared" si="20"/>
        <v>64</v>
      </c>
    </row>
    <row r="277" spans="2:10" x14ac:dyDescent="0.25">
      <c r="B277" s="2">
        <v>5</v>
      </c>
      <c r="C277" s="4" t="s">
        <v>64</v>
      </c>
      <c r="D277" s="23">
        <v>30</v>
      </c>
      <c r="E277" s="23">
        <v>19</v>
      </c>
      <c r="F277" s="23">
        <v>4</v>
      </c>
      <c r="G277" s="23">
        <f t="shared" si="19"/>
        <v>7</v>
      </c>
      <c r="H277" s="23">
        <v>70</v>
      </c>
      <c r="I277" s="23">
        <v>23</v>
      </c>
      <c r="J277" s="24">
        <f t="shared" si="20"/>
        <v>61</v>
      </c>
    </row>
    <row r="278" spans="2:10" x14ac:dyDescent="0.25">
      <c r="B278" s="2">
        <v>6</v>
      </c>
      <c r="C278" s="4" t="s">
        <v>33</v>
      </c>
      <c r="D278" s="23">
        <v>30</v>
      </c>
      <c r="E278" s="23">
        <v>18</v>
      </c>
      <c r="F278" s="23">
        <v>3</v>
      </c>
      <c r="G278" s="23">
        <f t="shared" si="19"/>
        <v>9</v>
      </c>
      <c r="H278" s="23">
        <v>65</v>
      </c>
      <c r="I278" s="23">
        <v>37</v>
      </c>
      <c r="J278" s="24">
        <f t="shared" si="20"/>
        <v>57</v>
      </c>
    </row>
    <row r="279" spans="2:10" x14ac:dyDescent="0.25">
      <c r="B279" s="2">
        <v>7</v>
      </c>
      <c r="C279" s="4" t="s">
        <v>70</v>
      </c>
      <c r="D279" s="23">
        <v>30</v>
      </c>
      <c r="E279" s="23">
        <v>18</v>
      </c>
      <c r="F279" s="23">
        <v>2</v>
      </c>
      <c r="G279" s="23">
        <f t="shared" si="19"/>
        <v>10</v>
      </c>
      <c r="H279" s="23">
        <v>35</v>
      </c>
      <c r="I279" s="23">
        <v>37</v>
      </c>
      <c r="J279" s="24">
        <f t="shared" si="20"/>
        <v>56</v>
      </c>
    </row>
    <row r="280" spans="2:10" x14ac:dyDescent="0.25">
      <c r="B280" s="2">
        <v>8</v>
      </c>
      <c r="C280" s="4" t="s">
        <v>50</v>
      </c>
      <c r="D280" s="23">
        <v>30</v>
      </c>
      <c r="E280" s="23">
        <v>14</v>
      </c>
      <c r="F280" s="23">
        <v>3</v>
      </c>
      <c r="G280" s="23">
        <f t="shared" si="19"/>
        <v>13</v>
      </c>
      <c r="H280" s="23">
        <v>34</v>
      </c>
      <c r="I280" s="23">
        <v>49</v>
      </c>
      <c r="J280" s="24">
        <f t="shared" si="20"/>
        <v>45</v>
      </c>
    </row>
    <row r="281" spans="2:10" x14ac:dyDescent="0.25">
      <c r="B281" s="2">
        <v>9</v>
      </c>
      <c r="C281" s="4" t="s">
        <v>58</v>
      </c>
      <c r="D281" s="23">
        <v>30</v>
      </c>
      <c r="E281" s="23">
        <v>13</v>
      </c>
      <c r="F281" s="23">
        <v>4</v>
      </c>
      <c r="G281" s="23">
        <f t="shared" si="19"/>
        <v>13</v>
      </c>
      <c r="H281" s="23">
        <v>41</v>
      </c>
      <c r="I281" s="23">
        <v>45</v>
      </c>
      <c r="J281" s="24">
        <f t="shared" si="20"/>
        <v>43</v>
      </c>
    </row>
    <row r="282" spans="2:10" x14ac:dyDescent="0.25">
      <c r="B282" s="2">
        <v>10</v>
      </c>
      <c r="C282" s="4" t="s">
        <v>52</v>
      </c>
      <c r="D282" s="23">
        <v>30</v>
      </c>
      <c r="E282" s="23">
        <v>10</v>
      </c>
      <c r="F282" s="23">
        <v>5</v>
      </c>
      <c r="G282" s="23">
        <f t="shared" si="19"/>
        <v>15</v>
      </c>
      <c r="H282" s="23">
        <v>35</v>
      </c>
      <c r="I282" s="23">
        <v>61</v>
      </c>
      <c r="J282" s="24">
        <f t="shared" si="20"/>
        <v>35</v>
      </c>
    </row>
    <row r="283" spans="2:10" x14ac:dyDescent="0.25">
      <c r="B283" s="2">
        <v>11</v>
      </c>
      <c r="C283" s="4" t="s">
        <v>71</v>
      </c>
      <c r="D283" s="23">
        <v>30</v>
      </c>
      <c r="E283" s="23">
        <v>9</v>
      </c>
      <c r="F283" s="23">
        <v>2</v>
      </c>
      <c r="G283" s="23">
        <f t="shared" si="19"/>
        <v>19</v>
      </c>
      <c r="H283" s="23">
        <v>36</v>
      </c>
      <c r="I283" s="23">
        <v>68</v>
      </c>
      <c r="J283" s="24">
        <f t="shared" si="20"/>
        <v>29</v>
      </c>
    </row>
    <row r="284" spans="2:10" x14ac:dyDescent="0.25">
      <c r="B284" s="2">
        <v>12</v>
      </c>
      <c r="C284" s="4" t="s">
        <v>56</v>
      </c>
      <c r="D284" s="23">
        <v>30</v>
      </c>
      <c r="E284" s="23">
        <v>8</v>
      </c>
      <c r="F284" s="23">
        <v>2</v>
      </c>
      <c r="G284" s="23">
        <f t="shared" si="19"/>
        <v>20</v>
      </c>
      <c r="H284" s="23">
        <v>16</v>
      </c>
      <c r="I284" s="23">
        <v>84</v>
      </c>
      <c r="J284" s="24">
        <f t="shared" si="20"/>
        <v>26</v>
      </c>
    </row>
    <row r="285" spans="2:10" x14ac:dyDescent="0.25">
      <c r="B285" s="2">
        <v>13</v>
      </c>
      <c r="C285" s="4" t="s">
        <v>61</v>
      </c>
      <c r="D285" s="23">
        <v>30</v>
      </c>
      <c r="E285" s="23">
        <v>8</v>
      </c>
      <c r="F285" s="23">
        <v>1</v>
      </c>
      <c r="G285" s="23">
        <f t="shared" si="19"/>
        <v>21</v>
      </c>
      <c r="H285" s="23">
        <v>24</v>
      </c>
      <c r="I285" s="23">
        <v>89</v>
      </c>
      <c r="J285" s="24">
        <f t="shared" si="20"/>
        <v>25</v>
      </c>
    </row>
    <row r="286" spans="2:10" x14ac:dyDescent="0.25">
      <c r="B286" s="2">
        <v>14</v>
      </c>
      <c r="C286" s="4" t="s">
        <v>92</v>
      </c>
      <c r="D286" s="23">
        <v>30</v>
      </c>
      <c r="E286" s="23">
        <v>3</v>
      </c>
      <c r="F286" s="23">
        <v>6</v>
      </c>
      <c r="G286" s="23">
        <f t="shared" si="19"/>
        <v>21</v>
      </c>
      <c r="H286" s="23">
        <v>19</v>
      </c>
      <c r="I286" s="23">
        <v>79</v>
      </c>
      <c r="J286" s="24">
        <f t="shared" si="20"/>
        <v>15</v>
      </c>
    </row>
    <row r="287" spans="2:10" x14ac:dyDescent="0.25">
      <c r="B287" s="2">
        <v>15</v>
      </c>
      <c r="C287" s="4" t="s">
        <v>73</v>
      </c>
      <c r="D287" s="23">
        <v>30</v>
      </c>
      <c r="E287" s="23">
        <v>4</v>
      </c>
      <c r="F287" s="23">
        <v>2</v>
      </c>
      <c r="G287" s="23">
        <f t="shared" si="19"/>
        <v>24</v>
      </c>
      <c r="H287" s="23">
        <v>22</v>
      </c>
      <c r="I287" s="23">
        <v>69</v>
      </c>
      <c r="J287" s="24">
        <f t="shared" si="20"/>
        <v>14</v>
      </c>
    </row>
    <row r="288" spans="2:10" x14ac:dyDescent="0.25">
      <c r="B288" s="2">
        <v>16</v>
      </c>
      <c r="C288" s="4" t="s">
        <v>34</v>
      </c>
      <c r="D288" s="23">
        <v>21</v>
      </c>
      <c r="E288" s="23">
        <v>1</v>
      </c>
      <c r="F288" s="23">
        <v>0</v>
      </c>
      <c r="G288" s="23">
        <f t="shared" si="19"/>
        <v>20</v>
      </c>
      <c r="H288" s="23">
        <v>0</v>
      </c>
      <c r="I288" s="23">
        <v>0</v>
      </c>
      <c r="J288" s="24">
        <f t="shared" si="20"/>
        <v>3</v>
      </c>
    </row>
    <row r="289" spans="2:10" x14ac:dyDescent="0.25">
      <c r="B289" s="2"/>
      <c r="C289" s="2"/>
      <c r="D289" s="23"/>
      <c r="E289" s="23"/>
      <c r="F289" s="23"/>
      <c r="G289" s="23"/>
      <c r="H289" s="23"/>
      <c r="I289" s="23"/>
      <c r="J289" s="23"/>
    </row>
    <row r="290" spans="2:10" x14ac:dyDescent="0.25">
      <c r="B290" s="36" t="s">
        <v>69</v>
      </c>
      <c r="C290" s="36"/>
      <c r="D290" s="36"/>
      <c r="E290" s="36"/>
      <c r="F290" s="36"/>
      <c r="G290" s="36"/>
      <c r="H290" s="36"/>
      <c r="I290" s="36"/>
      <c r="J290" s="36"/>
    </row>
    <row r="291" spans="2:10" x14ac:dyDescent="0.25">
      <c r="B291" s="2">
        <v>1</v>
      </c>
      <c r="C291" s="4" t="s">
        <v>32</v>
      </c>
      <c r="D291" s="23">
        <v>30</v>
      </c>
      <c r="E291" s="23">
        <v>26</v>
      </c>
      <c r="F291" s="23">
        <v>2</v>
      </c>
      <c r="G291" s="23">
        <f>D291-E291-F291</f>
        <v>2</v>
      </c>
      <c r="H291" s="23">
        <v>121</v>
      </c>
      <c r="I291" s="23">
        <v>12</v>
      </c>
      <c r="J291" s="24">
        <f>E291*3+F291*1</f>
        <v>80</v>
      </c>
    </row>
    <row r="292" spans="2:10" x14ac:dyDescent="0.25">
      <c r="B292" s="2">
        <v>2</v>
      </c>
      <c r="C292" s="4" t="s">
        <v>18</v>
      </c>
      <c r="D292" s="23">
        <v>30</v>
      </c>
      <c r="E292" s="23">
        <v>26</v>
      </c>
      <c r="F292" s="23">
        <v>1</v>
      </c>
      <c r="G292" s="23">
        <f t="shared" ref="G292:G306" si="21">D292-E292-F292</f>
        <v>3</v>
      </c>
      <c r="H292" s="23">
        <v>115</v>
      </c>
      <c r="I292" s="23">
        <v>16</v>
      </c>
      <c r="J292" s="24">
        <f t="shared" ref="J292:J306" si="22">E292*3+F292*1</f>
        <v>79</v>
      </c>
    </row>
    <row r="293" spans="2:10" x14ac:dyDescent="0.25">
      <c r="B293" s="2">
        <v>3</v>
      </c>
      <c r="C293" s="4" t="s">
        <v>33</v>
      </c>
      <c r="D293" s="23">
        <v>30</v>
      </c>
      <c r="E293" s="23">
        <v>24</v>
      </c>
      <c r="F293" s="23">
        <v>2</v>
      </c>
      <c r="G293" s="23">
        <f t="shared" si="21"/>
        <v>4</v>
      </c>
      <c r="H293" s="23">
        <v>91</v>
      </c>
      <c r="I293" s="23">
        <v>21</v>
      </c>
      <c r="J293" s="24">
        <f t="shared" si="22"/>
        <v>74</v>
      </c>
    </row>
    <row r="294" spans="2:10" x14ac:dyDescent="0.25">
      <c r="B294" s="2">
        <v>4</v>
      </c>
      <c r="C294" s="4" t="s">
        <v>51</v>
      </c>
      <c r="D294" s="23">
        <v>30</v>
      </c>
      <c r="E294" s="23">
        <v>20</v>
      </c>
      <c r="F294" s="23">
        <v>3</v>
      </c>
      <c r="G294" s="23">
        <f t="shared" si="21"/>
        <v>7</v>
      </c>
      <c r="H294" s="23">
        <v>78</v>
      </c>
      <c r="I294" s="23">
        <v>25</v>
      </c>
      <c r="J294" s="24">
        <f t="shared" si="22"/>
        <v>63</v>
      </c>
    </row>
    <row r="295" spans="2:10" x14ac:dyDescent="0.25">
      <c r="B295" s="2">
        <v>5</v>
      </c>
      <c r="C295" s="4" t="s">
        <v>43</v>
      </c>
      <c r="D295" s="23">
        <v>30</v>
      </c>
      <c r="E295" s="23">
        <v>19</v>
      </c>
      <c r="F295" s="23">
        <v>5</v>
      </c>
      <c r="G295" s="23">
        <f t="shared" si="21"/>
        <v>6</v>
      </c>
      <c r="H295" s="23">
        <v>70</v>
      </c>
      <c r="I295" s="23">
        <v>23</v>
      </c>
      <c r="J295" s="24">
        <f t="shared" si="22"/>
        <v>62</v>
      </c>
    </row>
    <row r="296" spans="2:10" x14ac:dyDescent="0.25">
      <c r="B296" s="2">
        <v>6</v>
      </c>
      <c r="C296" s="4" t="s">
        <v>70</v>
      </c>
      <c r="D296" s="23">
        <v>30</v>
      </c>
      <c r="E296" s="23">
        <v>16</v>
      </c>
      <c r="F296" s="23">
        <v>6</v>
      </c>
      <c r="G296" s="23">
        <f t="shared" si="21"/>
        <v>8</v>
      </c>
      <c r="H296" s="23">
        <v>65</v>
      </c>
      <c r="I296" s="23">
        <v>37</v>
      </c>
      <c r="J296" s="24">
        <f t="shared" si="22"/>
        <v>54</v>
      </c>
    </row>
    <row r="297" spans="2:10" x14ac:dyDescent="0.25">
      <c r="B297" s="2">
        <v>7</v>
      </c>
      <c r="C297" s="4" t="s">
        <v>64</v>
      </c>
      <c r="D297" s="23">
        <v>30</v>
      </c>
      <c r="E297" s="23">
        <v>12</v>
      </c>
      <c r="F297" s="23">
        <v>6</v>
      </c>
      <c r="G297" s="23">
        <f t="shared" si="21"/>
        <v>12</v>
      </c>
      <c r="H297" s="23">
        <v>35</v>
      </c>
      <c r="I297" s="23">
        <v>37</v>
      </c>
      <c r="J297" s="24">
        <f t="shared" si="22"/>
        <v>42</v>
      </c>
    </row>
    <row r="298" spans="2:10" x14ac:dyDescent="0.25">
      <c r="B298" s="2">
        <v>8</v>
      </c>
      <c r="C298" s="4" t="s">
        <v>50</v>
      </c>
      <c r="D298" s="23">
        <v>30</v>
      </c>
      <c r="E298" s="23">
        <v>12</v>
      </c>
      <c r="F298" s="23">
        <v>3</v>
      </c>
      <c r="G298" s="23">
        <f t="shared" si="21"/>
        <v>15</v>
      </c>
      <c r="H298" s="23">
        <v>34</v>
      </c>
      <c r="I298" s="23">
        <v>49</v>
      </c>
      <c r="J298" s="24">
        <f t="shared" si="22"/>
        <v>39</v>
      </c>
    </row>
    <row r="299" spans="2:10" x14ac:dyDescent="0.25">
      <c r="B299" s="2">
        <v>9</v>
      </c>
      <c r="C299" s="4" t="s">
        <v>71</v>
      </c>
      <c r="D299" s="23">
        <v>30</v>
      </c>
      <c r="E299" s="23">
        <v>11</v>
      </c>
      <c r="F299" s="23">
        <v>4</v>
      </c>
      <c r="G299" s="23">
        <f t="shared" si="21"/>
        <v>15</v>
      </c>
      <c r="H299" s="23">
        <v>41</v>
      </c>
      <c r="I299" s="23">
        <v>45</v>
      </c>
      <c r="J299" s="24">
        <f t="shared" si="22"/>
        <v>37</v>
      </c>
    </row>
    <row r="300" spans="2:10" x14ac:dyDescent="0.25">
      <c r="B300" s="2">
        <v>10</v>
      </c>
      <c r="C300" s="4" t="s">
        <v>52</v>
      </c>
      <c r="D300" s="23">
        <v>30</v>
      </c>
      <c r="E300" s="23">
        <v>10</v>
      </c>
      <c r="F300" s="23">
        <v>4</v>
      </c>
      <c r="G300" s="23">
        <f t="shared" si="21"/>
        <v>16</v>
      </c>
      <c r="H300" s="23">
        <v>35</v>
      </c>
      <c r="I300" s="23">
        <v>61</v>
      </c>
      <c r="J300" s="24">
        <f t="shared" si="22"/>
        <v>34</v>
      </c>
    </row>
    <row r="301" spans="2:10" x14ac:dyDescent="0.25">
      <c r="B301" s="2">
        <v>11</v>
      </c>
      <c r="C301" s="4" t="s">
        <v>58</v>
      </c>
      <c r="D301" s="23">
        <v>30</v>
      </c>
      <c r="E301" s="23">
        <v>9</v>
      </c>
      <c r="F301" s="23">
        <v>4</v>
      </c>
      <c r="G301" s="23">
        <f t="shared" si="21"/>
        <v>17</v>
      </c>
      <c r="H301" s="23">
        <v>36</v>
      </c>
      <c r="I301" s="23">
        <v>68</v>
      </c>
      <c r="J301" s="24">
        <f t="shared" si="22"/>
        <v>31</v>
      </c>
    </row>
    <row r="302" spans="2:10" x14ac:dyDescent="0.25">
      <c r="B302" s="2">
        <v>12</v>
      </c>
      <c r="C302" s="4" t="s">
        <v>61</v>
      </c>
      <c r="D302" s="23">
        <v>30</v>
      </c>
      <c r="E302" s="23">
        <v>7</v>
      </c>
      <c r="F302" s="23">
        <v>4</v>
      </c>
      <c r="G302" s="23">
        <f t="shared" si="21"/>
        <v>19</v>
      </c>
      <c r="H302" s="23">
        <v>16</v>
      </c>
      <c r="I302" s="23">
        <v>84</v>
      </c>
      <c r="J302" s="24">
        <f t="shared" si="22"/>
        <v>25</v>
      </c>
    </row>
    <row r="303" spans="2:10" x14ac:dyDescent="0.25">
      <c r="B303" s="2">
        <v>13</v>
      </c>
      <c r="C303" s="4" t="s">
        <v>56</v>
      </c>
      <c r="D303" s="23">
        <v>30</v>
      </c>
      <c r="E303" s="23">
        <v>6</v>
      </c>
      <c r="F303" s="23">
        <v>6</v>
      </c>
      <c r="G303" s="23">
        <f t="shared" si="21"/>
        <v>18</v>
      </c>
      <c r="H303" s="23">
        <v>24</v>
      </c>
      <c r="I303" s="23">
        <v>89</v>
      </c>
      <c r="J303" s="24">
        <f t="shared" si="22"/>
        <v>24</v>
      </c>
    </row>
    <row r="304" spans="2:10" x14ac:dyDescent="0.25">
      <c r="B304" s="2">
        <v>14</v>
      </c>
      <c r="C304" s="4" t="s">
        <v>67</v>
      </c>
      <c r="D304" s="23">
        <v>30</v>
      </c>
      <c r="E304" s="23">
        <v>7</v>
      </c>
      <c r="F304" s="23">
        <v>1</v>
      </c>
      <c r="G304" s="23">
        <f t="shared" si="21"/>
        <v>22</v>
      </c>
      <c r="H304" s="23">
        <v>19</v>
      </c>
      <c r="I304" s="23">
        <v>79</v>
      </c>
      <c r="J304" s="24">
        <f t="shared" si="22"/>
        <v>22</v>
      </c>
    </row>
    <row r="305" spans="2:10" x14ac:dyDescent="0.25">
      <c r="B305" s="2">
        <v>15</v>
      </c>
      <c r="C305" s="4" t="s">
        <v>53</v>
      </c>
      <c r="D305" s="23">
        <v>30</v>
      </c>
      <c r="E305" s="23">
        <v>6</v>
      </c>
      <c r="F305" s="23">
        <v>3</v>
      </c>
      <c r="G305" s="23">
        <f t="shared" si="21"/>
        <v>21</v>
      </c>
      <c r="H305" s="23">
        <v>22</v>
      </c>
      <c r="I305" s="23">
        <v>69</v>
      </c>
      <c r="J305" s="24">
        <f t="shared" si="22"/>
        <v>21</v>
      </c>
    </row>
    <row r="306" spans="2:10" x14ac:dyDescent="0.25">
      <c r="B306" s="2">
        <v>16</v>
      </c>
      <c r="C306" s="4" t="s">
        <v>34</v>
      </c>
      <c r="D306" s="23">
        <v>0</v>
      </c>
      <c r="E306" s="23">
        <v>0</v>
      </c>
      <c r="F306" s="23">
        <v>0</v>
      </c>
      <c r="G306" s="23">
        <f t="shared" si="21"/>
        <v>0</v>
      </c>
      <c r="H306" s="23">
        <v>0</v>
      </c>
      <c r="I306" s="23">
        <v>0</v>
      </c>
      <c r="J306" s="24">
        <f t="shared" si="22"/>
        <v>0</v>
      </c>
    </row>
    <row r="307" spans="2:10" x14ac:dyDescent="0.25">
      <c r="B307" s="2"/>
      <c r="C307" s="2"/>
      <c r="D307" s="23"/>
      <c r="E307" s="23"/>
      <c r="F307" s="23"/>
      <c r="G307" s="23"/>
      <c r="H307" s="23"/>
      <c r="I307" s="23"/>
      <c r="J307" s="23"/>
    </row>
    <row r="308" spans="2:10" x14ac:dyDescent="0.25">
      <c r="B308" s="36" t="s">
        <v>66</v>
      </c>
      <c r="C308" s="36"/>
      <c r="D308" s="36"/>
      <c r="E308" s="36"/>
      <c r="F308" s="36"/>
      <c r="G308" s="36"/>
      <c r="H308" s="36"/>
      <c r="I308" s="36"/>
      <c r="J308" s="36"/>
    </row>
    <row r="309" spans="2:10" x14ac:dyDescent="0.25">
      <c r="B309" s="2">
        <v>1</v>
      </c>
      <c r="C309" s="4" t="s">
        <v>18</v>
      </c>
      <c r="D309" s="23">
        <v>30</v>
      </c>
      <c r="E309" s="23">
        <v>27</v>
      </c>
      <c r="F309" s="23">
        <v>2</v>
      </c>
      <c r="G309" s="23">
        <f>D309-E309-F309</f>
        <v>1</v>
      </c>
      <c r="H309" s="23">
        <v>101</v>
      </c>
      <c r="I309" s="23">
        <v>17</v>
      </c>
      <c r="J309" s="24">
        <f>E309*3+F309*1</f>
        <v>83</v>
      </c>
    </row>
    <row r="310" spans="2:10" x14ac:dyDescent="0.25">
      <c r="B310" s="2">
        <v>2</v>
      </c>
      <c r="C310" s="4" t="s">
        <v>32</v>
      </c>
      <c r="D310" s="23">
        <v>30</v>
      </c>
      <c r="E310" s="23">
        <v>27</v>
      </c>
      <c r="F310" s="23">
        <v>1</v>
      </c>
      <c r="G310" s="23">
        <f t="shared" ref="G310:G324" si="23">D310-E310-F310</f>
        <v>2</v>
      </c>
      <c r="H310" s="23">
        <v>122</v>
      </c>
      <c r="I310" s="23">
        <v>13</v>
      </c>
      <c r="J310" s="24">
        <f t="shared" ref="J310:J324" si="24">E310*3+F310*1</f>
        <v>82</v>
      </c>
    </row>
    <row r="311" spans="2:10" x14ac:dyDescent="0.25">
      <c r="B311" s="2">
        <v>3</v>
      </c>
      <c r="C311" s="4" t="s">
        <v>33</v>
      </c>
      <c r="D311" s="23">
        <v>30</v>
      </c>
      <c r="E311" s="23">
        <v>26</v>
      </c>
      <c r="F311" s="23">
        <v>3</v>
      </c>
      <c r="G311" s="23">
        <f t="shared" si="23"/>
        <v>1</v>
      </c>
      <c r="H311" s="23">
        <v>106</v>
      </c>
      <c r="I311" s="23">
        <v>11</v>
      </c>
      <c r="J311" s="24">
        <f t="shared" si="24"/>
        <v>81</v>
      </c>
    </row>
    <row r="312" spans="2:10" x14ac:dyDescent="0.25">
      <c r="B312" s="2">
        <v>4</v>
      </c>
      <c r="C312" s="4" t="s">
        <v>51</v>
      </c>
      <c r="D312" s="23">
        <v>30</v>
      </c>
      <c r="E312" s="23">
        <v>17</v>
      </c>
      <c r="F312" s="23">
        <v>4</v>
      </c>
      <c r="G312" s="23">
        <f t="shared" si="23"/>
        <v>9</v>
      </c>
      <c r="H312" s="23">
        <v>50</v>
      </c>
      <c r="I312" s="23">
        <v>35</v>
      </c>
      <c r="J312" s="24">
        <f t="shared" si="24"/>
        <v>55</v>
      </c>
    </row>
    <row r="313" spans="2:10" x14ac:dyDescent="0.25">
      <c r="B313" s="2">
        <v>5</v>
      </c>
      <c r="C313" s="4" t="s">
        <v>43</v>
      </c>
      <c r="D313" s="23">
        <v>30</v>
      </c>
      <c r="E313" s="23">
        <v>16</v>
      </c>
      <c r="F313" s="23">
        <v>3</v>
      </c>
      <c r="G313" s="23">
        <f t="shared" si="23"/>
        <v>11</v>
      </c>
      <c r="H313" s="23">
        <v>72</v>
      </c>
      <c r="I313" s="23">
        <v>37</v>
      </c>
      <c r="J313" s="24">
        <f t="shared" si="24"/>
        <v>51</v>
      </c>
    </row>
    <row r="314" spans="2:10" x14ac:dyDescent="0.25">
      <c r="B314" s="2">
        <v>6</v>
      </c>
      <c r="C314" s="4" t="s">
        <v>50</v>
      </c>
      <c r="D314" s="23">
        <v>30</v>
      </c>
      <c r="E314" s="23">
        <v>16</v>
      </c>
      <c r="F314" s="23">
        <v>3</v>
      </c>
      <c r="G314" s="23">
        <f t="shared" si="23"/>
        <v>11</v>
      </c>
      <c r="H314" s="23">
        <v>50</v>
      </c>
      <c r="I314" s="23">
        <v>40</v>
      </c>
      <c r="J314" s="24">
        <f t="shared" si="24"/>
        <v>51</v>
      </c>
    </row>
    <row r="315" spans="2:10" x14ac:dyDescent="0.25">
      <c r="B315" s="2">
        <v>7</v>
      </c>
      <c r="C315" s="4" t="s">
        <v>64</v>
      </c>
      <c r="D315" s="23">
        <v>30</v>
      </c>
      <c r="E315" s="23">
        <v>11</v>
      </c>
      <c r="F315" s="23">
        <v>6</v>
      </c>
      <c r="G315" s="23">
        <f t="shared" si="23"/>
        <v>13</v>
      </c>
      <c r="H315" s="23">
        <v>33</v>
      </c>
      <c r="I315" s="23">
        <v>40</v>
      </c>
      <c r="J315" s="24">
        <f t="shared" si="24"/>
        <v>39</v>
      </c>
    </row>
    <row r="316" spans="2:10" x14ac:dyDescent="0.25">
      <c r="B316" s="2">
        <v>8</v>
      </c>
      <c r="C316" s="4" t="s">
        <v>58</v>
      </c>
      <c r="D316" s="23">
        <v>30</v>
      </c>
      <c r="E316" s="23">
        <v>11</v>
      </c>
      <c r="F316" s="23">
        <v>5</v>
      </c>
      <c r="G316" s="23">
        <f t="shared" si="23"/>
        <v>14</v>
      </c>
      <c r="H316" s="23">
        <v>35</v>
      </c>
      <c r="I316" s="23">
        <v>50</v>
      </c>
      <c r="J316" s="24">
        <f t="shared" si="24"/>
        <v>38</v>
      </c>
    </row>
    <row r="317" spans="2:10" x14ac:dyDescent="0.25">
      <c r="B317" s="2">
        <v>9</v>
      </c>
      <c r="C317" s="4" t="s">
        <v>55</v>
      </c>
      <c r="D317" s="23">
        <v>30</v>
      </c>
      <c r="E317" s="23">
        <v>10</v>
      </c>
      <c r="F317" s="23">
        <v>7</v>
      </c>
      <c r="G317" s="23">
        <f t="shared" si="23"/>
        <v>13</v>
      </c>
      <c r="H317" s="23">
        <v>43</v>
      </c>
      <c r="I317" s="23">
        <v>53</v>
      </c>
      <c r="J317" s="24">
        <f t="shared" si="24"/>
        <v>37</v>
      </c>
    </row>
    <row r="318" spans="2:10" x14ac:dyDescent="0.25">
      <c r="B318" s="2">
        <v>10</v>
      </c>
      <c r="C318" s="4" t="s">
        <v>67</v>
      </c>
      <c r="D318" s="23">
        <v>30</v>
      </c>
      <c r="E318" s="23">
        <v>7</v>
      </c>
      <c r="F318" s="23">
        <v>11</v>
      </c>
      <c r="G318" s="23">
        <f t="shared" si="23"/>
        <v>12</v>
      </c>
      <c r="H318" s="23">
        <v>29</v>
      </c>
      <c r="I318" s="23">
        <v>47</v>
      </c>
      <c r="J318" s="24">
        <f t="shared" si="24"/>
        <v>32</v>
      </c>
    </row>
    <row r="319" spans="2:10" x14ac:dyDescent="0.25">
      <c r="B319" s="2">
        <v>11</v>
      </c>
      <c r="C319" s="4" t="s">
        <v>61</v>
      </c>
      <c r="D319" s="23">
        <v>30</v>
      </c>
      <c r="E319" s="23">
        <v>8</v>
      </c>
      <c r="F319" s="23">
        <v>5</v>
      </c>
      <c r="G319" s="23">
        <f t="shared" si="23"/>
        <v>17</v>
      </c>
      <c r="H319" s="23">
        <v>35</v>
      </c>
      <c r="I319" s="23">
        <v>72</v>
      </c>
      <c r="J319" s="24">
        <f t="shared" si="24"/>
        <v>29</v>
      </c>
    </row>
    <row r="320" spans="2:10" x14ac:dyDescent="0.25">
      <c r="B320" s="2">
        <v>12</v>
      </c>
      <c r="C320" s="4" t="s">
        <v>53</v>
      </c>
      <c r="D320" s="23">
        <v>30</v>
      </c>
      <c r="E320" s="23">
        <v>7</v>
      </c>
      <c r="F320" s="23">
        <v>6</v>
      </c>
      <c r="G320" s="23">
        <f t="shared" si="23"/>
        <v>17</v>
      </c>
      <c r="H320" s="23">
        <v>20</v>
      </c>
      <c r="I320" s="23">
        <v>60</v>
      </c>
      <c r="J320" s="24">
        <f t="shared" si="24"/>
        <v>27</v>
      </c>
    </row>
    <row r="321" spans="2:10" x14ac:dyDescent="0.25">
      <c r="B321" s="2">
        <v>13</v>
      </c>
      <c r="C321" s="4" t="s">
        <v>52</v>
      </c>
      <c r="D321" s="23">
        <v>30</v>
      </c>
      <c r="E321" s="23">
        <v>7</v>
      </c>
      <c r="F321" s="23">
        <v>5</v>
      </c>
      <c r="G321" s="23">
        <f t="shared" si="23"/>
        <v>18</v>
      </c>
      <c r="H321" s="23">
        <v>31</v>
      </c>
      <c r="I321" s="23">
        <v>69</v>
      </c>
      <c r="J321" s="24">
        <f t="shared" si="24"/>
        <v>26</v>
      </c>
    </row>
    <row r="322" spans="2:10" x14ac:dyDescent="0.25">
      <c r="B322" s="2">
        <v>14</v>
      </c>
      <c r="C322" s="4" t="s">
        <v>56</v>
      </c>
      <c r="D322" s="23">
        <v>30</v>
      </c>
      <c r="E322" s="23">
        <v>6</v>
      </c>
      <c r="F322" s="23">
        <v>5</v>
      </c>
      <c r="G322" s="23">
        <f t="shared" si="23"/>
        <v>19</v>
      </c>
      <c r="H322" s="23">
        <v>26</v>
      </c>
      <c r="I322" s="23">
        <v>81</v>
      </c>
      <c r="J322" s="24">
        <f t="shared" si="24"/>
        <v>23</v>
      </c>
    </row>
    <row r="323" spans="2:10" x14ac:dyDescent="0.25">
      <c r="B323" s="2">
        <v>15</v>
      </c>
      <c r="C323" s="4" t="s">
        <v>68</v>
      </c>
      <c r="D323" s="23">
        <v>30</v>
      </c>
      <c r="E323" s="23">
        <v>4</v>
      </c>
      <c r="F323" s="23">
        <v>6</v>
      </c>
      <c r="G323" s="23">
        <f t="shared" si="23"/>
        <v>20</v>
      </c>
      <c r="H323" s="23">
        <v>24</v>
      </c>
      <c r="I323" s="23">
        <v>86</v>
      </c>
      <c r="J323" s="24">
        <f t="shared" si="24"/>
        <v>18</v>
      </c>
    </row>
    <row r="324" spans="2:10" x14ac:dyDescent="0.25">
      <c r="B324" s="2">
        <v>16</v>
      </c>
      <c r="C324" s="4" t="s">
        <v>65</v>
      </c>
      <c r="D324" s="23">
        <v>30</v>
      </c>
      <c r="E324" s="23">
        <v>3</v>
      </c>
      <c r="F324" s="23">
        <v>2</v>
      </c>
      <c r="G324" s="23">
        <f t="shared" si="23"/>
        <v>25</v>
      </c>
      <c r="H324" s="23">
        <v>19</v>
      </c>
      <c r="I324" s="23">
        <v>85</v>
      </c>
      <c r="J324" s="24">
        <f t="shared" si="24"/>
        <v>11</v>
      </c>
    </row>
    <row r="325" spans="2:10" x14ac:dyDescent="0.25">
      <c r="B325" s="2"/>
      <c r="C325" s="2"/>
      <c r="D325" s="23"/>
      <c r="E325" s="23"/>
      <c r="F325" s="23"/>
      <c r="G325" s="23"/>
      <c r="H325" s="23"/>
      <c r="I325" s="23"/>
      <c r="J325" s="23"/>
    </row>
    <row r="326" spans="2:10" x14ac:dyDescent="0.25">
      <c r="B326" s="36" t="s">
        <v>63</v>
      </c>
      <c r="C326" s="36"/>
      <c r="D326" s="36"/>
      <c r="E326" s="36"/>
      <c r="F326" s="36"/>
      <c r="G326" s="36"/>
      <c r="H326" s="36"/>
      <c r="I326" s="36"/>
      <c r="J326" s="36"/>
    </row>
    <row r="327" spans="2:10" x14ac:dyDescent="0.25">
      <c r="B327" s="2">
        <v>1</v>
      </c>
      <c r="C327" s="4" t="s">
        <v>18</v>
      </c>
      <c r="D327" s="23">
        <v>30</v>
      </c>
      <c r="E327" s="23">
        <v>26</v>
      </c>
      <c r="F327" s="23">
        <v>2</v>
      </c>
      <c r="G327" s="23">
        <f>D327-E327-F327</f>
        <v>2</v>
      </c>
      <c r="H327" s="23">
        <v>136</v>
      </c>
      <c r="I327" s="23">
        <v>14</v>
      </c>
      <c r="J327" s="24">
        <f>E327*3+F327*1</f>
        <v>80</v>
      </c>
    </row>
    <row r="328" spans="2:10" x14ac:dyDescent="0.25">
      <c r="B328" s="2">
        <v>2</v>
      </c>
      <c r="C328" s="4" t="s">
        <v>32</v>
      </c>
      <c r="D328" s="23">
        <v>30</v>
      </c>
      <c r="E328" s="23">
        <v>26</v>
      </c>
      <c r="F328" s="23">
        <v>2</v>
      </c>
      <c r="G328" s="23">
        <f t="shared" ref="G328:G342" si="25">D328-E328-F328</f>
        <v>2</v>
      </c>
      <c r="H328" s="23">
        <v>137</v>
      </c>
      <c r="I328" s="23">
        <v>16</v>
      </c>
      <c r="J328" s="24">
        <f t="shared" ref="J328:J342" si="26">E328*3+F328*1</f>
        <v>80</v>
      </c>
    </row>
    <row r="329" spans="2:10" x14ac:dyDescent="0.25">
      <c r="B329" s="2">
        <v>3</v>
      </c>
      <c r="C329" s="4" t="s">
        <v>33</v>
      </c>
      <c r="D329" s="23">
        <v>30</v>
      </c>
      <c r="E329" s="23">
        <v>23</v>
      </c>
      <c r="F329" s="23">
        <v>3</v>
      </c>
      <c r="G329" s="23">
        <f t="shared" si="25"/>
        <v>4</v>
      </c>
      <c r="H329" s="23">
        <v>136</v>
      </c>
      <c r="I329" s="23">
        <v>23</v>
      </c>
      <c r="J329" s="24">
        <f t="shared" si="26"/>
        <v>72</v>
      </c>
    </row>
    <row r="330" spans="2:10" x14ac:dyDescent="0.25">
      <c r="B330" s="2">
        <v>4</v>
      </c>
      <c r="C330" s="4" t="s">
        <v>43</v>
      </c>
      <c r="D330" s="23">
        <v>30</v>
      </c>
      <c r="E330" s="23">
        <v>20</v>
      </c>
      <c r="F330" s="23">
        <v>7</v>
      </c>
      <c r="G330" s="23">
        <f t="shared" si="25"/>
        <v>3</v>
      </c>
      <c r="H330" s="23">
        <v>115</v>
      </c>
      <c r="I330" s="23">
        <v>20</v>
      </c>
      <c r="J330" s="24">
        <f t="shared" si="26"/>
        <v>67</v>
      </c>
    </row>
    <row r="331" spans="2:10" x14ac:dyDescent="0.25">
      <c r="B331" s="2">
        <v>5</v>
      </c>
      <c r="C331" s="4" t="s">
        <v>51</v>
      </c>
      <c r="D331" s="23">
        <v>30</v>
      </c>
      <c r="E331" s="23">
        <v>18</v>
      </c>
      <c r="F331" s="23">
        <v>3</v>
      </c>
      <c r="G331" s="23">
        <f t="shared" si="25"/>
        <v>9</v>
      </c>
      <c r="H331" s="23">
        <v>73</v>
      </c>
      <c r="I331" s="23">
        <v>34</v>
      </c>
      <c r="J331" s="24">
        <f t="shared" si="26"/>
        <v>57</v>
      </c>
    </row>
    <row r="332" spans="2:10" x14ac:dyDescent="0.25">
      <c r="B332" s="2">
        <v>6</v>
      </c>
      <c r="C332" s="4" t="s">
        <v>58</v>
      </c>
      <c r="D332" s="23">
        <v>30</v>
      </c>
      <c r="E332" s="23">
        <v>14</v>
      </c>
      <c r="F332" s="23">
        <v>7</v>
      </c>
      <c r="G332" s="23">
        <f t="shared" si="25"/>
        <v>9</v>
      </c>
      <c r="H332" s="23">
        <v>69</v>
      </c>
      <c r="I332" s="23">
        <v>46</v>
      </c>
      <c r="J332" s="24">
        <f t="shared" si="26"/>
        <v>49</v>
      </c>
    </row>
    <row r="333" spans="2:10" x14ac:dyDescent="0.25">
      <c r="B333" s="2">
        <v>7</v>
      </c>
      <c r="C333" s="4" t="s">
        <v>61</v>
      </c>
      <c r="D333" s="23">
        <v>30</v>
      </c>
      <c r="E333" s="23">
        <v>14</v>
      </c>
      <c r="F333" s="23">
        <v>5</v>
      </c>
      <c r="G333" s="23">
        <f t="shared" si="25"/>
        <v>11</v>
      </c>
      <c r="H333" s="23">
        <v>50</v>
      </c>
      <c r="I333" s="23">
        <v>63</v>
      </c>
      <c r="J333" s="24">
        <f t="shared" si="26"/>
        <v>47</v>
      </c>
    </row>
    <row r="334" spans="2:10" x14ac:dyDescent="0.25">
      <c r="B334" s="2">
        <v>8</v>
      </c>
      <c r="C334" s="4" t="s">
        <v>55</v>
      </c>
      <c r="D334" s="23">
        <v>30</v>
      </c>
      <c r="E334" s="23">
        <v>14</v>
      </c>
      <c r="F334" s="23">
        <v>2</v>
      </c>
      <c r="G334" s="23">
        <f t="shared" si="25"/>
        <v>14</v>
      </c>
      <c r="H334" s="23">
        <v>56</v>
      </c>
      <c r="I334" s="23">
        <v>57</v>
      </c>
      <c r="J334" s="24">
        <f t="shared" si="26"/>
        <v>44</v>
      </c>
    </row>
    <row r="335" spans="2:10" x14ac:dyDescent="0.25">
      <c r="B335" s="2">
        <v>9</v>
      </c>
      <c r="C335" s="4" t="s">
        <v>50</v>
      </c>
      <c r="D335" s="23">
        <v>30</v>
      </c>
      <c r="E335" s="23">
        <v>12</v>
      </c>
      <c r="F335" s="23">
        <v>4</v>
      </c>
      <c r="G335" s="23">
        <f t="shared" si="25"/>
        <v>14</v>
      </c>
      <c r="H335" s="23">
        <v>57</v>
      </c>
      <c r="I335" s="23">
        <v>48</v>
      </c>
      <c r="J335" s="24">
        <f t="shared" si="26"/>
        <v>40</v>
      </c>
    </row>
    <row r="336" spans="2:10" x14ac:dyDescent="0.25">
      <c r="B336" s="2">
        <v>10</v>
      </c>
      <c r="C336" s="4" t="s">
        <v>64</v>
      </c>
      <c r="D336" s="23">
        <v>30</v>
      </c>
      <c r="E336" s="23">
        <v>11</v>
      </c>
      <c r="F336" s="23">
        <v>2</v>
      </c>
      <c r="G336" s="23">
        <f t="shared" si="25"/>
        <v>17</v>
      </c>
      <c r="H336" s="23">
        <v>47</v>
      </c>
      <c r="I336" s="23">
        <v>55</v>
      </c>
      <c r="J336" s="24">
        <f t="shared" si="26"/>
        <v>35</v>
      </c>
    </row>
    <row r="337" spans="2:10" x14ac:dyDescent="0.25">
      <c r="B337" s="2">
        <v>11</v>
      </c>
      <c r="C337" s="4" t="s">
        <v>65</v>
      </c>
      <c r="D337" s="23">
        <v>30</v>
      </c>
      <c r="E337" s="23">
        <v>9</v>
      </c>
      <c r="F337" s="23">
        <v>5</v>
      </c>
      <c r="G337" s="23">
        <f t="shared" si="25"/>
        <v>16</v>
      </c>
      <c r="H337" s="23">
        <v>50</v>
      </c>
      <c r="I337" s="23">
        <v>60</v>
      </c>
      <c r="J337" s="24">
        <f t="shared" si="26"/>
        <v>32</v>
      </c>
    </row>
    <row r="338" spans="2:10" x14ac:dyDescent="0.25">
      <c r="B338" s="2">
        <v>12</v>
      </c>
      <c r="C338" s="4" t="s">
        <v>53</v>
      </c>
      <c r="D338" s="23">
        <v>30</v>
      </c>
      <c r="E338" s="23">
        <v>7</v>
      </c>
      <c r="F338" s="23">
        <v>5</v>
      </c>
      <c r="G338" s="23">
        <f t="shared" si="25"/>
        <v>18</v>
      </c>
      <c r="H338" s="23">
        <v>33</v>
      </c>
      <c r="I338" s="23">
        <v>53</v>
      </c>
      <c r="J338" s="24">
        <f t="shared" si="26"/>
        <v>26</v>
      </c>
    </row>
    <row r="339" spans="2:10" x14ac:dyDescent="0.25">
      <c r="B339" s="2">
        <v>13</v>
      </c>
      <c r="C339" s="4" t="s">
        <v>56</v>
      </c>
      <c r="D339" s="23">
        <v>30</v>
      </c>
      <c r="E339" s="23">
        <v>7</v>
      </c>
      <c r="F339" s="23">
        <v>5</v>
      </c>
      <c r="G339" s="23">
        <f t="shared" si="25"/>
        <v>18</v>
      </c>
      <c r="H339" s="23">
        <v>42</v>
      </c>
      <c r="I339" s="23">
        <v>75</v>
      </c>
      <c r="J339" s="24">
        <f t="shared" si="26"/>
        <v>26</v>
      </c>
    </row>
    <row r="340" spans="2:10" x14ac:dyDescent="0.25">
      <c r="B340" s="2">
        <v>14</v>
      </c>
      <c r="C340" s="4" t="s">
        <v>52</v>
      </c>
      <c r="D340" s="23">
        <v>30</v>
      </c>
      <c r="E340" s="23">
        <v>6</v>
      </c>
      <c r="F340" s="23">
        <v>5</v>
      </c>
      <c r="G340" s="23">
        <f t="shared" si="25"/>
        <v>19</v>
      </c>
      <c r="H340" s="23">
        <v>45</v>
      </c>
      <c r="I340" s="23">
        <v>74</v>
      </c>
      <c r="J340" s="24">
        <f t="shared" si="26"/>
        <v>23</v>
      </c>
    </row>
    <row r="341" spans="2:10" x14ac:dyDescent="0.25">
      <c r="B341" s="2">
        <v>15</v>
      </c>
      <c r="C341" s="4" t="s">
        <v>34</v>
      </c>
      <c r="D341" s="23">
        <v>28</v>
      </c>
      <c r="E341" s="23">
        <v>1</v>
      </c>
      <c r="F341" s="23">
        <v>0</v>
      </c>
      <c r="G341" s="23">
        <f t="shared" si="25"/>
        <v>27</v>
      </c>
      <c r="H341" s="23">
        <v>3</v>
      </c>
      <c r="I341" s="23">
        <v>303</v>
      </c>
      <c r="J341" s="24">
        <f t="shared" si="26"/>
        <v>3</v>
      </c>
    </row>
    <row r="342" spans="2:10" x14ac:dyDescent="0.25">
      <c r="B342" s="2">
        <v>16</v>
      </c>
      <c r="C342" s="4" t="s">
        <v>34</v>
      </c>
      <c r="D342" s="23">
        <v>0</v>
      </c>
      <c r="E342" s="23">
        <v>0</v>
      </c>
      <c r="F342" s="23">
        <v>0</v>
      </c>
      <c r="G342" s="23">
        <f t="shared" si="25"/>
        <v>0</v>
      </c>
      <c r="H342" s="23">
        <v>0</v>
      </c>
      <c r="I342" s="23">
        <v>0</v>
      </c>
      <c r="J342" s="24">
        <f t="shared" si="26"/>
        <v>0</v>
      </c>
    </row>
    <row r="343" spans="2:10" x14ac:dyDescent="0.25">
      <c r="B343" s="2"/>
      <c r="C343" s="2"/>
      <c r="D343" s="23"/>
      <c r="E343" s="23"/>
      <c r="F343" s="23"/>
      <c r="G343" s="23"/>
      <c r="H343" s="23"/>
      <c r="I343" s="23"/>
      <c r="J343" s="23"/>
    </row>
    <row r="344" spans="2:10" x14ac:dyDescent="0.25">
      <c r="B344" s="36" t="s">
        <v>60</v>
      </c>
      <c r="C344" s="36"/>
      <c r="D344" s="36"/>
      <c r="E344" s="36"/>
      <c r="F344" s="36"/>
      <c r="G344" s="36"/>
      <c r="H344" s="36"/>
      <c r="I344" s="36"/>
      <c r="J344" s="36"/>
    </row>
    <row r="345" spans="2:10" x14ac:dyDescent="0.25">
      <c r="B345" s="2">
        <v>1</v>
      </c>
      <c r="C345" s="4" t="s">
        <v>33</v>
      </c>
      <c r="D345" s="23">
        <v>30</v>
      </c>
      <c r="E345" s="23">
        <v>28</v>
      </c>
      <c r="F345" s="23">
        <v>1</v>
      </c>
      <c r="G345" s="23">
        <f>D345-E345-F345</f>
        <v>1</v>
      </c>
      <c r="H345" s="23">
        <v>121</v>
      </c>
      <c r="I345" s="23">
        <v>13</v>
      </c>
      <c r="J345" s="24">
        <f>E345*3+F345*1</f>
        <v>85</v>
      </c>
    </row>
    <row r="346" spans="2:10" x14ac:dyDescent="0.25">
      <c r="B346" s="2">
        <v>2</v>
      </c>
      <c r="C346" s="4" t="s">
        <v>18</v>
      </c>
      <c r="D346" s="23">
        <v>30</v>
      </c>
      <c r="E346" s="23">
        <v>25</v>
      </c>
      <c r="F346" s="23">
        <v>3</v>
      </c>
      <c r="G346" s="23">
        <f t="shared" ref="G346:G360" si="27">D346-E346-F346</f>
        <v>2</v>
      </c>
      <c r="H346" s="23">
        <v>128</v>
      </c>
      <c r="I346" s="23">
        <v>20</v>
      </c>
      <c r="J346" s="24">
        <f t="shared" ref="J346:J360" si="28">E346*3+F346*1</f>
        <v>78</v>
      </c>
    </row>
    <row r="347" spans="2:10" x14ac:dyDescent="0.25">
      <c r="B347" s="2">
        <v>3</v>
      </c>
      <c r="C347" s="4" t="s">
        <v>32</v>
      </c>
      <c r="D347" s="23">
        <v>30</v>
      </c>
      <c r="E347" s="23">
        <v>23</v>
      </c>
      <c r="F347" s="23">
        <v>2</v>
      </c>
      <c r="G347" s="23">
        <f t="shared" si="27"/>
        <v>5</v>
      </c>
      <c r="H347" s="23">
        <v>105</v>
      </c>
      <c r="I347" s="23">
        <v>23</v>
      </c>
      <c r="J347" s="24">
        <f t="shared" si="28"/>
        <v>71</v>
      </c>
    </row>
    <row r="348" spans="2:10" x14ac:dyDescent="0.25">
      <c r="B348" s="2">
        <v>4</v>
      </c>
      <c r="C348" s="4" t="s">
        <v>24</v>
      </c>
      <c r="D348" s="23">
        <v>30</v>
      </c>
      <c r="E348" s="23">
        <v>20</v>
      </c>
      <c r="F348" s="23">
        <v>3</v>
      </c>
      <c r="G348" s="23">
        <f t="shared" si="27"/>
        <v>7</v>
      </c>
      <c r="H348" s="23">
        <v>112</v>
      </c>
      <c r="I348" s="23">
        <v>36</v>
      </c>
      <c r="J348" s="24">
        <f t="shared" si="28"/>
        <v>63</v>
      </c>
    </row>
    <row r="349" spans="2:10" x14ac:dyDescent="0.25">
      <c r="B349" s="2">
        <v>5</v>
      </c>
      <c r="C349" s="4" t="s">
        <v>51</v>
      </c>
      <c r="D349" s="23">
        <v>30</v>
      </c>
      <c r="E349" s="23">
        <v>19</v>
      </c>
      <c r="F349" s="23">
        <v>4</v>
      </c>
      <c r="G349" s="23">
        <f t="shared" si="27"/>
        <v>7</v>
      </c>
      <c r="H349" s="23">
        <v>81</v>
      </c>
      <c r="I349" s="23">
        <v>34</v>
      </c>
      <c r="J349" s="24">
        <f t="shared" si="28"/>
        <v>61</v>
      </c>
    </row>
    <row r="350" spans="2:10" x14ac:dyDescent="0.25">
      <c r="B350" s="2">
        <v>6</v>
      </c>
      <c r="C350" s="4" t="s">
        <v>50</v>
      </c>
      <c r="D350" s="23">
        <v>30</v>
      </c>
      <c r="E350" s="23">
        <v>17</v>
      </c>
      <c r="F350" s="23">
        <v>2</v>
      </c>
      <c r="G350" s="23">
        <f t="shared" si="27"/>
        <v>11</v>
      </c>
      <c r="H350" s="23">
        <v>70</v>
      </c>
      <c r="I350" s="23">
        <v>39</v>
      </c>
      <c r="J350" s="24">
        <f t="shared" si="28"/>
        <v>53</v>
      </c>
    </row>
    <row r="351" spans="2:10" x14ac:dyDescent="0.25">
      <c r="B351" s="2">
        <v>7</v>
      </c>
      <c r="C351" s="4" t="s">
        <v>43</v>
      </c>
      <c r="D351" s="23">
        <v>30</v>
      </c>
      <c r="E351" s="23">
        <v>16</v>
      </c>
      <c r="F351" s="23">
        <v>3</v>
      </c>
      <c r="G351" s="23">
        <f t="shared" si="27"/>
        <v>11</v>
      </c>
      <c r="H351" s="23">
        <v>62</v>
      </c>
      <c r="I351" s="23">
        <v>34</v>
      </c>
      <c r="J351" s="24">
        <f t="shared" si="28"/>
        <v>51</v>
      </c>
    </row>
    <row r="352" spans="2:10" x14ac:dyDescent="0.25">
      <c r="B352" s="2">
        <v>8</v>
      </c>
      <c r="C352" s="4" t="s">
        <v>55</v>
      </c>
      <c r="D352" s="23">
        <v>30</v>
      </c>
      <c r="E352" s="23">
        <v>13</v>
      </c>
      <c r="F352" s="23">
        <v>4</v>
      </c>
      <c r="G352" s="23">
        <f t="shared" si="27"/>
        <v>13</v>
      </c>
      <c r="H352" s="23">
        <v>56</v>
      </c>
      <c r="I352" s="23">
        <v>44</v>
      </c>
      <c r="J352" s="24">
        <f t="shared" si="28"/>
        <v>43</v>
      </c>
    </row>
    <row r="353" spans="2:10" x14ac:dyDescent="0.25">
      <c r="B353" s="2">
        <v>9</v>
      </c>
      <c r="C353" s="4" t="s">
        <v>53</v>
      </c>
      <c r="D353" s="23">
        <v>30</v>
      </c>
      <c r="E353" s="23">
        <v>11</v>
      </c>
      <c r="F353" s="23">
        <v>6</v>
      </c>
      <c r="G353" s="23">
        <f t="shared" si="27"/>
        <v>13</v>
      </c>
      <c r="H353" s="23">
        <v>32</v>
      </c>
      <c r="I353" s="23">
        <v>48</v>
      </c>
      <c r="J353" s="24">
        <f t="shared" si="28"/>
        <v>39</v>
      </c>
    </row>
    <row r="354" spans="2:10" x14ac:dyDescent="0.25">
      <c r="B354" s="2">
        <v>10</v>
      </c>
      <c r="C354" s="4" t="s">
        <v>58</v>
      </c>
      <c r="D354" s="23">
        <v>30</v>
      </c>
      <c r="E354" s="23">
        <v>9</v>
      </c>
      <c r="F354" s="23">
        <v>5</v>
      </c>
      <c r="G354" s="23">
        <f t="shared" si="27"/>
        <v>16</v>
      </c>
      <c r="H354" s="23">
        <v>42</v>
      </c>
      <c r="I354" s="23">
        <v>60</v>
      </c>
      <c r="J354" s="24">
        <f t="shared" si="28"/>
        <v>32</v>
      </c>
    </row>
    <row r="355" spans="2:10" x14ac:dyDescent="0.25">
      <c r="B355" s="2">
        <v>11</v>
      </c>
      <c r="C355" s="4" t="s">
        <v>56</v>
      </c>
      <c r="D355" s="23">
        <v>30</v>
      </c>
      <c r="E355" s="23">
        <v>8</v>
      </c>
      <c r="F355" s="23">
        <v>3</v>
      </c>
      <c r="G355" s="23">
        <f t="shared" si="27"/>
        <v>19</v>
      </c>
      <c r="H355" s="23">
        <v>38</v>
      </c>
      <c r="I355" s="23">
        <v>77</v>
      </c>
      <c r="J355" s="24">
        <f t="shared" si="28"/>
        <v>27</v>
      </c>
    </row>
    <row r="356" spans="2:10" x14ac:dyDescent="0.25">
      <c r="B356" s="2">
        <v>12</v>
      </c>
      <c r="C356" s="4" t="s">
        <v>61</v>
      </c>
      <c r="D356" s="23">
        <v>30</v>
      </c>
      <c r="E356" s="23">
        <v>6</v>
      </c>
      <c r="F356" s="23">
        <v>6</v>
      </c>
      <c r="G356" s="23">
        <f t="shared" si="27"/>
        <v>18</v>
      </c>
      <c r="H356" s="23">
        <v>36</v>
      </c>
      <c r="I356" s="23">
        <v>82</v>
      </c>
      <c r="J356" s="24">
        <f t="shared" si="28"/>
        <v>24</v>
      </c>
    </row>
    <row r="357" spans="2:10" x14ac:dyDescent="0.25">
      <c r="B357" s="2">
        <v>13</v>
      </c>
      <c r="C357" s="4" t="s">
        <v>52</v>
      </c>
      <c r="D357" s="23">
        <v>30</v>
      </c>
      <c r="E357" s="23">
        <v>5</v>
      </c>
      <c r="F357" s="23">
        <v>3</v>
      </c>
      <c r="G357" s="23">
        <f t="shared" si="27"/>
        <v>22</v>
      </c>
      <c r="H357" s="23">
        <v>23</v>
      </c>
      <c r="I357" s="23">
        <v>96</v>
      </c>
      <c r="J357" s="24">
        <f t="shared" si="28"/>
        <v>18</v>
      </c>
    </row>
    <row r="358" spans="2:10" x14ac:dyDescent="0.25">
      <c r="B358" s="2">
        <v>14</v>
      </c>
      <c r="C358" s="4" t="s">
        <v>59</v>
      </c>
      <c r="D358" s="23">
        <v>30</v>
      </c>
      <c r="E358" s="23">
        <v>4</v>
      </c>
      <c r="F358" s="23">
        <v>5</v>
      </c>
      <c r="G358" s="23">
        <f t="shared" si="27"/>
        <v>21</v>
      </c>
      <c r="H358" s="23">
        <v>16</v>
      </c>
      <c r="I358" s="23">
        <v>83</v>
      </c>
      <c r="J358" s="24">
        <f t="shared" si="28"/>
        <v>17</v>
      </c>
    </row>
    <row r="359" spans="2:10" x14ac:dyDescent="0.25">
      <c r="B359" s="2">
        <v>15</v>
      </c>
      <c r="C359" s="4" t="s">
        <v>92</v>
      </c>
      <c r="D359" s="23">
        <v>30</v>
      </c>
      <c r="E359" s="23">
        <v>5</v>
      </c>
      <c r="F359" s="23">
        <v>1</v>
      </c>
      <c r="G359" s="23">
        <f t="shared" si="27"/>
        <v>24</v>
      </c>
      <c r="H359" s="23">
        <v>22</v>
      </c>
      <c r="I359" s="23">
        <v>72</v>
      </c>
      <c r="J359" s="24">
        <f t="shared" si="28"/>
        <v>16</v>
      </c>
    </row>
    <row r="360" spans="2:10" x14ac:dyDescent="0.25">
      <c r="B360" s="2">
        <v>16</v>
      </c>
      <c r="C360" s="4" t="s">
        <v>34</v>
      </c>
      <c r="D360" s="23">
        <v>18</v>
      </c>
      <c r="E360" s="23">
        <v>0</v>
      </c>
      <c r="F360" s="23">
        <v>0</v>
      </c>
      <c r="G360" s="23">
        <f t="shared" si="27"/>
        <v>18</v>
      </c>
      <c r="H360" s="23">
        <v>0</v>
      </c>
      <c r="I360" s="23">
        <v>183</v>
      </c>
      <c r="J360" s="24">
        <f t="shared" si="28"/>
        <v>0</v>
      </c>
    </row>
    <row r="361" spans="2:10" x14ac:dyDescent="0.25">
      <c r="B361" s="2"/>
      <c r="C361" s="2"/>
      <c r="D361" s="23"/>
      <c r="E361" s="23"/>
      <c r="F361" s="23"/>
      <c r="G361" s="23"/>
      <c r="H361" s="23"/>
      <c r="I361" s="23"/>
      <c r="J361" s="23"/>
    </row>
    <row r="362" spans="2:10" x14ac:dyDescent="0.25">
      <c r="B362" s="36" t="s">
        <v>57</v>
      </c>
      <c r="C362" s="36"/>
      <c r="D362" s="36"/>
      <c r="E362" s="36"/>
      <c r="F362" s="36"/>
      <c r="G362" s="36"/>
      <c r="H362" s="36"/>
      <c r="I362" s="36"/>
      <c r="J362" s="36"/>
    </row>
    <row r="363" spans="2:10" x14ac:dyDescent="0.25">
      <c r="B363" s="2">
        <v>1</v>
      </c>
      <c r="C363" s="4" t="s">
        <v>18</v>
      </c>
      <c r="D363" s="23">
        <v>30</v>
      </c>
      <c r="E363" s="23">
        <v>23</v>
      </c>
      <c r="F363" s="23">
        <v>4</v>
      </c>
      <c r="G363" s="23">
        <f>D363-E363-F363</f>
        <v>3</v>
      </c>
      <c r="H363" s="23">
        <v>144</v>
      </c>
      <c r="I363" s="23">
        <v>23</v>
      </c>
      <c r="J363" s="24">
        <f>E363*3+F363*1</f>
        <v>73</v>
      </c>
    </row>
    <row r="364" spans="2:10" x14ac:dyDescent="0.25">
      <c r="B364" s="2">
        <v>2</v>
      </c>
      <c r="C364" s="4" t="s">
        <v>33</v>
      </c>
      <c r="D364" s="23">
        <v>30</v>
      </c>
      <c r="E364" s="23">
        <v>22</v>
      </c>
      <c r="F364" s="23">
        <v>5</v>
      </c>
      <c r="G364" s="23">
        <f t="shared" ref="G364:G378" si="29">D364-E364-F364</f>
        <v>3</v>
      </c>
      <c r="H364" s="23">
        <v>107</v>
      </c>
      <c r="I364" s="23">
        <v>19</v>
      </c>
      <c r="J364" s="24">
        <f t="shared" ref="J364:J378" si="30">E364*3+F364*1</f>
        <v>71</v>
      </c>
    </row>
    <row r="365" spans="2:10" x14ac:dyDescent="0.25">
      <c r="B365" s="2">
        <v>3</v>
      </c>
      <c r="C365" s="4" t="s">
        <v>32</v>
      </c>
      <c r="D365" s="23">
        <v>30</v>
      </c>
      <c r="E365" s="23">
        <v>20</v>
      </c>
      <c r="F365" s="23">
        <v>9</v>
      </c>
      <c r="G365" s="23">
        <f t="shared" si="29"/>
        <v>1</v>
      </c>
      <c r="H365" s="23">
        <v>121</v>
      </c>
      <c r="I365" s="23">
        <v>19</v>
      </c>
      <c r="J365" s="24">
        <f t="shared" si="30"/>
        <v>69</v>
      </c>
    </row>
    <row r="366" spans="2:10" x14ac:dyDescent="0.25">
      <c r="B366" s="2">
        <v>4</v>
      </c>
      <c r="C366" s="4" t="s">
        <v>27</v>
      </c>
      <c r="D366" s="23">
        <v>30</v>
      </c>
      <c r="E366" s="23">
        <v>19</v>
      </c>
      <c r="F366" s="23">
        <v>4</v>
      </c>
      <c r="G366" s="23">
        <f t="shared" si="29"/>
        <v>7</v>
      </c>
      <c r="H366" s="23">
        <v>77</v>
      </c>
      <c r="I366" s="23">
        <v>30</v>
      </c>
      <c r="J366" s="24">
        <f t="shared" si="30"/>
        <v>61</v>
      </c>
    </row>
    <row r="367" spans="2:10" x14ac:dyDescent="0.25">
      <c r="B367" s="2">
        <v>5</v>
      </c>
      <c r="C367" s="4" t="s">
        <v>51</v>
      </c>
      <c r="D367" s="23">
        <v>30</v>
      </c>
      <c r="E367" s="23">
        <v>17</v>
      </c>
      <c r="F367" s="23">
        <v>7</v>
      </c>
      <c r="G367" s="23">
        <f t="shared" si="29"/>
        <v>6</v>
      </c>
      <c r="H367" s="23">
        <v>69</v>
      </c>
      <c r="I367" s="23">
        <v>31</v>
      </c>
      <c r="J367" s="24">
        <f t="shared" si="30"/>
        <v>58</v>
      </c>
    </row>
    <row r="368" spans="2:10" x14ac:dyDescent="0.25">
      <c r="B368" s="2">
        <v>6</v>
      </c>
      <c r="C368" s="4" t="s">
        <v>43</v>
      </c>
      <c r="D368" s="23">
        <v>30</v>
      </c>
      <c r="E368" s="23">
        <v>16</v>
      </c>
      <c r="F368" s="23">
        <v>8</v>
      </c>
      <c r="G368" s="23">
        <f t="shared" si="29"/>
        <v>6</v>
      </c>
      <c r="H368" s="23">
        <v>78</v>
      </c>
      <c r="I368" s="23">
        <v>30</v>
      </c>
      <c r="J368" s="24">
        <f t="shared" si="30"/>
        <v>56</v>
      </c>
    </row>
    <row r="369" spans="2:10" x14ac:dyDescent="0.25">
      <c r="B369" s="2">
        <v>7</v>
      </c>
      <c r="C369" s="4" t="s">
        <v>50</v>
      </c>
      <c r="D369" s="23">
        <v>30</v>
      </c>
      <c r="E369" s="23">
        <v>14</v>
      </c>
      <c r="F369" s="23">
        <v>6</v>
      </c>
      <c r="G369" s="23">
        <f t="shared" si="29"/>
        <v>10</v>
      </c>
      <c r="H369" s="23">
        <v>62</v>
      </c>
      <c r="I369" s="23">
        <v>44</v>
      </c>
      <c r="J369" s="24">
        <f t="shared" si="30"/>
        <v>48</v>
      </c>
    </row>
    <row r="370" spans="2:10" x14ac:dyDescent="0.25">
      <c r="B370" s="2">
        <v>8</v>
      </c>
      <c r="C370" s="4" t="s">
        <v>24</v>
      </c>
      <c r="D370" s="23">
        <v>30</v>
      </c>
      <c r="E370" s="23">
        <v>14</v>
      </c>
      <c r="F370" s="23">
        <v>5</v>
      </c>
      <c r="G370" s="23">
        <f t="shared" si="29"/>
        <v>11</v>
      </c>
      <c r="H370" s="23">
        <v>94</v>
      </c>
      <c r="I370" s="23">
        <v>43</v>
      </c>
      <c r="J370" s="24">
        <f t="shared" si="30"/>
        <v>47</v>
      </c>
    </row>
    <row r="371" spans="2:10" x14ac:dyDescent="0.25">
      <c r="B371" s="2">
        <v>9</v>
      </c>
      <c r="C371" s="4" t="s">
        <v>55</v>
      </c>
      <c r="D371" s="23">
        <v>30</v>
      </c>
      <c r="E371" s="23">
        <v>13</v>
      </c>
      <c r="F371" s="23">
        <v>8</v>
      </c>
      <c r="G371" s="23">
        <f t="shared" si="29"/>
        <v>9</v>
      </c>
      <c r="H371" s="23">
        <v>58</v>
      </c>
      <c r="I371" s="23">
        <v>40</v>
      </c>
      <c r="J371" s="24">
        <f t="shared" si="30"/>
        <v>47</v>
      </c>
    </row>
    <row r="372" spans="2:10" x14ac:dyDescent="0.25">
      <c r="B372" s="2">
        <v>10</v>
      </c>
      <c r="C372" s="4" t="s">
        <v>58</v>
      </c>
      <c r="D372" s="23">
        <v>30</v>
      </c>
      <c r="E372" s="23">
        <v>9</v>
      </c>
      <c r="F372" s="23">
        <v>7</v>
      </c>
      <c r="G372" s="23">
        <f t="shared" si="29"/>
        <v>14</v>
      </c>
      <c r="H372" s="23">
        <v>67</v>
      </c>
      <c r="I372" s="23">
        <v>61</v>
      </c>
      <c r="J372" s="24">
        <f t="shared" si="30"/>
        <v>34</v>
      </c>
    </row>
    <row r="373" spans="2:10" x14ac:dyDescent="0.25">
      <c r="B373" s="2">
        <v>11</v>
      </c>
      <c r="C373" s="4" t="s">
        <v>53</v>
      </c>
      <c r="D373" s="23">
        <v>30</v>
      </c>
      <c r="E373" s="23">
        <v>10</v>
      </c>
      <c r="F373" s="23">
        <v>4</v>
      </c>
      <c r="G373" s="23">
        <f t="shared" si="29"/>
        <v>16</v>
      </c>
      <c r="H373" s="23">
        <v>44</v>
      </c>
      <c r="I373" s="23">
        <v>58</v>
      </c>
      <c r="J373" s="24">
        <f t="shared" si="30"/>
        <v>34</v>
      </c>
    </row>
    <row r="374" spans="2:10" x14ac:dyDescent="0.25">
      <c r="B374" s="2">
        <v>12</v>
      </c>
      <c r="C374" s="4" t="s">
        <v>56</v>
      </c>
      <c r="D374" s="23">
        <v>30</v>
      </c>
      <c r="E374" s="23">
        <v>9</v>
      </c>
      <c r="F374" s="23">
        <v>4</v>
      </c>
      <c r="G374" s="23">
        <f t="shared" si="29"/>
        <v>17</v>
      </c>
      <c r="H374" s="23">
        <v>51</v>
      </c>
      <c r="I374" s="23">
        <v>70</v>
      </c>
      <c r="J374" s="24">
        <f t="shared" si="30"/>
        <v>31</v>
      </c>
    </row>
    <row r="375" spans="2:10" x14ac:dyDescent="0.25">
      <c r="B375" s="2">
        <v>13</v>
      </c>
      <c r="C375" s="4" t="s">
        <v>59</v>
      </c>
      <c r="D375" s="23">
        <v>30</v>
      </c>
      <c r="E375" s="23">
        <v>6</v>
      </c>
      <c r="F375" s="23">
        <v>3</v>
      </c>
      <c r="G375" s="23">
        <f t="shared" si="29"/>
        <v>21</v>
      </c>
      <c r="H375" s="23">
        <v>27</v>
      </c>
      <c r="I375" s="23">
        <v>69</v>
      </c>
      <c r="J375" s="24">
        <f t="shared" si="30"/>
        <v>21</v>
      </c>
    </row>
    <row r="376" spans="2:10" x14ac:dyDescent="0.25">
      <c r="B376" s="2">
        <v>14</v>
      </c>
      <c r="C376" s="4" t="s">
        <v>52</v>
      </c>
      <c r="D376" s="23">
        <v>30</v>
      </c>
      <c r="E376" s="23">
        <v>4</v>
      </c>
      <c r="F376" s="23">
        <v>2</v>
      </c>
      <c r="G376" s="23">
        <f t="shared" si="29"/>
        <v>24</v>
      </c>
      <c r="H376" s="23">
        <v>33</v>
      </c>
      <c r="I376" s="23">
        <v>84</v>
      </c>
      <c r="J376" s="24">
        <f t="shared" si="30"/>
        <v>14</v>
      </c>
    </row>
    <row r="377" spans="2:10" x14ac:dyDescent="0.25">
      <c r="B377" s="2">
        <v>15</v>
      </c>
      <c r="C377" s="4" t="s">
        <v>34</v>
      </c>
      <c r="D377" s="23">
        <v>8</v>
      </c>
      <c r="E377" s="23">
        <v>0</v>
      </c>
      <c r="F377" s="23">
        <v>0</v>
      </c>
      <c r="G377" s="23">
        <f t="shared" si="29"/>
        <v>8</v>
      </c>
      <c r="H377" s="23">
        <v>0</v>
      </c>
      <c r="I377" s="23">
        <v>92</v>
      </c>
      <c r="J377" s="24">
        <f t="shared" si="30"/>
        <v>0</v>
      </c>
    </row>
    <row r="378" spans="2:10" x14ac:dyDescent="0.25">
      <c r="B378" s="2">
        <v>16</v>
      </c>
      <c r="C378" s="4" t="s">
        <v>34</v>
      </c>
      <c r="D378" s="23">
        <v>24</v>
      </c>
      <c r="E378" s="23">
        <v>0</v>
      </c>
      <c r="F378" s="23">
        <v>0</v>
      </c>
      <c r="G378" s="23">
        <f t="shared" si="29"/>
        <v>24</v>
      </c>
      <c r="H378" s="23">
        <v>0</v>
      </c>
      <c r="I378" s="23">
        <v>271</v>
      </c>
      <c r="J378" s="24">
        <f t="shared" si="30"/>
        <v>0</v>
      </c>
    </row>
    <row r="379" spans="2:10" x14ac:dyDescent="0.25">
      <c r="B379" s="2"/>
      <c r="C379" s="2"/>
      <c r="D379" s="23"/>
      <c r="E379" s="23"/>
      <c r="F379" s="23"/>
      <c r="G379" s="23"/>
      <c r="H379" s="23"/>
      <c r="I379" s="23"/>
      <c r="J379" s="23"/>
    </row>
    <row r="380" spans="2:10" x14ac:dyDescent="0.25">
      <c r="B380" s="36" t="s">
        <v>54</v>
      </c>
      <c r="C380" s="36"/>
      <c r="D380" s="36"/>
      <c r="E380" s="36"/>
      <c r="F380" s="36"/>
      <c r="G380" s="36"/>
      <c r="H380" s="36"/>
      <c r="I380" s="36"/>
      <c r="J380" s="36"/>
    </row>
    <row r="381" spans="2:10" x14ac:dyDescent="0.25">
      <c r="B381" s="2">
        <v>1</v>
      </c>
      <c r="C381" s="4" t="s">
        <v>18</v>
      </c>
      <c r="D381" s="23">
        <v>30</v>
      </c>
      <c r="E381" s="23">
        <v>27</v>
      </c>
      <c r="F381" s="23">
        <v>1</v>
      </c>
      <c r="G381" s="23">
        <f>D381-E381-F381</f>
        <v>2</v>
      </c>
      <c r="H381" s="23">
        <v>163</v>
      </c>
      <c r="I381" s="23">
        <v>16</v>
      </c>
      <c r="J381" s="24">
        <f>E381*3+F381*1</f>
        <v>82</v>
      </c>
    </row>
    <row r="382" spans="2:10" x14ac:dyDescent="0.25">
      <c r="B382" s="2">
        <v>2</v>
      </c>
      <c r="C382" s="4" t="s">
        <v>43</v>
      </c>
      <c r="D382" s="23">
        <v>30</v>
      </c>
      <c r="E382" s="23">
        <v>25</v>
      </c>
      <c r="F382" s="23">
        <v>2</v>
      </c>
      <c r="G382" s="23">
        <f t="shared" ref="G382:G396" si="31">D382-E382-F382</f>
        <v>3</v>
      </c>
      <c r="H382" s="23">
        <v>108</v>
      </c>
      <c r="I382" s="23">
        <v>17</v>
      </c>
      <c r="J382" s="24">
        <f t="shared" ref="J382:J396" si="32">E382*3+F382*1</f>
        <v>77</v>
      </c>
    </row>
    <row r="383" spans="2:10" x14ac:dyDescent="0.25">
      <c r="B383" s="2">
        <v>3</v>
      </c>
      <c r="C383" s="4" t="s">
        <v>32</v>
      </c>
      <c r="D383" s="23">
        <v>30</v>
      </c>
      <c r="E383" s="23">
        <v>21</v>
      </c>
      <c r="F383" s="23">
        <v>7</v>
      </c>
      <c r="G383" s="23">
        <f t="shared" si="31"/>
        <v>2</v>
      </c>
      <c r="H383" s="23">
        <v>104</v>
      </c>
      <c r="I383" s="23">
        <v>17</v>
      </c>
      <c r="J383" s="24">
        <f t="shared" si="32"/>
        <v>70</v>
      </c>
    </row>
    <row r="384" spans="2:10" x14ac:dyDescent="0.25">
      <c r="B384" s="2">
        <v>4</v>
      </c>
      <c r="C384" s="4" t="s">
        <v>33</v>
      </c>
      <c r="D384" s="23">
        <v>30</v>
      </c>
      <c r="E384" s="23">
        <v>18</v>
      </c>
      <c r="F384" s="23">
        <v>6</v>
      </c>
      <c r="G384" s="23">
        <f t="shared" si="31"/>
        <v>6</v>
      </c>
      <c r="H384" s="23">
        <v>105</v>
      </c>
      <c r="I384" s="23">
        <v>30</v>
      </c>
      <c r="J384" s="24">
        <f t="shared" si="32"/>
        <v>60</v>
      </c>
    </row>
    <row r="385" spans="2:10" x14ac:dyDescent="0.25">
      <c r="B385" s="2">
        <v>5</v>
      </c>
      <c r="C385" s="4" t="s">
        <v>27</v>
      </c>
      <c r="D385" s="23">
        <v>30</v>
      </c>
      <c r="E385" s="23">
        <v>17</v>
      </c>
      <c r="F385" s="23">
        <v>7</v>
      </c>
      <c r="G385" s="23">
        <f t="shared" si="31"/>
        <v>6</v>
      </c>
      <c r="H385" s="23">
        <v>78</v>
      </c>
      <c r="I385" s="23">
        <v>18</v>
      </c>
      <c r="J385" s="24">
        <f t="shared" si="32"/>
        <v>58</v>
      </c>
    </row>
    <row r="386" spans="2:10" x14ac:dyDescent="0.25">
      <c r="B386" s="2">
        <v>6</v>
      </c>
      <c r="C386" s="4" t="s">
        <v>51</v>
      </c>
      <c r="D386" s="23">
        <v>30</v>
      </c>
      <c r="E386" s="23">
        <v>17</v>
      </c>
      <c r="F386" s="23">
        <v>4</v>
      </c>
      <c r="G386" s="23">
        <f t="shared" si="31"/>
        <v>9</v>
      </c>
      <c r="H386" s="23">
        <v>82</v>
      </c>
      <c r="I386" s="23">
        <v>36</v>
      </c>
      <c r="J386" s="24">
        <f t="shared" si="32"/>
        <v>55</v>
      </c>
    </row>
    <row r="387" spans="2:10" x14ac:dyDescent="0.25">
      <c r="B387" s="2">
        <v>7</v>
      </c>
      <c r="C387" s="4" t="s">
        <v>55</v>
      </c>
      <c r="D387" s="23">
        <v>30</v>
      </c>
      <c r="E387" s="23">
        <v>14</v>
      </c>
      <c r="F387" s="23">
        <v>4</v>
      </c>
      <c r="G387" s="23">
        <f t="shared" si="31"/>
        <v>12</v>
      </c>
      <c r="H387" s="23">
        <v>64</v>
      </c>
      <c r="I387" s="23">
        <v>37</v>
      </c>
      <c r="J387" s="24">
        <f t="shared" si="32"/>
        <v>46</v>
      </c>
    </row>
    <row r="388" spans="2:10" x14ac:dyDescent="0.25">
      <c r="B388" s="2">
        <v>8</v>
      </c>
      <c r="C388" s="4" t="s">
        <v>53</v>
      </c>
      <c r="D388" s="23">
        <v>30</v>
      </c>
      <c r="E388" s="23">
        <v>12</v>
      </c>
      <c r="F388" s="23">
        <v>4</v>
      </c>
      <c r="G388" s="23">
        <f t="shared" si="31"/>
        <v>14</v>
      </c>
      <c r="H388" s="23">
        <v>64</v>
      </c>
      <c r="I388" s="23">
        <v>54</v>
      </c>
      <c r="J388" s="24">
        <f t="shared" si="32"/>
        <v>40</v>
      </c>
    </row>
    <row r="389" spans="2:10" x14ac:dyDescent="0.25">
      <c r="B389" s="2">
        <v>9</v>
      </c>
      <c r="C389" s="4" t="s">
        <v>41</v>
      </c>
      <c r="D389" s="23">
        <v>30</v>
      </c>
      <c r="E389" s="23">
        <v>11</v>
      </c>
      <c r="F389" s="23">
        <v>5</v>
      </c>
      <c r="G389" s="23">
        <f t="shared" si="31"/>
        <v>14</v>
      </c>
      <c r="H389" s="23">
        <v>56</v>
      </c>
      <c r="I389" s="23">
        <v>42</v>
      </c>
      <c r="J389" s="24">
        <f t="shared" si="32"/>
        <v>38</v>
      </c>
    </row>
    <row r="390" spans="2:10" x14ac:dyDescent="0.25">
      <c r="B390" s="2">
        <v>10</v>
      </c>
      <c r="C390" s="4" t="s">
        <v>47</v>
      </c>
      <c r="D390" s="23">
        <v>30</v>
      </c>
      <c r="E390" s="23">
        <v>11</v>
      </c>
      <c r="F390" s="23">
        <v>5</v>
      </c>
      <c r="G390" s="23">
        <f t="shared" si="31"/>
        <v>14</v>
      </c>
      <c r="H390" s="23">
        <v>67</v>
      </c>
      <c r="I390" s="23">
        <v>60</v>
      </c>
      <c r="J390" s="24">
        <f t="shared" si="32"/>
        <v>38</v>
      </c>
    </row>
    <row r="391" spans="2:10" x14ac:dyDescent="0.25">
      <c r="B391" s="2">
        <v>11</v>
      </c>
      <c r="C391" s="4" t="s">
        <v>50</v>
      </c>
      <c r="D391" s="23">
        <v>30</v>
      </c>
      <c r="E391" s="23">
        <v>12</v>
      </c>
      <c r="F391" s="23">
        <v>0</v>
      </c>
      <c r="G391" s="23">
        <f t="shared" si="31"/>
        <v>18</v>
      </c>
      <c r="H391" s="23">
        <v>72</v>
      </c>
      <c r="I391" s="23">
        <v>55</v>
      </c>
      <c r="J391" s="24">
        <f t="shared" si="32"/>
        <v>36</v>
      </c>
    </row>
    <row r="392" spans="2:10" x14ac:dyDescent="0.25">
      <c r="B392" s="2">
        <v>12</v>
      </c>
      <c r="C392" s="4" t="s">
        <v>56</v>
      </c>
      <c r="D392" s="23">
        <v>30</v>
      </c>
      <c r="E392" s="23">
        <v>9</v>
      </c>
      <c r="F392" s="23">
        <v>4</v>
      </c>
      <c r="G392" s="23">
        <f t="shared" si="31"/>
        <v>17</v>
      </c>
      <c r="H392" s="23">
        <v>47</v>
      </c>
      <c r="I392" s="23">
        <v>69</v>
      </c>
      <c r="J392" s="24">
        <f t="shared" si="32"/>
        <v>31</v>
      </c>
    </row>
    <row r="393" spans="2:10" x14ac:dyDescent="0.25">
      <c r="B393" s="2">
        <v>13</v>
      </c>
      <c r="C393" s="4" t="s">
        <v>52</v>
      </c>
      <c r="D393" s="23">
        <v>30</v>
      </c>
      <c r="E393" s="23">
        <v>9</v>
      </c>
      <c r="F393" s="23">
        <v>2</v>
      </c>
      <c r="G393" s="23">
        <f t="shared" si="31"/>
        <v>19</v>
      </c>
      <c r="H393" s="23">
        <v>46</v>
      </c>
      <c r="I393" s="23">
        <v>67</v>
      </c>
      <c r="J393" s="24">
        <f t="shared" si="32"/>
        <v>29</v>
      </c>
    </row>
    <row r="394" spans="2:10" x14ac:dyDescent="0.25">
      <c r="B394" s="2">
        <v>14</v>
      </c>
      <c r="C394" s="4" t="s">
        <v>24</v>
      </c>
      <c r="D394" s="23">
        <v>30</v>
      </c>
      <c r="E394" s="23">
        <v>5</v>
      </c>
      <c r="F394" s="23">
        <v>1</v>
      </c>
      <c r="G394" s="23">
        <f t="shared" si="31"/>
        <v>24</v>
      </c>
      <c r="H394" s="23">
        <v>31</v>
      </c>
      <c r="I394" s="23">
        <v>175</v>
      </c>
      <c r="J394" s="24">
        <f t="shared" si="32"/>
        <v>16</v>
      </c>
    </row>
    <row r="395" spans="2:10" x14ac:dyDescent="0.25">
      <c r="B395" s="2">
        <v>15</v>
      </c>
      <c r="C395" s="4" t="s">
        <v>34</v>
      </c>
      <c r="D395" s="23">
        <v>30</v>
      </c>
      <c r="E395" s="23">
        <v>2</v>
      </c>
      <c r="F395" s="23">
        <v>0</v>
      </c>
      <c r="G395" s="23">
        <f t="shared" si="31"/>
        <v>28</v>
      </c>
      <c r="H395" s="23">
        <v>6</v>
      </c>
      <c r="I395" s="23">
        <v>287</v>
      </c>
      <c r="J395" s="24">
        <f t="shared" si="32"/>
        <v>6</v>
      </c>
    </row>
    <row r="396" spans="2:10" x14ac:dyDescent="0.25">
      <c r="B396" s="2">
        <v>16</v>
      </c>
      <c r="C396" s="4" t="s">
        <v>34</v>
      </c>
      <c r="D396" s="23">
        <v>6</v>
      </c>
      <c r="E396" s="23">
        <v>0</v>
      </c>
      <c r="F396" s="23">
        <v>0</v>
      </c>
      <c r="G396" s="23">
        <f t="shared" si="31"/>
        <v>6</v>
      </c>
      <c r="H396" s="23">
        <v>0</v>
      </c>
      <c r="I396" s="23">
        <v>52</v>
      </c>
      <c r="J396" s="24">
        <f t="shared" si="32"/>
        <v>0</v>
      </c>
    </row>
    <row r="397" spans="2:10" x14ac:dyDescent="0.25">
      <c r="B397" s="2"/>
      <c r="C397" s="2"/>
      <c r="D397" s="23"/>
      <c r="E397" s="23"/>
      <c r="F397" s="23"/>
      <c r="G397" s="23"/>
      <c r="H397" s="23"/>
      <c r="I397" s="23"/>
      <c r="J397" s="23"/>
    </row>
    <row r="398" spans="2:10" x14ac:dyDescent="0.25">
      <c r="B398" s="36" t="s">
        <v>49</v>
      </c>
      <c r="C398" s="36"/>
      <c r="D398" s="36"/>
      <c r="E398" s="36"/>
      <c r="F398" s="36"/>
      <c r="G398" s="36"/>
      <c r="H398" s="36"/>
      <c r="I398" s="36"/>
      <c r="J398" s="36"/>
    </row>
    <row r="399" spans="2:10" x14ac:dyDescent="0.25">
      <c r="B399" s="2">
        <v>1</v>
      </c>
      <c r="C399" s="4" t="s">
        <v>43</v>
      </c>
      <c r="D399" s="23">
        <v>30</v>
      </c>
      <c r="E399" s="23">
        <v>25</v>
      </c>
      <c r="F399" s="23">
        <v>3</v>
      </c>
      <c r="G399" s="23">
        <f>D399-E399-F399</f>
        <v>2</v>
      </c>
      <c r="H399" s="23">
        <v>104</v>
      </c>
      <c r="I399" s="23">
        <v>15</v>
      </c>
      <c r="J399" s="24">
        <f>E399*3+F399*1</f>
        <v>78</v>
      </c>
    </row>
    <row r="400" spans="2:10" x14ac:dyDescent="0.25">
      <c r="B400" s="2">
        <v>2</v>
      </c>
      <c r="C400" s="4" t="s">
        <v>24</v>
      </c>
      <c r="D400" s="23">
        <v>30</v>
      </c>
      <c r="E400" s="23">
        <v>24</v>
      </c>
      <c r="F400" s="23">
        <v>3</v>
      </c>
      <c r="G400" s="23">
        <f t="shared" ref="G400:G414" si="33">D400-E400-F400</f>
        <v>3</v>
      </c>
      <c r="H400" s="23">
        <v>103</v>
      </c>
      <c r="I400" s="23">
        <v>26</v>
      </c>
      <c r="J400" s="24">
        <f t="shared" ref="J400:J414" si="34">E400*3+F400*1</f>
        <v>75</v>
      </c>
    </row>
    <row r="401" spans="2:10" x14ac:dyDescent="0.25">
      <c r="B401" s="2">
        <v>3</v>
      </c>
      <c r="C401" s="4" t="s">
        <v>18</v>
      </c>
      <c r="D401" s="23">
        <v>30</v>
      </c>
      <c r="E401" s="23">
        <v>22</v>
      </c>
      <c r="F401" s="23">
        <v>4</v>
      </c>
      <c r="G401" s="23">
        <f t="shared" si="33"/>
        <v>4</v>
      </c>
      <c r="H401" s="23">
        <v>120</v>
      </c>
      <c r="I401" s="23">
        <v>27</v>
      </c>
      <c r="J401" s="24">
        <f t="shared" si="34"/>
        <v>70</v>
      </c>
    </row>
    <row r="402" spans="2:10" x14ac:dyDescent="0.25">
      <c r="B402" s="2">
        <v>4</v>
      </c>
      <c r="C402" s="4" t="s">
        <v>33</v>
      </c>
      <c r="D402" s="23">
        <v>30</v>
      </c>
      <c r="E402" s="23">
        <v>21</v>
      </c>
      <c r="F402" s="23">
        <v>3</v>
      </c>
      <c r="G402" s="23">
        <f t="shared" si="33"/>
        <v>6</v>
      </c>
      <c r="H402" s="23">
        <v>86</v>
      </c>
      <c r="I402" s="23">
        <v>31</v>
      </c>
      <c r="J402" s="24">
        <f t="shared" si="34"/>
        <v>66</v>
      </c>
    </row>
    <row r="403" spans="2:10" x14ac:dyDescent="0.25">
      <c r="B403" s="2">
        <v>5</v>
      </c>
      <c r="C403" s="4" t="s">
        <v>32</v>
      </c>
      <c r="D403" s="23">
        <v>30</v>
      </c>
      <c r="E403" s="23">
        <v>20</v>
      </c>
      <c r="F403" s="23">
        <v>3</v>
      </c>
      <c r="G403" s="23">
        <f t="shared" si="33"/>
        <v>7</v>
      </c>
      <c r="H403" s="23">
        <v>72</v>
      </c>
      <c r="I403" s="23">
        <v>22</v>
      </c>
      <c r="J403" s="24">
        <f t="shared" si="34"/>
        <v>63</v>
      </c>
    </row>
    <row r="404" spans="2:10" x14ac:dyDescent="0.25">
      <c r="B404" s="2">
        <v>6</v>
      </c>
      <c r="C404" s="4" t="s">
        <v>27</v>
      </c>
      <c r="D404" s="23">
        <v>30</v>
      </c>
      <c r="E404" s="23">
        <v>15</v>
      </c>
      <c r="F404" s="23">
        <v>9</v>
      </c>
      <c r="G404" s="23">
        <f t="shared" si="33"/>
        <v>6</v>
      </c>
      <c r="H404" s="23">
        <v>69</v>
      </c>
      <c r="I404" s="23">
        <v>29</v>
      </c>
      <c r="J404" s="24">
        <f t="shared" si="34"/>
        <v>54</v>
      </c>
    </row>
    <row r="405" spans="2:10" x14ac:dyDescent="0.25">
      <c r="B405" s="2">
        <v>7</v>
      </c>
      <c r="C405" s="4" t="s">
        <v>50</v>
      </c>
      <c r="D405" s="23">
        <v>30</v>
      </c>
      <c r="E405" s="23">
        <v>13</v>
      </c>
      <c r="F405" s="23">
        <v>2</v>
      </c>
      <c r="G405" s="23">
        <f t="shared" si="33"/>
        <v>15</v>
      </c>
      <c r="H405" s="23">
        <v>49</v>
      </c>
      <c r="I405" s="23">
        <v>55</v>
      </c>
      <c r="J405" s="24">
        <f t="shared" si="34"/>
        <v>41</v>
      </c>
    </row>
    <row r="406" spans="2:10" x14ac:dyDescent="0.25">
      <c r="B406" s="2">
        <v>8</v>
      </c>
      <c r="C406" s="4" t="s">
        <v>47</v>
      </c>
      <c r="D406" s="23">
        <v>30</v>
      </c>
      <c r="E406" s="23">
        <v>12</v>
      </c>
      <c r="F406" s="23">
        <v>4</v>
      </c>
      <c r="G406" s="23">
        <f t="shared" si="33"/>
        <v>14</v>
      </c>
      <c r="H406" s="23">
        <v>60</v>
      </c>
      <c r="I406" s="23">
        <v>41</v>
      </c>
      <c r="J406" s="24">
        <f t="shared" si="34"/>
        <v>40</v>
      </c>
    </row>
    <row r="407" spans="2:10" x14ac:dyDescent="0.25">
      <c r="B407" s="2">
        <v>9</v>
      </c>
      <c r="C407" s="4" t="s">
        <v>51</v>
      </c>
      <c r="D407" s="23">
        <v>30</v>
      </c>
      <c r="E407" s="23">
        <v>12</v>
      </c>
      <c r="F407" s="23">
        <v>2</v>
      </c>
      <c r="G407" s="23">
        <f t="shared" si="33"/>
        <v>16</v>
      </c>
      <c r="H407" s="23">
        <v>56</v>
      </c>
      <c r="I407" s="23">
        <v>50</v>
      </c>
      <c r="J407" s="24">
        <f t="shared" si="34"/>
        <v>38</v>
      </c>
    </row>
    <row r="408" spans="2:10" x14ac:dyDescent="0.25">
      <c r="B408" s="2">
        <v>10</v>
      </c>
      <c r="C408" s="4" t="s">
        <v>48</v>
      </c>
      <c r="D408" s="23">
        <v>30</v>
      </c>
      <c r="E408" s="23">
        <v>8</v>
      </c>
      <c r="F408" s="23">
        <v>8</v>
      </c>
      <c r="G408" s="23">
        <f t="shared" si="33"/>
        <v>14</v>
      </c>
      <c r="H408" s="23">
        <v>46</v>
      </c>
      <c r="I408" s="23">
        <v>59</v>
      </c>
      <c r="J408" s="24">
        <f t="shared" si="34"/>
        <v>32</v>
      </c>
    </row>
    <row r="409" spans="2:10" x14ac:dyDescent="0.25">
      <c r="B409" s="2">
        <v>11</v>
      </c>
      <c r="C409" s="4" t="s">
        <v>52</v>
      </c>
      <c r="D409" s="23">
        <v>30</v>
      </c>
      <c r="E409" s="23">
        <v>9</v>
      </c>
      <c r="F409" s="23">
        <v>5</v>
      </c>
      <c r="G409" s="23">
        <f t="shared" si="33"/>
        <v>16</v>
      </c>
      <c r="H409" s="23">
        <v>45</v>
      </c>
      <c r="I409" s="23">
        <v>72</v>
      </c>
      <c r="J409" s="24">
        <f t="shared" si="34"/>
        <v>32</v>
      </c>
    </row>
    <row r="410" spans="2:10" x14ac:dyDescent="0.25">
      <c r="B410" s="2">
        <v>12</v>
      </c>
      <c r="C410" s="4" t="s">
        <v>53</v>
      </c>
      <c r="D410" s="23">
        <v>30</v>
      </c>
      <c r="E410" s="23">
        <v>8</v>
      </c>
      <c r="F410" s="23">
        <v>3</v>
      </c>
      <c r="G410" s="23">
        <f t="shared" si="33"/>
        <v>19</v>
      </c>
      <c r="H410" s="23">
        <v>31</v>
      </c>
      <c r="I410" s="23">
        <v>50</v>
      </c>
      <c r="J410" s="24">
        <f t="shared" si="34"/>
        <v>27</v>
      </c>
    </row>
    <row r="411" spans="2:10" x14ac:dyDescent="0.25">
      <c r="B411" s="2">
        <v>13</v>
      </c>
      <c r="C411" s="4" t="s">
        <v>9</v>
      </c>
      <c r="D411" s="23">
        <v>30</v>
      </c>
      <c r="E411" s="23">
        <v>3</v>
      </c>
      <c r="F411" s="23">
        <v>6</v>
      </c>
      <c r="G411" s="23">
        <f t="shared" si="33"/>
        <v>21</v>
      </c>
      <c r="H411" s="23">
        <v>17</v>
      </c>
      <c r="I411" s="23">
        <v>64</v>
      </c>
      <c r="J411" s="24">
        <f t="shared" si="34"/>
        <v>15</v>
      </c>
    </row>
    <row r="412" spans="2:10" x14ac:dyDescent="0.25">
      <c r="B412" s="2">
        <v>14</v>
      </c>
      <c r="C412" s="4" t="s">
        <v>41</v>
      </c>
      <c r="D412" s="23">
        <v>30</v>
      </c>
      <c r="E412" s="23">
        <v>3</v>
      </c>
      <c r="F412" s="23">
        <v>5</v>
      </c>
      <c r="G412" s="23">
        <f t="shared" si="33"/>
        <v>22</v>
      </c>
      <c r="H412" s="23">
        <v>26</v>
      </c>
      <c r="I412" s="23">
        <v>73</v>
      </c>
      <c r="J412" s="24">
        <f t="shared" si="34"/>
        <v>14</v>
      </c>
    </row>
    <row r="413" spans="2:10" x14ac:dyDescent="0.25">
      <c r="B413" s="2">
        <v>15</v>
      </c>
      <c r="C413" s="4" t="s">
        <v>34</v>
      </c>
      <c r="D413" s="23">
        <v>30</v>
      </c>
      <c r="E413" s="23">
        <v>2</v>
      </c>
      <c r="F413" s="23">
        <v>0</v>
      </c>
      <c r="G413" s="23">
        <f t="shared" si="33"/>
        <v>28</v>
      </c>
      <c r="H413" s="23">
        <v>6</v>
      </c>
      <c r="I413" s="23">
        <v>283</v>
      </c>
      <c r="J413" s="24">
        <f t="shared" si="34"/>
        <v>6</v>
      </c>
    </row>
    <row r="414" spans="2:10" x14ac:dyDescent="0.25">
      <c r="B414" s="2">
        <v>16</v>
      </c>
      <c r="C414" s="4" t="s">
        <v>34</v>
      </c>
      <c r="D414" s="23">
        <v>1</v>
      </c>
      <c r="E414" s="23">
        <v>0</v>
      </c>
      <c r="F414" s="23">
        <v>0</v>
      </c>
      <c r="G414" s="23">
        <f t="shared" si="33"/>
        <v>1</v>
      </c>
      <c r="H414" s="23">
        <v>0</v>
      </c>
      <c r="I414" s="23">
        <v>9</v>
      </c>
      <c r="J414" s="24">
        <f t="shared" si="34"/>
        <v>0</v>
      </c>
    </row>
    <row r="415" spans="2:10" x14ac:dyDescent="0.25">
      <c r="B415" s="2"/>
      <c r="C415" s="2"/>
      <c r="D415" s="23"/>
      <c r="E415" s="23"/>
      <c r="F415" s="23"/>
      <c r="G415" s="23"/>
      <c r="H415" s="23"/>
      <c r="I415" s="23"/>
      <c r="J415" s="23"/>
    </row>
    <row r="416" spans="2:10" x14ac:dyDescent="0.25">
      <c r="B416" s="36" t="s">
        <v>46</v>
      </c>
      <c r="C416" s="36"/>
      <c r="D416" s="36"/>
      <c r="E416" s="36"/>
      <c r="F416" s="36"/>
      <c r="G416" s="36"/>
      <c r="H416" s="36"/>
      <c r="I416" s="36"/>
      <c r="J416" s="36"/>
    </row>
    <row r="417" spans="2:10" x14ac:dyDescent="0.25">
      <c r="B417" s="2">
        <v>1</v>
      </c>
      <c r="C417" s="4" t="s">
        <v>24</v>
      </c>
      <c r="D417" s="23">
        <v>30</v>
      </c>
      <c r="E417" s="23">
        <v>27</v>
      </c>
      <c r="F417" s="23">
        <v>3</v>
      </c>
      <c r="G417" s="23">
        <f>D417-E417-F417</f>
        <v>0</v>
      </c>
      <c r="H417" s="23">
        <v>115</v>
      </c>
      <c r="I417" s="23">
        <v>8</v>
      </c>
      <c r="J417" s="24">
        <f>E417*3+F417*1</f>
        <v>84</v>
      </c>
    </row>
    <row r="418" spans="2:10" x14ac:dyDescent="0.25">
      <c r="B418" s="2">
        <v>2</v>
      </c>
      <c r="C418" s="4" t="s">
        <v>18</v>
      </c>
      <c r="D418" s="23">
        <v>30</v>
      </c>
      <c r="E418" s="23">
        <v>21</v>
      </c>
      <c r="F418" s="23">
        <v>5</v>
      </c>
      <c r="G418" s="23">
        <f t="shared" ref="G418:G432" si="35">D418-E418-F418</f>
        <v>4</v>
      </c>
      <c r="H418" s="23">
        <v>142</v>
      </c>
      <c r="I418" s="23">
        <v>28</v>
      </c>
      <c r="J418" s="24">
        <f t="shared" ref="J418:J432" si="36">E418*3+F418*1</f>
        <v>68</v>
      </c>
    </row>
    <row r="419" spans="2:10" x14ac:dyDescent="0.25">
      <c r="B419" s="2">
        <v>3</v>
      </c>
      <c r="C419" s="4" t="s">
        <v>33</v>
      </c>
      <c r="D419" s="23">
        <v>30</v>
      </c>
      <c r="E419" s="23">
        <v>21</v>
      </c>
      <c r="F419" s="23">
        <v>3</v>
      </c>
      <c r="G419" s="23">
        <f t="shared" si="35"/>
        <v>6</v>
      </c>
      <c r="H419" s="23">
        <v>121</v>
      </c>
      <c r="I419" s="23">
        <v>25</v>
      </c>
      <c r="J419" s="24">
        <f t="shared" si="36"/>
        <v>66</v>
      </c>
    </row>
    <row r="420" spans="2:10" x14ac:dyDescent="0.25">
      <c r="B420" s="2">
        <v>4</v>
      </c>
      <c r="C420" s="4" t="s">
        <v>23</v>
      </c>
      <c r="D420" s="23">
        <v>30</v>
      </c>
      <c r="E420" s="23">
        <v>20</v>
      </c>
      <c r="F420" s="23">
        <v>5</v>
      </c>
      <c r="G420" s="23">
        <f t="shared" si="35"/>
        <v>5</v>
      </c>
      <c r="H420" s="23">
        <v>116</v>
      </c>
      <c r="I420" s="23">
        <v>25</v>
      </c>
      <c r="J420" s="24">
        <f t="shared" si="36"/>
        <v>65</v>
      </c>
    </row>
    <row r="421" spans="2:10" x14ac:dyDescent="0.25">
      <c r="B421" s="2">
        <v>5</v>
      </c>
      <c r="C421" s="4" t="s">
        <v>32</v>
      </c>
      <c r="D421" s="23">
        <v>30</v>
      </c>
      <c r="E421" s="23">
        <v>20</v>
      </c>
      <c r="F421" s="23">
        <v>4</v>
      </c>
      <c r="G421" s="23">
        <f t="shared" si="35"/>
        <v>6</v>
      </c>
      <c r="H421" s="23">
        <v>92</v>
      </c>
      <c r="I421" s="23">
        <v>22</v>
      </c>
      <c r="J421" s="24">
        <f t="shared" si="36"/>
        <v>64</v>
      </c>
    </row>
    <row r="422" spans="2:10" x14ac:dyDescent="0.25">
      <c r="B422" s="2">
        <v>6</v>
      </c>
      <c r="C422" s="4" t="s">
        <v>43</v>
      </c>
      <c r="D422" s="23">
        <v>30</v>
      </c>
      <c r="E422" s="23">
        <v>17</v>
      </c>
      <c r="F422" s="23">
        <v>3</v>
      </c>
      <c r="G422" s="23">
        <f t="shared" si="35"/>
        <v>10</v>
      </c>
      <c r="H422" s="23">
        <v>100</v>
      </c>
      <c r="I422" s="23">
        <v>36</v>
      </c>
      <c r="J422" s="24">
        <f t="shared" si="36"/>
        <v>54</v>
      </c>
    </row>
    <row r="423" spans="2:10" x14ac:dyDescent="0.25">
      <c r="B423" s="2">
        <v>7</v>
      </c>
      <c r="C423" s="4" t="s">
        <v>27</v>
      </c>
      <c r="D423" s="23">
        <v>30</v>
      </c>
      <c r="E423" s="23">
        <v>16</v>
      </c>
      <c r="F423" s="23">
        <v>2</v>
      </c>
      <c r="G423" s="23">
        <f t="shared" si="35"/>
        <v>12</v>
      </c>
      <c r="H423" s="23">
        <v>96</v>
      </c>
      <c r="I423" s="23">
        <v>38</v>
      </c>
      <c r="J423" s="24">
        <f t="shared" si="36"/>
        <v>50</v>
      </c>
    </row>
    <row r="424" spans="2:10" x14ac:dyDescent="0.25">
      <c r="B424" s="2">
        <v>8</v>
      </c>
      <c r="C424" s="4" t="s">
        <v>4</v>
      </c>
      <c r="D424" s="23">
        <v>30</v>
      </c>
      <c r="E424" s="23">
        <v>14</v>
      </c>
      <c r="F424" s="23">
        <v>4</v>
      </c>
      <c r="G424" s="23">
        <f t="shared" si="35"/>
        <v>12</v>
      </c>
      <c r="H424" s="23">
        <v>93</v>
      </c>
      <c r="I424" s="23">
        <v>34</v>
      </c>
      <c r="J424" s="24">
        <f t="shared" si="36"/>
        <v>46</v>
      </c>
    </row>
    <row r="425" spans="2:10" x14ac:dyDescent="0.25">
      <c r="B425" s="2">
        <v>9</v>
      </c>
      <c r="C425" s="4" t="s">
        <v>9</v>
      </c>
      <c r="D425" s="23">
        <v>30</v>
      </c>
      <c r="E425" s="23">
        <v>12</v>
      </c>
      <c r="F425" s="23">
        <v>7</v>
      </c>
      <c r="G425" s="23">
        <f t="shared" si="35"/>
        <v>11</v>
      </c>
      <c r="H425" s="23">
        <v>87</v>
      </c>
      <c r="I425" s="23">
        <v>46</v>
      </c>
      <c r="J425" s="24">
        <f t="shared" si="36"/>
        <v>43</v>
      </c>
    </row>
    <row r="426" spans="2:10" x14ac:dyDescent="0.25">
      <c r="B426" s="2">
        <v>10</v>
      </c>
      <c r="C426" s="4" t="s">
        <v>47</v>
      </c>
      <c r="D426" s="23">
        <v>30</v>
      </c>
      <c r="E426" s="23">
        <v>12</v>
      </c>
      <c r="F426" s="23">
        <v>3</v>
      </c>
      <c r="G426" s="23">
        <f t="shared" si="35"/>
        <v>15</v>
      </c>
      <c r="H426" s="23">
        <v>85</v>
      </c>
      <c r="I426" s="23">
        <v>52</v>
      </c>
      <c r="J426" s="24">
        <f t="shared" si="36"/>
        <v>39</v>
      </c>
    </row>
    <row r="427" spans="2:10" x14ac:dyDescent="0.25">
      <c r="B427" s="2">
        <v>11</v>
      </c>
      <c r="C427" s="4" t="s">
        <v>41</v>
      </c>
      <c r="D427" s="23">
        <v>30</v>
      </c>
      <c r="E427" s="23">
        <v>11</v>
      </c>
      <c r="F427" s="23">
        <v>3</v>
      </c>
      <c r="G427" s="23">
        <f t="shared" si="35"/>
        <v>16</v>
      </c>
      <c r="H427" s="23">
        <v>70</v>
      </c>
      <c r="I427" s="23">
        <v>58</v>
      </c>
      <c r="J427" s="24">
        <f t="shared" si="36"/>
        <v>36</v>
      </c>
    </row>
    <row r="428" spans="2:10" x14ac:dyDescent="0.25">
      <c r="B428" s="2">
        <v>12</v>
      </c>
      <c r="C428" s="4" t="s">
        <v>48</v>
      </c>
      <c r="D428" s="23">
        <v>30</v>
      </c>
      <c r="E428" s="23">
        <v>10</v>
      </c>
      <c r="F428" s="23">
        <v>5</v>
      </c>
      <c r="G428" s="23">
        <f t="shared" si="35"/>
        <v>15</v>
      </c>
      <c r="H428" s="23">
        <v>70</v>
      </c>
      <c r="I428" s="23">
        <v>55</v>
      </c>
      <c r="J428" s="24">
        <f t="shared" si="36"/>
        <v>35</v>
      </c>
    </row>
    <row r="429" spans="2:10" x14ac:dyDescent="0.25">
      <c r="B429" s="2">
        <v>13</v>
      </c>
      <c r="C429" s="4" t="s">
        <v>34</v>
      </c>
      <c r="D429" s="23">
        <v>24</v>
      </c>
      <c r="E429" s="23">
        <v>2</v>
      </c>
      <c r="F429" s="23">
        <v>1</v>
      </c>
      <c r="G429" s="23">
        <f t="shared" si="35"/>
        <v>21</v>
      </c>
      <c r="H429" s="23">
        <v>4</v>
      </c>
      <c r="I429" s="23">
        <v>210</v>
      </c>
      <c r="J429" s="24">
        <f t="shared" si="36"/>
        <v>7</v>
      </c>
    </row>
    <row r="430" spans="2:10" x14ac:dyDescent="0.25">
      <c r="B430" s="2">
        <v>14</v>
      </c>
      <c r="C430" s="4" t="s">
        <v>34</v>
      </c>
      <c r="D430" s="23">
        <v>26</v>
      </c>
      <c r="E430" s="23">
        <v>2</v>
      </c>
      <c r="F430" s="23">
        <v>1</v>
      </c>
      <c r="G430" s="23">
        <f t="shared" si="35"/>
        <v>23</v>
      </c>
      <c r="H430" s="23">
        <v>3</v>
      </c>
      <c r="I430" s="23">
        <v>236</v>
      </c>
      <c r="J430" s="24">
        <f t="shared" si="36"/>
        <v>7</v>
      </c>
    </row>
    <row r="431" spans="2:10" x14ac:dyDescent="0.25">
      <c r="B431" s="2">
        <v>15</v>
      </c>
      <c r="C431" s="4" t="s">
        <v>34</v>
      </c>
      <c r="D431" s="23">
        <v>17</v>
      </c>
      <c r="E431" s="23">
        <v>2</v>
      </c>
      <c r="F431" s="23">
        <v>0</v>
      </c>
      <c r="G431" s="23">
        <f t="shared" si="35"/>
        <v>15</v>
      </c>
      <c r="H431" s="23">
        <v>4</v>
      </c>
      <c r="I431" s="23">
        <v>144</v>
      </c>
      <c r="J431" s="24">
        <f t="shared" si="36"/>
        <v>6</v>
      </c>
    </row>
    <row r="432" spans="2:10" x14ac:dyDescent="0.25">
      <c r="B432" s="2">
        <v>16</v>
      </c>
      <c r="C432" s="4" t="s">
        <v>34</v>
      </c>
      <c r="D432" s="23">
        <v>13</v>
      </c>
      <c r="E432" s="23">
        <v>0</v>
      </c>
      <c r="F432" s="23">
        <v>0</v>
      </c>
      <c r="G432" s="23">
        <f t="shared" si="35"/>
        <v>13</v>
      </c>
      <c r="H432" s="23">
        <v>0</v>
      </c>
      <c r="I432" s="23">
        <v>111</v>
      </c>
      <c r="J432" s="24">
        <f t="shared" si="36"/>
        <v>0</v>
      </c>
    </row>
    <row r="433" spans="2:10" x14ac:dyDescent="0.25">
      <c r="B433" s="2"/>
      <c r="C433" s="2"/>
      <c r="D433" s="23"/>
      <c r="E433" s="23"/>
      <c r="F433" s="23"/>
      <c r="G433" s="23"/>
      <c r="H433" s="23"/>
      <c r="I433" s="23"/>
      <c r="J433" s="23"/>
    </row>
    <row r="434" spans="2:10" x14ac:dyDescent="0.25">
      <c r="B434" s="36" t="s">
        <v>44</v>
      </c>
      <c r="C434" s="36"/>
      <c r="D434" s="36"/>
      <c r="E434" s="36"/>
      <c r="F434" s="36"/>
      <c r="G434" s="36"/>
      <c r="H434" s="36"/>
      <c r="I434" s="36"/>
      <c r="J434" s="36"/>
    </row>
    <row r="435" spans="2:10" x14ac:dyDescent="0.25">
      <c r="B435" s="2">
        <v>1</v>
      </c>
      <c r="C435" s="4" t="s">
        <v>24</v>
      </c>
      <c r="D435" s="23">
        <v>30</v>
      </c>
      <c r="E435" s="23">
        <v>24</v>
      </c>
      <c r="F435" s="23">
        <v>4</v>
      </c>
      <c r="G435" s="23">
        <f>D435-E435-F435</f>
        <v>2</v>
      </c>
      <c r="H435" s="23">
        <v>83</v>
      </c>
      <c r="I435" s="23">
        <v>15</v>
      </c>
      <c r="J435" s="24">
        <f>E435*3+F435*1</f>
        <v>76</v>
      </c>
    </row>
    <row r="436" spans="2:10" x14ac:dyDescent="0.25">
      <c r="B436" s="2">
        <v>2</v>
      </c>
      <c r="C436" s="4" t="s">
        <v>23</v>
      </c>
      <c r="D436" s="23">
        <v>30</v>
      </c>
      <c r="E436" s="23">
        <v>23</v>
      </c>
      <c r="F436" s="23">
        <v>4</v>
      </c>
      <c r="G436" s="23">
        <f t="shared" ref="G436:G450" si="37">D436-E436-F436</f>
        <v>3</v>
      </c>
      <c r="H436" s="23">
        <v>106</v>
      </c>
      <c r="I436" s="23">
        <v>18</v>
      </c>
      <c r="J436" s="24">
        <f t="shared" ref="J436:J450" si="38">E436*3+F436*1</f>
        <v>73</v>
      </c>
    </row>
    <row r="437" spans="2:10" x14ac:dyDescent="0.25">
      <c r="B437" s="2">
        <v>3</v>
      </c>
      <c r="C437" s="4" t="s">
        <v>18</v>
      </c>
      <c r="D437" s="23">
        <v>30</v>
      </c>
      <c r="E437" s="23">
        <v>21</v>
      </c>
      <c r="F437" s="23">
        <v>3</v>
      </c>
      <c r="G437" s="23">
        <f t="shared" si="37"/>
        <v>6</v>
      </c>
      <c r="H437" s="23">
        <v>104</v>
      </c>
      <c r="I437" s="23">
        <v>30</v>
      </c>
      <c r="J437" s="24">
        <f t="shared" si="38"/>
        <v>66</v>
      </c>
    </row>
    <row r="438" spans="2:10" x14ac:dyDescent="0.25">
      <c r="B438" s="2">
        <v>4</v>
      </c>
      <c r="C438" s="4" t="s">
        <v>32</v>
      </c>
      <c r="D438" s="23">
        <v>30</v>
      </c>
      <c r="E438" s="23">
        <v>19</v>
      </c>
      <c r="F438" s="23">
        <v>6</v>
      </c>
      <c r="G438" s="23">
        <f t="shared" si="37"/>
        <v>5</v>
      </c>
      <c r="H438" s="23">
        <v>83</v>
      </c>
      <c r="I438" s="23">
        <v>22</v>
      </c>
      <c r="J438" s="24">
        <f t="shared" si="38"/>
        <v>63</v>
      </c>
    </row>
    <row r="439" spans="2:10" x14ac:dyDescent="0.25">
      <c r="B439" s="2">
        <v>5</v>
      </c>
      <c r="C439" s="4" t="s">
        <v>27</v>
      </c>
      <c r="D439" s="23">
        <v>30</v>
      </c>
      <c r="E439" s="23">
        <v>19</v>
      </c>
      <c r="F439" s="23">
        <v>4</v>
      </c>
      <c r="G439" s="23">
        <f t="shared" si="37"/>
        <v>7</v>
      </c>
      <c r="H439" s="23">
        <v>92</v>
      </c>
      <c r="I439" s="23">
        <v>29</v>
      </c>
      <c r="J439" s="24">
        <f t="shared" si="38"/>
        <v>61</v>
      </c>
    </row>
    <row r="440" spans="2:10" x14ac:dyDescent="0.25">
      <c r="B440" s="2">
        <v>6</v>
      </c>
      <c r="C440" s="4" t="s">
        <v>43</v>
      </c>
      <c r="D440" s="23">
        <v>30</v>
      </c>
      <c r="E440" s="23">
        <v>16</v>
      </c>
      <c r="F440" s="23">
        <v>5</v>
      </c>
      <c r="G440" s="23">
        <f t="shared" si="37"/>
        <v>9</v>
      </c>
      <c r="H440" s="23">
        <v>73</v>
      </c>
      <c r="I440" s="23">
        <v>30</v>
      </c>
      <c r="J440" s="24">
        <f t="shared" si="38"/>
        <v>53</v>
      </c>
    </row>
    <row r="441" spans="2:10" x14ac:dyDescent="0.25">
      <c r="B441" s="2">
        <v>7</v>
      </c>
      <c r="C441" s="4" t="s">
        <v>33</v>
      </c>
      <c r="D441" s="23">
        <v>30</v>
      </c>
      <c r="E441" s="23">
        <v>13</v>
      </c>
      <c r="F441" s="23">
        <v>7</v>
      </c>
      <c r="G441" s="23">
        <f t="shared" si="37"/>
        <v>10</v>
      </c>
      <c r="H441" s="23">
        <v>71</v>
      </c>
      <c r="I441" s="23">
        <v>39</v>
      </c>
      <c r="J441" s="24">
        <f t="shared" si="38"/>
        <v>46</v>
      </c>
    </row>
    <row r="442" spans="2:10" x14ac:dyDescent="0.25">
      <c r="B442" s="2">
        <v>8</v>
      </c>
      <c r="C442" s="4" t="s">
        <v>25</v>
      </c>
      <c r="D442" s="23">
        <v>30</v>
      </c>
      <c r="E442" s="23">
        <v>13</v>
      </c>
      <c r="F442" s="23">
        <v>6</v>
      </c>
      <c r="G442" s="23">
        <f t="shared" si="37"/>
        <v>11</v>
      </c>
      <c r="H442" s="23">
        <v>74</v>
      </c>
      <c r="I442" s="23">
        <v>50</v>
      </c>
      <c r="J442" s="24">
        <f t="shared" si="38"/>
        <v>45</v>
      </c>
    </row>
    <row r="443" spans="2:10" x14ac:dyDescent="0.25">
      <c r="B443" s="2">
        <v>9</v>
      </c>
      <c r="C443" s="4" t="s">
        <v>9</v>
      </c>
      <c r="D443" s="23">
        <v>30</v>
      </c>
      <c r="E443" s="23">
        <v>10</v>
      </c>
      <c r="F443" s="23">
        <v>7</v>
      </c>
      <c r="G443" s="23">
        <f t="shared" si="37"/>
        <v>13</v>
      </c>
      <c r="H443" s="23">
        <v>64</v>
      </c>
      <c r="I443" s="23">
        <v>45</v>
      </c>
      <c r="J443" s="24">
        <f t="shared" si="38"/>
        <v>37</v>
      </c>
    </row>
    <row r="444" spans="2:10" x14ac:dyDescent="0.25">
      <c r="B444" s="2">
        <v>10</v>
      </c>
      <c r="C444" s="4" t="s">
        <v>4</v>
      </c>
      <c r="D444" s="23">
        <v>30</v>
      </c>
      <c r="E444" s="23">
        <v>10</v>
      </c>
      <c r="F444" s="23">
        <v>7</v>
      </c>
      <c r="G444" s="23">
        <f t="shared" si="37"/>
        <v>13</v>
      </c>
      <c r="H444" s="23">
        <v>52</v>
      </c>
      <c r="I444" s="23">
        <v>56</v>
      </c>
      <c r="J444" s="24">
        <f t="shared" si="38"/>
        <v>37</v>
      </c>
    </row>
    <row r="445" spans="2:10" x14ac:dyDescent="0.25">
      <c r="B445" s="2">
        <v>11</v>
      </c>
      <c r="C445" s="4" t="s">
        <v>3</v>
      </c>
      <c r="D445" s="23">
        <v>30</v>
      </c>
      <c r="E445" s="23">
        <v>10</v>
      </c>
      <c r="F445" s="23">
        <v>5</v>
      </c>
      <c r="G445" s="23">
        <f t="shared" si="37"/>
        <v>15</v>
      </c>
      <c r="H445" s="23">
        <v>52</v>
      </c>
      <c r="I445" s="23">
        <v>58</v>
      </c>
      <c r="J445" s="24">
        <f t="shared" si="38"/>
        <v>35</v>
      </c>
    </row>
    <row r="446" spans="2:10" x14ac:dyDescent="0.25">
      <c r="B446" s="2">
        <v>12</v>
      </c>
      <c r="C446" s="4" t="s">
        <v>45</v>
      </c>
      <c r="D446" s="23">
        <v>30</v>
      </c>
      <c r="E446" s="23">
        <v>9</v>
      </c>
      <c r="F446" s="23">
        <v>4</v>
      </c>
      <c r="G446" s="23">
        <f t="shared" si="37"/>
        <v>17</v>
      </c>
      <c r="H446" s="23">
        <v>45</v>
      </c>
      <c r="I446" s="23">
        <v>57</v>
      </c>
      <c r="J446" s="24">
        <f t="shared" si="38"/>
        <v>31</v>
      </c>
    </row>
    <row r="447" spans="2:10" x14ac:dyDescent="0.25">
      <c r="B447" s="2">
        <v>13</v>
      </c>
      <c r="C447" s="4" t="s">
        <v>41</v>
      </c>
      <c r="D447" s="23">
        <v>30</v>
      </c>
      <c r="E447" s="23">
        <v>9</v>
      </c>
      <c r="F447" s="23">
        <v>4</v>
      </c>
      <c r="G447" s="23">
        <f t="shared" si="37"/>
        <v>17</v>
      </c>
      <c r="H447" s="23">
        <v>57</v>
      </c>
      <c r="I447" s="23">
        <v>73</v>
      </c>
      <c r="J447" s="24">
        <f t="shared" si="38"/>
        <v>31</v>
      </c>
    </row>
    <row r="448" spans="2:10" x14ac:dyDescent="0.25">
      <c r="B448" s="2">
        <v>14</v>
      </c>
      <c r="C448" s="4" t="s">
        <v>38</v>
      </c>
      <c r="D448" s="23">
        <v>30</v>
      </c>
      <c r="E448" s="23">
        <v>3</v>
      </c>
      <c r="F448" s="23">
        <v>1</v>
      </c>
      <c r="G448" s="23">
        <f t="shared" si="37"/>
        <v>26</v>
      </c>
      <c r="H448" s="23">
        <v>23</v>
      </c>
      <c r="I448" s="23">
        <v>122</v>
      </c>
      <c r="J448" s="24">
        <f t="shared" si="38"/>
        <v>10</v>
      </c>
    </row>
    <row r="449" spans="2:10" x14ac:dyDescent="0.25">
      <c r="B449" s="2">
        <v>15</v>
      </c>
      <c r="C449" s="4" t="s">
        <v>34</v>
      </c>
      <c r="D449" s="23">
        <v>21</v>
      </c>
      <c r="E449" s="23">
        <v>2</v>
      </c>
      <c r="F449" s="23">
        <v>0</v>
      </c>
      <c r="G449" s="23">
        <f t="shared" si="37"/>
        <v>19</v>
      </c>
      <c r="H449" s="23">
        <v>5</v>
      </c>
      <c r="I449" s="23">
        <v>177</v>
      </c>
      <c r="J449" s="24">
        <f t="shared" si="38"/>
        <v>6</v>
      </c>
    </row>
    <row r="450" spans="2:10" x14ac:dyDescent="0.25">
      <c r="B450" s="2">
        <v>16</v>
      </c>
      <c r="C450" s="4" t="s">
        <v>34</v>
      </c>
      <c r="D450" s="23">
        <v>14</v>
      </c>
      <c r="E450" s="23">
        <v>1</v>
      </c>
      <c r="F450" s="23">
        <v>0</v>
      </c>
      <c r="G450" s="23">
        <f t="shared" si="37"/>
        <v>13</v>
      </c>
      <c r="H450" s="23">
        <v>3</v>
      </c>
      <c r="I450" s="23">
        <v>123</v>
      </c>
      <c r="J450" s="24">
        <f t="shared" si="38"/>
        <v>3</v>
      </c>
    </row>
    <row r="451" spans="2:10" x14ac:dyDescent="0.25">
      <c r="B451" s="2"/>
      <c r="C451" s="2"/>
      <c r="D451" s="23"/>
      <c r="E451" s="23"/>
      <c r="F451" s="23"/>
      <c r="G451" s="23"/>
      <c r="H451" s="23"/>
      <c r="I451" s="23"/>
      <c r="J451" s="23"/>
    </row>
    <row r="452" spans="2:10" x14ac:dyDescent="0.25">
      <c r="B452" s="36" t="s">
        <v>42</v>
      </c>
      <c r="C452" s="36"/>
      <c r="D452" s="36"/>
      <c r="E452" s="36"/>
      <c r="F452" s="36"/>
      <c r="G452" s="36"/>
      <c r="H452" s="36"/>
      <c r="I452" s="36"/>
      <c r="J452" s="36"/>
    </row>
    <row r="453" spans="2:10" x14ac:dyDescent="0.25">
      <c r="B453" s="2">
        <v>1</v>
      </c>
      <c r="C453" s="4" t="s">
        <v>43</v>
      </c>
      <c r="D453" s="23">
        <v>30</v>
      </c>
      <c r="E453" s="23">
        <v>21</v>
      </c>
      <c r="F453" s="23">
        <v>7</v>
      </c>
      <c r="G453" s="23">
        <f>D453-E453-F453</f>
        <v>2</v>
      </c>
      <c r="H453" s="23">
        <v>73</v>
      </c>
      <c r="I453" s="23">
        <v>21</v>
      </c>
      <c r="J453" s="24">
        <f>E453*3+F453*1</f>
        <v>70</v>
      </c>
    </row>
    <row r="454" spans="2:10" x14ac:dyDescent="0.25">
      <c r="B454" s="2">
        <v>2</v>
      </c>
      <c r="C454" s="4" t="s">
        <v>24</v>
      </c>
      <c r="D454" s="23">
        <v>30</v>
      </c>
      <c r="E454" s="23">
        <v>21</v>
      </c>
      <c r="F454" s="23">
        <v>6</v>
      </c>
      <c r="G454" s="23">
        <f t="shared" ref="G454:G468" si="39">D454-E454-F454</f>
        <v>3</v>
      </c>
      <c r="H454" s="23">
        <v>69</v>
      </c>
      <c r="I454" s="23">
        <v>17</v>
      </c>
      <c r="J454" s="24">
        <f t="shared" ref="J454:J468" si="40">E454*3+F454*1</f>
        <v>69</v>
      </c>
    </row>
    <row r="455" spans="2:10" x14ac:dyDescent="0.25">
      <c r="B455" s="2">
        <v>3</v>
      </c>
      <c r="C455" s="4" t="s">
        <v>18</v>
      </c>
      <c r="D455" s="23">
        <v>30</v>
      </c>
      <c r="E455" s="23">
        <v>21</v>
      </c>
      <c r="F455" s="23">
        <v>4</v>
      </c>
      <c r="G455" s="23">
        <f t="shared" si="39"/>
        <v>5</v>
      </c>
      <c r="H455" s="23">
        <v>92</v>
      </c>
      <c r="I455" s="23">
        <v>32</v>
      </c>
      <c r="J455" s="24">
        <f t="shared" si="40"/>
        <v>67</v>
      </c>
    </row>
    <row r="456" spans="2:10" x14ac:dyDescent="0.25">
      <c r="B456" s="2">
        <v>4</v>
      </c>
      <c r="C456" s="4" t="s">
        <v>23</v>
      </c>
      <c r="D456" s="23">
        <v>30</v>
      </c>
      <c r="E456" s="23">
        <v>15</v>
      </c>
      <c r="F456" s="23">
        <v>8</v>
      </c>
      <c r="G456" s="23">
        <f t="shared" si="39"/>
        <v>7</v>
      </c>
      <c r="H456" s="23">
        <v>60</v>
      </c>
      <c r="I456" s="23">
        <v>27</v>
      </c>
      <c r="J456" s="24">
        <f t="shared" si="40"/>
        <v>53</v>
      </c>
    </row>
    <row r="457" spans="2:10" x14ac:dyDescent="0.25">
      <c r="B457" s="2">
        <v>5</v>
      </c>
      <c r="C457" s="4" t="s">
        <v>0</v>
      </c>
      <c r="D457" s="23">
        <v>30</v>
      </c>
      <c r="E457" s="23">
        <v>15</v>
      </c>
      <c r="F457" s="23">
        <v>6</v>
      </c>
      <c r="G457" s="23">
        <f t="shared" si="39"/>
        <v>9</v>
      </c>
      <c r="H457" s="23">
        <v>73</v>
      </c>
      <c r="I457" s="23">
        <v>36</v>
      </c>
      <c r="J457" s="24">
        <f t="shared" si="40"/>
        <v>51</v>
      </c>
    </row>
    <row r="458" spans="2:10" x14ac:dyDescent="0.25">
      <c r="B458" s="2">
        <v>6</v>
      </c>
      <c r="C458" s="4" t="s">
        <v>33</v>
      </c>
      <c r="D458" s="23">
        <v>30</v>
      </c>
      <c r="E458" s="23">
        <v>14</v>
      </c>
      <c r="F458" s="23">
        <v>5</v>
      </c>
      <c r="G458" s="23">
        <f t="shared" si="39"/>
        <v>11</v>
      </c>
      <c r="H458" s="23">
        <v>53</v>
      </c>
      <c r="I458" s="23">
        <v>36</v>
      </c>
      <c r="J458" s="24">
        <f t="shared" si="40"/>
        <v>47</v>
      </c>
    </row>
    <row r="459" spans="2:10" x14ac:dyDescent="0.25">
      <c r="B459" s="2">
        <v>7</v>
      </c>
      <c r="C459" s="4" t="s">
        <v>27</v>
      </c>
      <c r="D459" s="23">
        <v>30</v>
      </c>
      <c r="E459" s="23">
        <v>11</v>
      </c>
      <c r="F459" s="23">
        <v>10</v>
      </c>
      <c r="G459" s="23">
        <f t="shared" si="39"/>
        <v>9</v>
      </c>
      <c r="H459" s="23">
        <v>47</v>
      </c>
      <c r="I459" s="23">
        <v>27</v>
      </c>
      <c r="J459" s="24">
        <f t="shared" si="40"/>
        <v>43</v>
      </c>
    </row>
    <row r="460" spans="2:10" x14ac:dyDescent="0.25">
      <c r="B460" s="2">
        <v>8</v>
      </c>
      <c r="C460" s="4" t="s">
        <v>4</v>
      </c>
      <c r="D460" s="23">
        <v>30</v>
      </c>
      <c r="E460" s="23">
        <v>12</v>
      </c>
      <c r="F460" s="23">
        <v>5</v>
      </c>
      <c r="G460" s="23">
        <f t="shared" si="39"/>
        <v>13</v>
      </c>
      <c r="H460" s="23">
        <v>48</v>
      </c>
      <c r="I460" s="23">
        <v>46</v>
      </c>
      <c r="J460" s="24">
        <f t="shared" si="40"/>
        <v>41</v>
      </c>
    </row>
    <row r="461" spans="2:10" x14ac:dyDescent="0.25">
      <c r="B461" s="2">
        <v>9</v>
      </c>
      <c r="C461" s="4" t="s">
        <v>32</v>
      </c>
      <c r="D461" s="23">
        <v>30</v>
      </c>
      <c r="E461" s="23">
        <v>11</v>
      </c>
      <c r="F461" s="23">
        <v>7</v>
      </c>
      <c r="G461" s="23">
        <f t="shared" si="39"/>
        <v>12</v>
      </c>
      <c r="H461" s="23">
        <v>50</v>
      </c>
      <c r="I461" s="23">
        <v>42</v>
      </c>
      <c r="J461" s="24">
        <f t="shared" si="40"/>
        <v>40</v>
      </c>
    </row>
    <row r="462" spans="2:10" x14ac:dyDescent="0.25">
      <c r="B462" s="2">
        <v>10</v>
      </c>
      <c r="C462" s="4" t="s">
        <v>9</v>
      </c>
      <c r="D462" s="23">
        <v>30</v>
      </c>
      <c r="E462" s="23">
        <v>11</v>
      </c>
      <c r="F462" s="23">
        <v>5</v>
      </c>
      <c r="G462" s="23">
        <f t="shared" si="39"/>
        <v>14</v>
      </c>
      <c r="H462" s="23">
        <v>42</v>
      </c>
      <c r="I462" s="23">
        <v>40</v>
      </c>
      <c r="J462" s="24">
        <f t="shared" si="40"/>
        <v>38</v>
      </c>
    </row>
    <row r="463" spans="2:10" x14ac:dyDescent="0.25">
      <c r="B463" s="2">
        <v>11</v>
      </c>
      <c r="C463" s="4" t="s">
        <v>3</v>
      </c>
      <c r="D463" s="23">
        <v>30</v>
      </c>
      <c r="E463" s="23">
        <v>10</v>
      </c>
      <c r="F463" s="23">
        <v>4</v>
      </c>
      <c r="G463" s="23">
        <f t="shared" si="39"/>
        <v>16</v>
      </c>
      <c r="H463" s="23">
        <v>41</v>
      </c>
      <c r="I463" s="23">
        <v>54</v>
      </c>
      <c r="J463" s="24">
        <f t="shared" si="40"/>
        <v>34</v>
      </c>
    </row>
    <row r="464" spans="2:10" x14ac:dyDescent="0.25">
      <c r="B464" s="2">
        <v>12</v>
      </c>
      <c r="C464" s="4" t="s">
        <v>25</v>
      </c>
      <c r="D464" s="23">
        <v>30</v>
      </c>
      <c r="E464" s="23">
        <v>9</v>
      </c>
      <c r="F464" s="23">
        <v>6</v>
      </c>
      <c r="G464" s="23">
        <f t="shared" si="39"/>
        <v>15</v>
      </c>
      <c r="H464" s="23">
        <v>44</v>
      </c>
      <c r="I464" s="23">
        <v>51</v>
      </c>
      <c r="J464" s="24">
        <f t="shared" si="40"/>
        <v>33</v>
      </c>
    </row>
    <row r="465" spans="2:10" x14ac:dyDescent="0.25">
      <c r="B465" s="2">
        <v>13</v>
      </c>
      <c r="C465" s="4" t="s">
        <v>41</v>
      </c>
      <c r="D465" s="23">
        <v>30</v>
      </c>
      <c r="E465" s="23">
        <v>9</v>
      </c>
      <c r="F465" s="23">
        <v>4</v>
      </c>
      <c r="G465" s="23">
        <f t="shared" si="39"/>
        <v>17</v>
      </c>
      <c r="H465" s="23">
        <v>42</v>
      </c>
      <c r="I465" s="23">
        <v>53</v>
      </c>
      <c r="J465" s="24">
        <f t="shared" si="40"/>
        <v>31</v>
      </c>
    </row>
    <row r="466" spans="2:10" x14ac:dyDescent="0.25">
      <c r="B466" s="2">
        <v>14</v>
      </c>
      <c r="C466" s="4" t="s">
        <v>38</v>
      </c>
      <c r="D466" s="23">
        <v>30</v>
      </c>
      <c r="E466" s="23">
        <v>4</v>
      </c>
      <c r="F466" s="23">
        <v>3</v>
      </c>
      <c r="G466" s="23">
        <f t="shared" si="39"/>
        <v>23</v>
      </c>
      <c r="H466" s="23">
        <v>26</v>
      </c>
      <c r="I466" s="23">
        <v>88</v>
      </c>
      <c r="J466" s="24">
        <f t="shared" si="40"/>
        <v>15</v>
      </c>
    </row>
    <row r="467" spans="2:10" x14ac:dyDescent="0.25">
      <c r="B467" s="2">
        <v>15</v>
      </c>
      <c r="C467" s="4" t="s">
        <v>34</v>
      </c>
      <c r="D467" s="23">
        <v>0</v>
      </c>
      <c r="E467" s="23">
        <v>0</v>
      </c>
      <c r="F467" s="23">
        <v>0</v>
      </c>
      <c r="G467" s="23">
        <f t="shared" si="39"/>
        <v>0</v>
      </c>
      <c r="H467" s="23">
        <v>0</v>
      </c>
      <c r="I467" s="23">
        <v>0</v>
      </c>
      <c r="J467" s="24">
        <f t="shared" si="40"/>
        <v>0</v>
      </c>
    </row>
    <row r="468" spans="2:10" x14ac:dyDescent="0.25">
      <c r="B468" s="2">
        <v>16</v>
      </c>
      <c r="C468" s="4" t="s">
        <v>34</v>
      </c>
      <c r="D468" s="23">
        <v>18</v>
      </c>
      <c r="E468" s="23">
        <v>0</v>
      </c>
      <c r="F468" s="23">
        <v>0</v>
      </c>
      <c r="G468" s="23">
        <f t="shared" si="39"/>
        <v>18</v>
      </c>
      <c r="H468" s="23">
        <v>0</v>
      </c>
      <c r="I468" s="23">
        <v>180</v>
      </c>
      <c r="J468" s="24">
        <f t="shared" si="40"/>
        <v>0</v>
      </c>
    </row>
    <row r="469" spans="2:10" x14ac:dyDescent="0.25">
      <c r="B469" s="2"/>
      <c r="C469" s="2"/>
      <c r="D469" s="23"/>
      <c r="E469" s="23"/>
      <c r="F469" s="23"/>
      <c r="G469" s="23"/>
      <c r="H469" s="23"/>
      <c r="I469" s="23"/>
      <c r="J469" s="23"/>
    </row>
    <row r="470" spans="2:10" x14ac:dyDescent="0.25">
      <c r="B470" s="36" t="s">
        <v>40</v>
      </c>
      <c r="C470" s="36"/>
      <c r="D470" s="36"/>
      <c r="E470" s="36"/>
      <c r="F470" s="36"/>
      <c r="G470" s="36"/>
      <c r="H470" s="36"/>
      <c r="I470" s="36"/>
      <c r="J470" s="36"/>
    </row>
    <row r="471" spans="2:10" x14ac:dyDescent="0.25">
      <c r="B471" s="2">
        <v>1</v>
      </c>
      <c r="C471" s="4" t="s">
        <v>23</v>
      </c>
      <c r="D471" s="23">
        <v>30</v>
      </c>
      <c r="E471" s="23">
        <v>21</v>
      </c>
      <c r="F471" s="23">
        <v>3</v>
      </c>
      <c r="G471" s="23">
        <f>D471-E471-F471</f>
        <v>6</v>
      </c>
      <c r="H471" s="23">
        <v>86</v>
      </c>
      <c r="I471" s="23">
        <v>34</v>
      </c>
      <c r="J471" s="24">
        <f>E471*3+F471*1</f>
        <v>66</v>
      </c>
    </row>
    <row r="472" spans="2:10" x14ac:dyDescent="0.25">
      <c r="B472" s="2">
        <v>2</v>
      </c>
      <c r="C472" s="4" t="s">
        <v>24</v>
      </c>
      <c r="D472" s="23">
        <v>30</v>
      </c>
      <c r="E472" s="23">
        <v>19</v>
      </c>
      <c r="F472" s="23">
        <v>5</v>
      </c>
      <c r="G472" s="23">
        <f t="shared" ref="G472:G486" si="41">D472-E472-F472</f>
        <v>6</v>
      </c>
      <c r="H472" s="23">
        <v>70</v>
      </c>
      <c r="I472" s="23">
        <v>33</v>
      </c>
      <c r="J472" s="24">
        <f t="shared" ref="J472:J486" si="42">E472*3+F472*1</f>
        <v>62</v>
      </c>
    </row>
    <row r="473" spans="2:10" x14ac:dyDescent="0.25">
      <c r="B473" s="2">
        <v>3</v>
      </c>
      <c r="C473" s="4" t="s">
        <v>18</v>
      </c>
      <c r="D473" s="23">
        <v>30</v>
      </c>
      <c r="E473" s="23">
        <v>16</v>
      </c>
      <c r="F473" s="23">
        <v>6</v>
      </c>
      <c r="G473" s="23">
        <f t="shared" si="41"/>
        <v>8</v>
      </c>
      <c r="H473" s="23">
        <v>89</v>
      </c>
      <c r="I473" s="23">
        <v>53</v>
      </c>
      <c r="J473" s="24">
        <f t="shared" si="42"/>
        <v>54</v>
      </c>
    </row>
    <row r="474" spans="2:10" x14ac:dyDescent="0.25">
      <c r="B474" s="2">
        <v>4</v>
      </c>
      <c r="C474" s="4" t="s">
        <v>32</v>
      </c>
      <c r="D474" s="23">
        <v>30</v>
      </c>
      <c r="E474" s="23">
        <v>13</v>
      </c>
      <c r="F474" s="23">
        <v>8</v>
      </c>
      <c r="G474" s="23">
        <f t="shared" si="41"/>
        <v>9</v>
      </c>
      <c r="H474" s="23">
        <v>63</v>
      </c>
      <c r="I474" s="23">
        <v>42</v>
      </c>
      <c r="J474" s="24">
        <f t="shared" si="42"/>
        <v>47</v>
      </c>
    </row>
    <row r="475" spans="2:10" x14ac:dyDescent="0.25">
      <c r="B475" s="2">
        <v>5</v>
      </c>
      <c r="C475" s="4" t="s">
        <v>27</v>
      </c>
      <c r="D475" s="23">
        <v>30</v>
      </c>
      <c r="E475" s="23">
        <v>14</v>
      </c>
      <c r="F475" s="23">
        <v>5</v>
      </c>
      <c r="G475" s="23">
        <f t="shared" si="41"/>
        <v>11</v>
      </c>
      <c r="H475" s="23">
        <v>61</v>
      </c>
      <c r="I475" s="23">
        <v>45</v>
      </c>
      <c r="J475" s="24">
        <f t="shared" si="42"/>
        <v>47</v>
      </c>
    </row>
    <row r="476" spans="2:10" x14ac:dyDescent="0.25">
      <c r="B476" s="2">
        <v>6</v>
      </c>
      <c r="C476" s="4" t="s">
        <v>0</v>
      </c>
      <c r="D476" s="23">
        <v>30</v>
      </c>
      <c r="E476" s="23">
        <v>14</v>
      </c>
      <c r="F476" s="23">
        <v>4</v>
      </c>
      <c r="G476" s="23">
        <f t="shared" si="41"/>
        <v>12</v>
      </c>
      <c r="H476" s="23">
        <v>67</v>
      </c>
      <c r="I476" s="23">
        <v>43</v>
      </c>
      <c r="J476" s="24">
        <f t="shared" si="42"/>
        <v>46</v>
      </c>
    </row>
    <row r="477" spans="2:10" x14ac:dyDescent="0.25">
      <c r="B477" s="2">
        <v>7</v>
      </c>
      <c r="C477" s="4" t="s">
        <v>33</v>
      </c>
      <c r="D477" s="23">
        <v>30</v>
      </c>
      <c r="E477" s="23">
        <v>13</v>
      </c>
      <c r="F477" s="23">
        <v>6</v>
      </c>
      <c r="G477" s="23">
        <f t="shared" si="41"/>
        <v>11</v>
      </c>
      <c r="H477" s="23">
        <v>67</v>
      </c>
      <c r="I477" s="23">
        <v>47</v>
      </c>
      <c r="J477" s="24">
        <f t="shared" si="42"/>
        <v>45</v>
      </c>
    </row>
    <row r="478" spans="2:10" x14ac:dyDescent="0.25">
      <c r="B478" s="2">
        <v>8</v>
      </c>
      <c r="C478" s="4" t="s">
        <v>3</v>
      </c>
      <c r="D478" s="23">
        <v>30</v>
      </c>
      <c r="E478" s="23">
        <v>11</v>
      </c>
      <c r="F478" s="23">
        <v>9</v>
      </c>
      <c r="G478" s="23">
        <f t="shared" si="41"/>
        <v>10</v>
      </c>
      <c r="H478" s="23">
        <v>54</v>
      </c>
      <c r="I478" s="23">
        <v>53</v>
      </c>
      <c r="J478" s="24">
        <f t="shared" si="42"/>
        <v>42</v>
      </c>
    </row>
    <row r="479" spans="2:10" x14ac:dyDescent="0.25">
      <c r="B479" s="2">
        <v>9</v>
      </c>
      <c r="C479" s="4" t="s">
        <v>28</v>
      </c>
      <c r="D479" s="23">
        <v>30</v>
      </c>
      <c r="E479" s="23">
        <v>10</v>
      </c>
      <c r="F479" s="23">
        <v>10</v>
      </c>
      <c r="G479" s="23">
        <f t="shared" si="41"/>
        <v>10</v>
      </c>
      <c r="H479" s="23">
        <v>38</v>
      </c>
      <c r="I479" s="23">
        <v>43</v>
      </c>
      <c r="J479" s="24">
        <f t="shared" si="42"/>
        <v>40</v>
      </c>
    </row>
    <row r="480" spans="2:10" x14ac:dyDescent="0.25">
      <c r="B480" s="2">
        <v>10</v>
      </c>
      <c r="C480" s="4" t="s">
        <v>25</v>
      </c>
      <c r="D480" s="23">
        <v>30</v>
      </c>
      <c r="E480" s="23">
        <v>11</v>
      </c>
      <c r="F480" s="23">
        <v>5</v>
      </c>
      <c r="G480" s="23">
        <f t="shared" si="41"/>
        <v>14</v>
      </c>
      <c r="H480" s="23">
        <v>58</v>
      </c>
      <c r="I480" s="23">
        <v>48</v>
      </c>
      <c r="J480" s="24">
        <f t="shared" si="42"/>
        <v>38</v>
      </c>
    </row>
    <row r="481" spans="2:10" x14ac:dyDescent="0.25">
      <c r="B481" s="2">
        <v>11</v>
      </c>
      <c r="C481" s="4" t="s">
        <v>38</v>
      </c>
      <c r="D481" s="23">
        <v>30</v>
      </c>
      <c r="E481" s="23">
        <v>12</v>
      </c>
      <c r="F481" s="23">
        <v>1</v>
      </c>
      <c r="G481" s="23">
        <f t="shared" si="41"/>
        <v>17</v>
      </c>
      <c r="H481" s="23">
        <v>44</v>
      </c>
      <c r="I481" s="23">
        <v>57</v>
      </c>
      <c r="J481" s="24">
        <f t="shared" si="42"/>
        <v>37</v>
      </c>
    </row>
    <row r="482" spans="2:10" x14ac:dyDescent="0.25">
      <c r="B482" s="2">
        <v>12</v>
      </c>
      <c r="C482" s="4" t="s">
        <v>6</v>
      </c>
      <c r="D482" s="23">
        <v>30</v>
      </c>
      <c r="E482" s="23">
        <v>9</v>
      </c>
      <c r="F482" s="23">
        <v>9</v>
      </c>
      <c r="G482" s="23">
        <f t="shared" si="41"/>
        <v>12</v>
      </c>
      <c r="H482" s="23">
        <v>48</v>
      </c>
      <c r="I482" s="23">
        <v>52</v>
      </c>
      <c r="J482" s="24">
        <f t="shared" si="42"/>
        <v>36</v>
      </c>
    </row>
    <row r="483" spans="2:10" x14ac:dyDescent="0.25">
      <c r="B483" s="2">
        <v>13</v>
      </c>
      <c r="C483" s="4" t="s">
        <v>4</v>
      </c>
      <c r="D483" s="23">
        <v>30</v>
      </c>
      <c r="E483" s="23">
        <v>9</v>
      </c>
      <c r="F483" s="23">
        <v>6</v>
      </c>
      <c r="G483" s="23">
        <f t="shared" si="41"/>
        <v>15</v>
      </c>
      <c r="H483" s="23">
        <v>33</v>
      </c>
      <c r="I483" s="23">
        <v>48</v>
      </c>
      <c r="J483" s="24">
        <f t="shared" si="42"/>
        <v>33</v>
      </c>
    </row>
    <row r="484" spans="2:10" x14ac:dyDescent="0.25">
      <c r="B484" s="2">
        <v>14</v>
      </c>
      <c r="C484" s="4" t="s">
        <v>41</v>
      </c>
      <c r="D484" s="23">
        <v>30</v>
      </c>
      <c r="E484" s="23">
        <v>7</v>
      </c>
      <c r="F484" s="23">
        <v>7</v>
      </c>
      <c r="G484" s="23">
        <f t="shared" si="41"/>
        <v>16</v>
      </c>
      <c r="H484" s="23">
        <v>44</v>
      </c>
      <c r="I484" s="23">
        <v>73</v>
      </c>
      <c r="J484" s="24">
        <f t="shared" si="42"/>
        <v>28</v>
      </c>
    </row>
    <row r="485" spans="2:10" x14ac:dyDescent="0.25">
      <c r="B485" s="2">
        <v>15</v>
      </c>
      <c r="C485" s="4" t="s">
        <v>34</v>
      </c>
      <c r="D485" s="23">
        <v>27</v>
      </c>
      <c r="E485" s="23">
        <v>3</v>
      </c>
      <c r="F485" s="23">
        <v>0</v>
      </c>
      <c r="G485" s="23">
        <f t="shared" si="41"/>
        <v>24</v>
      </c>
      <c r="H485" s="23">
        <v>11</v>
      </c>
      <c r="I485" s="23">
        <v>167</v>
      </c>
      <c r="J485" s="24">
        <f t="shared" si="42"/>
        <v>9</v>
      </c>
    </row>
    <row r="486" spans="2:10" x14ac:dyDescent="0.25">
      <c r="B486" s="2">
        <v>16</v>
      </c>
      <c r="C486" s="4" t="s">
        <v>34</v>
      </c>
      <c r="D486" s="23">
        <v>0</v>
      </c>
      <c r="E486" s="23">
        <v>0</v>
      </c>
      <c r="F486" s="23">
        <v>0</v>
      </c>
      <c r="G486" s="23">
        <f t="shared" si="41"/>
        <v>0</v>
      </c>
      <c r="H486" s="23">
        <v>0</v>
      </c>
      <c r="I486" s="23">
        <v>0</v>
      </c>
      <c r="J486" s="24">
        <f t="shared" si="42"/>
        <v>0</v>
      </c>
    </row>
    <row r="487" spans="2:10" x14ac:dyDescent="0.25">
      <c r="B487" s="2"/>
      <c r="C487" s="2"/>
      <c r="D487" s="23"/>
      <c r="E487" s="23"/>
      <c r="F487" s="23"/>
      <c r="G487" s="23"/>
      <c r="H487" s="23"/>
      <c r="I487" s="23"/>
      <c r="J487" s="23"/>
    </row>
    <row r="488" spans="2:10" x14ac:dyDescent="0.25">
      <c r="B488" s="36" t="s">
        <v>37</v>
      </c>
      <c r="C488" s="36"/>
      <c r="D488" s="36"/>
      <c r="E488" s="36"/>
      <c r="F488" s="36"/>
      <c r="G488" s="36"/>
      <c r="H488" s="36"/>
      <c r="I488" s="36"/>
      <c r="J488" s="36"/>
    </row>
    <row r="489" spans="2:10" x14ac:dyDescent="0.25">
      <c r="B489" s="2">
        <v>1</v>
      </c>
      <c r="C489" s="4" t="s">
        <v>6</v>
      </c>
      <c r="D489" s="23">
        <v>30</v>
      </c>
      <c r="E489" s="23">
        <v>19</v>
      </c>
      <c r="F489" s="23">
        <v>2</v>
      </c>
      <c r="G489" s="23">
        <f>D489-E489-F489</f>
        <v>9</v>
      </c>
      <c r="H489" s="23">
        <v>58</v>
      </c>
      <c r="I489" s="23">
        <v>43</v>
      </c>
      <c r="J489" s="24">
        <f>E489*3+F489*1</f>
        <v>59</v>
      </c>
    </row>
    <row r="490" spans="2:10" x14ac:dyDescent="0.25">
      <c r="B490" s="2">
        <v>2</v>
      </c>
      <c r="C490" s="4" t="s">
        <v>0</v>
      </c>
      <c r="D490" s="23">
        <v>30</v>
      </c>
      <c r="E490" s="23">
        <v>18</v>
      </c>
      <c r="F490" s="23">
        <v>4</v>
      </c>
      <c r="G490" s="23">
        <f t="shared" ref="G490:G504" si="43">D490-E490-F490</f>
        <v>8</v>
      </c>
      <c r="H490" s="23">
        <v>57</v>
      </c>
      <c r="I490" s="23">
        <v>34</v>
      </c>
      <c r="J490" s="24">
        <f t="shared" ref="J490:J504" si="44">E490*3+F490*1</f>
        <v>58</v>
      </c>
    </row>
    <row r="491" spans="2:10" x14ac:dyDescent="0.25">
      <c r="B491" s="2">
        <v>3</v>
      </c>
      <c r="C491" s="4" t="s">
        <v>23</v>
      </c>
      <c r="D491" s="23">
        <v>30</v>
      </c>
      <c r="E491" s="23">
        <v>17</v>
      </c>
      <c r="F491" s="23">
        <v>7</v>
      </c>
      <c r="G491" s="23">
        <f t="shared" si="43"/>
        <v>6</v>
      </c>
      <c r="H491" s="23">
        <v>49</v>
      </c>
      <c r="I491" s="23">
        <v>30</v>
      </c>
      <c r="J491" s="24">
        <f t="shared" si="44"/>
        <v>58</v>
      </c>
    </row>
    <row r="492" spans="2:10" x14ac:dyDescent="0.25">
      <c r="B492" s="2">
        <v>4</v>
      </c>
      <c r="C492" s="4" t="s">
        <v>24</v>
      </c>
      <c r="D492" s="23">
        <v>30</v>
      </c>
      <c r="E492" s="23">
        <v>16</v>
      </c>
      <c r="F492" s="23">
        <v>6</v>
      </c>
      <c r="G492" s="23">
        <f t="shared" si="43"/>
        <v>8</v>
      </c>
      <c r="H492" s="23">
        <v>61</v>
      </c>
      <c r="I492" s="23">
        <v>36</v>
      </c>
      <c r="J492" s="24">
        <f t="shared" si="44"/>
        <v>54</v>
      </c>
    </row>
    <row r="493" spans="2:10" x14ac:dyDescent="0.25">
      <c r="B493" s="2">
        <v>5</v>
      </c>
      <c r="C493" s="4" t="s">
        <v>4</v>
      </c>
      <c r="D493" s="23">
        <v>30</v>
      </c>
      <c r="E493" s="23">
        <v>17</v>
      </c>
      <c r="F493" s="23">
        <v>3</v>
      </c>
      <c r="G493" s="23">
        <f t="shared" si="43"/>
        <v>10</v>
      </c>
      <c r="H493" s="23">
        <v>54</v>
      </c>
      <c r="I493" s="23">
        <v>48</v>
      </c>
      <c r="J493" s="24">
        <f t="shared" si="44"/>
        <v>54</v>
      </c>
    </row>
    <row r="494" spans="2:10" x14ac:dyDescent="0.25">
      <c r="B494" s="2">
        <v>6</v>
      </c>
      <c r="C494" s="4" t="s">
        <v>18</v>
      </c>
      <c r="D494" s="23">
        <v>30</v>
      </c>
      <c r="E494" s="23">
        <v>16</v>
      </c>
      <c r="F494" s="23">
        <v>5</v>
      </c>
      <c r="G494" s="23">
        <f t="shared" si="43"/>
        <v>9</v>
      </c>
      <c r="H494" s="23">
        <v>58</v>
      </c>
      <c r="I494" s="23">
        <v>43</v>
      </c>
      <c r="J494" s="24">
        <f t="shared" si="44"/>
        <v>53</v>
      </c>
    </row>
    <row r="495" spans="2:10" x14ac:dyDescent="0.25">
      <c r="B495" s="2">
        <v>7</v>
      </c>
      <c r="C495" s="4" t="s">
        <v>33</v>
      </c>
      <c r="D495" s="23">
        <v>30</v>
      </c>
      <c r="E495" s="23">
        <v>14</v>
      </c>
      <c r="F495" s="23">
        <v>6</v>
      </c>
      <c r="G495" s="23">
        <f t="shared" si="43"/>
        <v>10</v>
      </c>
      <c r="H495" s="23">
        <v>55</v>
      </c>
      <c r="I495" s="23">
        <v>51</v>
      </c>
      <c r="J495" s="24">
        <f t="shared" si="44"/>
        <v>48</v>
      </c>
    </row>
    <row r="496" spans="2:10" x14ac:dyDescent="0.25">
      <c r="B496" s="2">
        <v>8</v>
      </c>
      <c r="C496" s="4" t="s">
        <v>27</v>
      </c>
      <c r="D496" s="23">
        <v>30</v>
      </c>
      <c r="E496" s="23">
        <v>14</v>
      </c>
      <c r="F496" s="23">
        <v>4</v>
      </c>
      <c r="G496" s="23">
        <f t="shared" si="43"/>
        <v>12</v>
      </c>
      <c r="H496" s="23">
        <v>42</v>
      </c>
      <c r="I496" s="23">
        <v>47</v>
      </c>
      <c r="J496" s="24">
        <f t="shared" si="44"/>
        <v>46</v>
      </c>
    </row>
    <row r="497" spans="2:10" x14ac:dyDescent="0.25">
      <c r="B497" s="2">
        <v>9</v>
      </c>
      <c r="C497" s="4" t="s">
        <v>32</v>
      </c>
      <c r="D497" s="23">
        <v>30</v>
      </c>
      <c r="E497" s="23">
        <v>10</v>
      </c>
      <c r="F497" s="23">
        <v>10</v>
      </c>
      <c r="G497" s="23">
        <f t="shared" si="43"/>
        <v>10</v>
      </c>
      <c r="H497" s="23">
        <v>43</v>
      </c>
      <c r="I497" s="23">
        <v>33</v>
      </c>
      <c r="J497" s="24">
        <f t="shared" si="44"/>
        <v>40</v>
      </c>
    </row>
    <row r="498" spans="2:10" x14ac:dyDescent="0.25">
      <c r="B498" s="2">
        <v>10</v>
      </c>
      <c r="C498" s="4" t="s">
        <v>38</v>
      </c>
      <c r="D498" s="23">
        <v>30</v>
      </c>
      <c r="E498" s="23">
        <v>10</v>
      </c>
      <c r="F498" s="23">
        <v>6</v>
      </c>
      <c r="G498" s="23">
        <f t="shared" si="43"/>
        <v>14</v>
      </c>
      <c r="H498" s="23">
        <v>45</v>
      </c>
      <c r="I498" s="23">
        <v>55</v>
      </c>
      <c r="J498" s="24">
        <f t="shared" si="44"/>
        <v>36</v>
      </c>
    </row>
    <row r="499" spans="2:10" x14ac:dyDescent="0.25">
      <c r="B499" s="2">
        <v>11</v>
      </c>
      <c r="C499" s="4" t="s">
        <v>28</v>
      </c>
      <c r="D499" s="23">
        <v>30</v>
      </c>
      <c r="E499" s="23">
        <v>9</v>
      </c>
      <c r="F499" s="23">
        <v>6</v>
      </c>
      <c r="G499" s="23">
        <f t="shared" si="43"/>
        <v>15</v>
      </c>
      <c r="H499" s="23">
        <v>27</v>
      </c>
      <c r="I499" s="23">
        <v>44</v>
      </c>
      <c r="J499" s="24">
        <f t="shared" si="44"/>
        <v>33</v>
      </c>
    </row>
    <row r="500" spans="2:10" x14ac:dyDescent="0.25">
      <c r="B500" s="2">
        <v>12</v>
      </c>
      <c r="C500" s="4" t="s">
        <v>39</v>
      </c>
      <c r="D500" s="23">
        <v>30</v>
      </c>
      <c r="E500" s="23">
        <v>8</v>
      </c>
      <c r="F500" s="23">
        <v>7</v>
      </c>
      <c r="G500" s="23">
        <f t="shared" si="43"/>
        <v>15</v>
      </c>
      <c r="H500" s="23">
        <v>44</v>
      </c>
      <c r="I500" s="23">
        <v>55</v>
      </c>
      <c r="J500" s="24">
        <f t="shared" si="44"/>
        <v>31</v>
      </c>
    </row>
    <row r="501" spans="2:10" x14ac:dyDescent="0.25">
      <c r="B501" s="2">
        <v>13</v>
      </c>
      <c r="C501" s="4" t="s">
        <v>1</v>
      </c>
      <c r="D501" s="23">
        <v>30</v>
      </c>
      <c r="E501" s="23">
        <v>7</v>
      </c>
      <c r="F501" s="23">
        <v>9</v>
      </c>
      <c r="G501" s="23">
        <f t="shared" si="43"/>
        <v>14</v>
      </c>
      <c r="H501" s="23">
        <v>43</v>
      </c>
      <c r="I501" s="23">
        <v>51</v>
      </c>
      <c r="J501" s="24">
        <f t="shared" si="44"/>
        <v>30</v>
      </c>
    </row>
    <row r="502" spans="2:10" x14ac:dyDescent="0.25">
      <c r="B502" s="2">
        <v>14</v>
      </c>
      <c r="C502" s="4" t="s">
        <v>3</v>
      </c>
      <c r="D502" s="23">
        <v>30</v>
      </c>
      <c r="E502" s="23">
        <v>8</v>
      </c>
      <c r="F502" s="23">
        <v>6</v>
      </c>
      <c r="G502" s="23">
        <f t="shared" si="43"/>
        <v>16</v>
      </c>
      <c r="H502" s="23">
        <v>33</v>
      </c>
      <c r="I502" s="23">
        <v>48</v>
      </c>
      <c r="J502" s="24">
        <f t="shared" si="44"/>
        <v>30</v>
      </c>
    </row>
    <row r="503" spans="2:10" x14ac:dyDescent="0.25">
      <c r="B503" s="2">
        <v>15</v>
      </c>
      <c r="C503" s="4" t="s">
        <v>30</v>
      </c>
      <c r="D503" s="23">
        <v>30</v>
      </c>
      <c r="E503" s="23">
        <v>5</v>
      </c>
      <c r="F503" s="23">
        <v>7</v>
      </c>
      <c r="G503" s="23">
        <f t="shared" si="43"/>
        <v>18</v>
      </c>
      <c r="H503" s="23">
        <v>24</v>
      </c>
      <c r="I503" s="23">
        <v>50</v>
      </c>
      <c r="J503" s="24">
        <f t="shared" si="44"/>
        <v>22</v>
      </c>
    </row>
    <row r="504" spans="2:10" x14ac:dyDescent="0.25">
      <c r="B504" s="2">
        <v>16</v>
      </c>
      <c r="C504" s="4" t="s">
        <v>36</v>
      </c>
      <c r="D504" s="23">
        <v>30</v>
      </c>
      <c r="E504" s="23">
        <v>3</v>
      </c>
      <c r="F504" s="23">
        <v>10</v>
      </c>
      <c r="G504" s="23">
        <f t="shared" si="43"/>
        <v>17</v>
      </c>
      <c r="H504" s="23">
        <v>35</v>
      </c>
      <c r="I504" s="23">
        <v>60</v>
      </c>
      <c r="J504" s="24">
        <f t="shared" si="44"/>
        <v>19</v>
      </c>
    </row>
    <row r="505" spans="2:10" x14ac:dyDescent="0.25">
      <c r="B505" s="2"/>
      <c r="C505" s="2"/>
      <c r="D505" s="23"/>
      <c r="E505" s="23"/>
      <c r="F505" s="23"/>
      <c r="G505" s="23"/>
      <c r="H505" s="23"/>
      <c r="I505" s="23"/>
      <c r="J505" s="23"/>
    </row>
    <row r="506" spans="2:10" x14ac:dyDescent="0.25">
      <c r="B506" s="36" t="s">
        <v>35</v>
      </c>
      <c r="C506" s="36"/>
      <c r="D506" s="36"/>
      <c r="E506" s="36"/>
      <c r="F506" s="36"/>
      <c r="G506" s="36"/>
      <c r="H506" s="36"/>
      <c r="I506" s="36"/>
      <c r="J506" s="36"/>
    </row>
    <row r="507" spans="2:10" x14ac:dyDescent="0.25">
      <c r="B507" s="2">
        <v>1</v>
      </c>
      <c r="C507" s="4" t="s">
        <v>4</v>
      </c>
      <c r="D507" s="23">
        <v>30</v>
      </c>
      <c r="E507" s="23">
        <v>21</v>
      </c>
      <c r="F507" s="23">
        <v>5</v>
      </c>
      <c r="G507" s="23">
        <f>D507-E507-F507</f>
        <v>4</v>
      </c>
      <c r="H507" s="23">
        <v>60</v>
      </c>
      <c r="I507" s="23">
        <v>28</v>
      </c>
      <c r="J507" s="24">
        <f>E507*3+F507*1</f>
        <v>68</v>
      </c>
    </row>
    <row r="508" spans="2:10" x14ac:dyDescent="0.25">
      <c r="B508" s="2">
        <v>2</v>
      </c>
      <c r="C508" s="4" t="s">
        <v>0</v>
      </c>
      <c r="D508" s="23">
        <v>30</v>
      </c>
      <c r="E508" s="23">
        <v>17</v>
      </c>
      <c r="F508" s="23">
        <v>9</v>
      </c>
      <c r="G508" s="23">
        <f t="shared" ref="G508:G522" si="45">D508-E508-F508</f>
        <v>4</v>
      </c>
      <c r="H508" s="23">
        <v>60</v>
      </c>
      <c r="I508" s="23">
        <v>29</v>
      </c>
      <c r="J508" s="24">
        <f t="shared" ref="J508:J522" si="46">E508*3+F508*1</f>
        <v>60</v>
      </c>
    </row>
    <row r="509" spans="2:10" x14ac:dyDescent="0.25">
      <c r="B509" s="2">
        <v>3</v>
      </c>
      <c r="C509" s="4" t="s">
        <v>18</v>
      </c>
      <c r="D509" s="23">
        <v>30</v>
      </c>
      <c r="E509" s="23">
        <v>17</v>
      </c>
      <c r="F509" s="23">
        <v>9</v>
      </c>
      <c r="G509" s="23">
        <f t="shared" si="45"/>
        <v>4</v>
      </c>
      <c r="H509" s="23">
        <v>62</v>
      </c>
      <c r="I509" s="23">
        <v>35</v>
      </c>
      <c r="J509" s="24">
        <f t="shared" si="46"/>
        <v>60</v>
      </c>
    </row>
    <row r="510" spans="2:10" x14ac:dyDescent="0.25">
      <c r="B510" s="2">
        <v>4</v>
      </c>
      <c r="C510" s="4" t="s">
        <v>23</v>
      </c>
      <c r="D510" s="23">
        <v>30</v>
      </c>
      <c r="E510" s="23">
        <v>15</v>
      </c>
      <c r="F510" s="23">
        <v>8</v>
      </c>
      <c r="G510" s="23">
        <f t="shared" si="45"/>
        <v>7</v>
      </c>
      <c r="H510" s="23">
        <v>51</v>
      </c>
      <c r="I510" s="23">
        <v>32</v>
      </c>
      <c r="J510" s="24">
        <f t="shared" si="46"/>
        <v>53</v>
      </c>
    </row>
    <row r="511" spans="2:10" x14ac:dyDescent="0.25">
      <c r="B511" s="2">
        <v>5</v>
      </c>
      <c r="C511" s="4" t="s">
        <v>33</v>
      </c>
      <c r="D511" s="23">
        <v>30</v>
      </c>
      <c r="E511" s="23">
        <v>17</v>
      </c>
      <c r="F511" s="23">
        <v>2</v>
      </c>
      <c r="G511" s="23">
        <f t="shared" si="45"/>
        <v>11</v>
      </c>
      <c r="H511" s="23">
        <v>41</v>
      </c>
      <c r="I511" s="23">
        <v>33</v>
      </c>
      <c r="J511" s="24">
        <f t="shared" si="46"/>
        <v>53</v>
      </c>
    </row>
    <row r="512" spans="2:10" x14ac:dyDescent="0.25">
      <c r="B512" s="2">
        <v>6</v>
      </c>
      <c r="C512" s="4" t="s">
        <v>32</v>
      </c>
      <c r="D512" s="23">
        <v>30</v>
      </c>
      <c r="E512" s="23">
        <v>16</v>
      </c>
      <c r="F512" s="23">
        <v>0</v>
      </c>
      <c r="G512" s="23">
        <f t="shared" si="45"/>
        <v>14</v>
      </c>
      <c r="H512" s="23">
        <v>47</v>
      </c>
      <c r="I512" s="23">
        <v>41</v>
      </c>
      <c r="J512" s="24">
        <f t="shared" si="46"/>
        <v>48</v>
      </c>
    </row>
    <row r="513" spans="2:10" x14ac:dyDescent="0.25">
      <c r="B513" s="2">
        <v>7</v>
      </c>
      <c r="C513" s="4" t="s">
        <v>3</v>
      </c>
      <c r="D513" s="23">
        <v>30</v>
      </c>
      <c r="E513" s="23">
        <v>12</v>
      </c>
      <c r="F513" s="23">
        <v>10</v>
      </c>
      <c r="G513" s="23">
        <f t="shared" si="45"/>
        <v>8</v>
      </c>
      <c r="H513" s="23">
        <v>48</v>
      </c>
      <c r="I513" s="23">
        <v>42</v>
      </c>
      <c r="J513" s="24">
        <f t="shared" si="46"/>
        <v>46</v>
      </c>
    </row>
    <row r="514" spans="2:10" x14ac:dyDescent="0.25">
      <c r="B514" s="2">
        <v>8</v>
      </c>
      <c r="C514" s="4" t="s">
        <v>1</v>
      </c>
      <c r="D514" s="23">
        <v>30</v>
      </c>
      <c r="E514" s="23">
        <v>10</v>
      </c>
      <c r="F514" s="23">
        <v>10</v>
      </c>
      <c r="G514" s="23">
        <f t="shared" si="45"/>
        <v>10</v>
      </c>
      <c r="H514" s="23">
        <v>46</v>
      </c>
      <c r="I514" s="23">
        <v>50</v>
      </c>
      <c r="J514" s="24">
        <f t="shared" si="46"/>
        <v>40</v>
      </c>
    </row>
    <row r="515" spans="2:10" x14ac:dyDescent="0.25">
      <c r="B515" s="2">
        <v>9</v>
      </c>
      <c r="C515" s="4" t="s">
        <v>24</v>
      </c>
      <c r="D515" s="23">
        <v>30</v>
      </c>
      <c r="E515" s="23">
        <v>11</v>
      </c>
      <c r="F515" s="23">
        <v>6</v>
      </c>
      <c r="G515" s="23">
        <f t="shared" si="45"/>
        <v>13</v>
      </c>
      <c r="H515" s="23">
        <v>37</v>
      </c>
      <c r="I515" s="23">
        <v>46</v>
      </c>
      <c r="J515" s="24">
        <f t="shared" si="46"/>
        <v>39</v>
      </c>
    </row>
    <row r="516" spans="2:10" x14ac:dyDescent="0.25">
      <c r="B516" s="2">
        <v>10</v>
      </c>
      <c r="C516" s="4" t="s">
        <v>27</v>
      </c>
      <c r="D516" s="23">
        <v>30</v>
      </c>
      <c r="E516" s="23">
        <v>10</v>
      </c>
      <c r="F516" s="23">
        <v>8</v>
      </c>
      <c r="G516" s="23">
        <f t="shared" si="45"/>
        <v>12</v>
      </c>
      <c r="H516" s="23">
        <v>37</v>
      </c>
      <c r="I516" s="23">
        <v>39</v>
      </c>
      <c r="J516" s="24">
        <f t="shared" si="46"/>
        <v>38</v>
      </c>
    </row>
    <row r="517" spans="2:10" x14ac:dyDescent="0.25">
      <c r="B517" s="2">
        <v>11</v>
      </c>
      <c r="C517" s="4" t="s">
        <v>30</v>
      </c>
      <c r="D517" s="23">
        <v>30</v>
      </c>
      <c r="E517" s="23">
        <v>10</v>
      </c>
      <c r="F517" s="23">
        <v>6</v>
      </c>
      <c r="G517" s="23">
        <f t="shared" si="45"/>
        <v>14</v>
      </c>
      <c r="H517" s="23">
        <v>25</v>
      </c>
      <c r="I517" s="23">
        <v>36</v>
      </c>
      <c r="J517" s="24">
        <f t="shared" si="46"/>
        <v>36</v>
      </c>
    </row>
    <row r="518" spans="2:10" x14ac:dyDescent="0.25">
      <c r="B518" s="2">
        <v>12</v>
      </c>
      <c r="C518" s="4" t="s">
        <v>36</v>
      </c>
      <c r="D518" s="23">
        <v>30</v>
      </c>
      <c r="E518" s="23">
        <v>10</v>
      </c>
      <c r="F518" s="23">
        <v>4</v>
      </c>
      <c r="G518" s="23">
        <f t="shared" si="45"/>
        <v>16</v>
      </c>
      <c r="H518" s="23">
        <v>43</v>
      </c>
      <c r="I518" s="23">
        <v>49</v>
      </c>
      <c r="J518" s="24">
        <f t="shared" si="46"/>
        <v>34</v>
      </c>
    </row>
    <row r="519" spans="2:10" x14ac:dyDescent="0.25">
      <c r="B519" s="2">
        <v>13</v>
      </c>
      <c r="C519" s="4" t="s">
        <v>6</v>
      </c>
      <c r="D519" s="23">
        <v>30</v>
      </c>
      <c r="E519" s="23">
        <v>9</v>
      </c>
      <c r="F519" s="23">
        <v>6</v>
      </c>
      <c r="G519" s="23">
        <f t="shared" si="45"/>
        <v>15</v>
      </c>
      <c r="H519" s="23">
        <v>39</v>
      </c>
      <c r="I519" s="23">
        <v>45</v>
      </c>
      <c r="J519" s="24">
        <f t="shared" si="46"/>
        <v>33</v>
      </c>
    </row>
    <row r="520" spans="2:10" x14ac:dyDescent="0.25">
      <c r="B520" s="2">
        <v>14</v>
      </c>
      <c r="C520" s="4" t="s">
        <v>28</v>
      </c>
      <c r="D520" s="23">
        <v>30</v>
      </c>
      <c r="E520" s="23">
        <v>9</v>
      </c>
      <c r="F520" s="23">
        <v>6</v>
      </c>
      <c r="G520" s="23">
        <f t="shared" si="45"/>
        <v>15</v>
      </c>
      <c r="H520" s="23">
        <v>28</v>
      </c>
      <c r="I520" s="23">
        <v>43</v>
      </c>
      <c r="J520" s="24">
        <f t="shared" si="46"/>
        <v>33</v>
      </c>
    </row>
    <row r="521" spans="2:10" x14ac:dyDescent="0.25">
      <c r="B521" s="2">
        <v>15</v>
      </c>
      <c r="C521" s="4" t="s">
        <v>25</v>
      </c>
      <c r="D521" s="23">
        <v>30</v>
      </c>
      <c r="E521" s="23">
        <v>3</v>
      </c>
      <c r="F521" s="23">
        <v>9</v>
      </c>
      <c r="G521" s="23">
        <f t="shared" si="45"/>
        <v>18</v>
      </c>
      <c r="H521" s="23">
        <v>32</v>
      </c>
      <c r="I521" s="23">
        <v>63</v>
      </c>
      <c r="J521" s="24">
        <f t="shared" si="46"/>
        <v>18</v>
      </c>
    </row>
    <row r="522" spans="2:10" x14ac:dyDescent="0.25">
      <c r="B522" s="2">
        <v>16</v>
      </c>
      <c r="C522" s="4" t="s">
        <v>2</v>
      </c>
      <c r="D522" s="23">
        <v>30</v>
      </c>
      <c r="E522" s="23">
        <v>1</v>
      </c>
      <c r="F522" s="23">
        <v>6</v>
      </c>
      <c r="G522" s="23">
        <f t="shared" si="45"/>
        <v>23</v>
      </c>
      <c r="H522" s="23">
        <v>23</v>
      </c>
      <c r="I522" s="23">
        <v>68</v>
      </c>
      <c r="J522" s="24">
        <f t="shared" si="46"/>
        <v>9</v>
      </c>
    </row>
    <row r="523" spans="2:10" x14ac:dyDescent="0.25">
      <c r="B523" s="2"/>
      <c r="C523" s="2"/>
      <c r="D523" s="23"/>
      <c r="E523" s="23"/>
      <c r="F523" s="23"/>
      <c r="G523" s="23"/>
      <c r="H523" s="23"/>
      <c r="I523" s="23"/>
      <c r="J523" s="23"/>
    </row>
    <row r="524" spans="2:10" x14ac:dyDescent="0.25">
      <c r="B524" s="36" t="s">
        <v>31</v>
      </c>
      <c r="C524" s="36"/>
      <c r="D524" s="36"/>
      <c r="E524" s="36"/>
      <c r="F524" s="36"/>
      <c r="G524" s="36"/>
      <c r="H524" s="36"/>
      <c r="I524" s="36"/>
      <c r="J524" s="36"/>
    </row>
    <row r="525" spans="2:10" x14ac:dyDescent="0.25">
      <c r="B525" s="2">
        <v>1</v>
      </c>
      <c r="C525" s="4" t="s">
        <v>4</v>
      </c>
      <c r="D525" s="23">
        <v>30</v>
      </c>
      <c r="E525" s="23">
        <v>20</v>
      </c>
      <c r="F525" s="23">
        <v>3</v>
      </c>
      <c r="G525" s="23">
        <f>D525-E525-F525</f>
        <v>7</v>
      </c>
      <c r="H525" s="23">
        <v>67</v>
      </c>
      <c r="I525" s="23">
        <v>29</v>
      </c>
      <c r="J525" s="24">
        <f>E525*3+F525*1</f>
        <v>63</v>
      </c>
    </row>
    <row r="526" spans="2:10" x14ac:dyDescent="0.25">
      <c r="B526" s="2">
        <v>2</v>
      </c>
      <c r="C526" s="4" t="s">
        <v>24</v>
      </c>
      <c r="D526" s="23">
        <v>30</v>
      </c>
      <c r="E526" s="23">
        <v>19</v>
      </c>
      <c r="F526" s="23">
        <v>4</v>
      </c>
      <c r="G526" s="23">
        <f t="shared" ref="G526:G540" si="47">D526-E526-F526</f>
        <v>7</v>
      </c>
      <c r="H526" s="23">
        <v>59</v>
      </c>
      <c r="I526" s="23">
        <v>32</v>
      </c>
      <c r="J526" s="24">
        <f t="shared" ref="J526:J540" si="48">E526*3+F526*1</f>
        <v>61</v>
      </c>
    </row>
    <row r="527" spans="2:10" x14ac:dyDescent="0.25">
      <c r="B527" s="2">
        <v>3</v>
      </c>
      <c r="C527" s="4" t="s">
        <v>32</v>
      </c>
      <c r="D527" s="23">
        <v>30</v>
      </c>
      <c r="E527" s="23">
        <v>17</v>
      </c>
      <c r="F527" s="23">
        <v>8</v>
      </c>
      <c r="G527" s="23">
        <f t="shared" si="47"/>
        <v>5</v>
      </c>
      <c r="H527" s="23">
        <v>60</v>
      </c>
      <c r="I527" s="23">
        <v>26</v>
      </c>
      <c r="J527" s="24">
        <f t="shared" si="48"/>
        <v>59</v>
      </c>
    </row>
    <row r="528" spans="2:10" x14ac:dyDescent="0.25">
      <c r="B528" s="2">
        <v>4</v>
      </c>
      <c r="C528" s="4" t="s">
        <v>23</v>
      </c>
      <c r="D528" s="23">
        <v>30</v>
      </c>
      <c r="E528" s="23">
        <v>16</v>
      </c>
      <c r="F528" s="23">
        <v>6</v>
      </c>
      <c r="G528" s="23">
        <f t="shared" si="47"/>
        <v>8</v>
      </c>
      <c r="H528" s="23">
        <v>61</v>
      </c>
      <c r="I528" s="23">
        <v>33</v>
      </c>
      <c r="J528" s="24">
        <f t="shared" si="48"/>
        <v>54</v>
      </c>
    </row>
    <row r="529" spans="2:10" x14ac:dyDescent="0.25">
      <c r="B529" s="2">
        <v>5</v>
      </c>
      <c r="C529" s="4" t="s">
        <v>0</v>
      </c>
      <c r="D529" s="23">
        <v>30</v>
      </c>
      <c r="E529" s="23">
        <v>16</v>
      </c>
      <c r="F529" s="23">
        <v>5</v>
      </c>
      <c r="G529" s="23">
        <f t="shared" si="47"/>
        <v>9</v>
      </c>
      <c r="H529" s="23">
        <v>67</v>
      </c>
      <c r="I529" s="23">
        <v>29</v>
      </c>
      <c r="J529" s="24">
        <f t="shared" si="48"/>
        <v>53</v>
      </c>
    </row>
    <row r="530" spans="2:10" x14ac:dyDescent="0.25">
      <c r="B530" s="2">
        <v>6</v>
      </c>
      <c r="C530" s="4" t="s">
        <v>3</v>
      </c>
      <c r="D530" s="23">
        <v>30</v>
      </c>
      <c r="E530" s="23">
        <v>15</v>
      </c>
      <c r="F530" s="23">
        <v>7</v>
      </c>
      <c r="G530" s="23">
        <f t="shared" si="47"/>
        <v>8</v>
      </c>
      <c r="H530" s="23">
        <v>52</v>
      </c>
      <c r="I530" s="23">
        <v>35</v>
      </c>
      <c r="J530" s="24">
        <f t="shared" si="48"/>
        <v>52</v>
      </c>
    </row>
    <row r="531" spans="2:10" x14ac:dyDescent="0.25">
      <c r="B531" s="2">
        <v>7</v>
      </c>
      <c r="C531" s="4" t="s">
        <v>33</v>
      </c>
      <c r="D531" s="23">
        <v>30</v>
      </c>
      <c r="E531" s="23">
        <v>14</v>
      </c>
      <c r="F531" s="23">
        <v>6</v>
      </c>
      <c r="G531" s="23">
        <f t="shared" si="47"/>
        <v>10</v>
      </c>
      <c r="H531" s="23">
        <v>63</v>
      </c>
      <c r="I531" s="23">
        <v>34</v>
      </c>
      <c r="J531" s="24">
        <f t="shared" si="48"/>
        <v>48</v>
      </c>
    </row>
    <row r="532" spans="2:10" x14ac:dyDescent="0.25">
      <c r="B532" s="2">
        <v>8</v>
      </c>
      <c r="C532" s="4" t="s">
        <v>18</v>
      </c>
      <c r="D532" s="23">
        <v>30</v>
      </c>
      <c r="E532" s="23">
        <v>13</v>
      </c>
      <c r="F532" s="23">
        <v>5</v>
      </c>
      <c r="G532" s="23">
        <f t="shared" si="47"/>
        <v>12</v>
      </c>
      <c r="H532" s="23">
        <v>52</v>
      </c>
      <c r="I532" s="23">
        <v>31</v>
      </c>
      <c r="J532" s="24">
        <f t="shared" si="48"/>
        <v>44</v>
      </c>
    </row>
    <row r="533" spans="2:10" x14ac:dyDescent="0.25">
      <c r="B533" s="2">
        <v>9</v>
      </c>
      <c r="C533" s="4" t="s">
        <v>27</v>
      </c>
      <c r="D533" s="23">
        <v>30</v>
      </c>
      <c r="E533" s="23">
        <v>13</v>
      </c>
      <c r="F533" s="23">
        <v>4</v>
      </c>
      <c r="G533" s="23">
        <f t="shared" si="47"/>
        <v>13</v>
      </c>
      <c r="H533" s="23">
        <v>44</v>
      </c>
      <c r="I533" s="23">
        <v>48</v>
      </c>
      <c r="J533" s="24">
        <f t="shared" si="48"/>
        <v>43</v>
      </c>
    </row>
    <row r="534" spans="2:10" x14ac:dyDescent="0.25">
      <c r="B534" s="2">
        <v>10</v>
      </c>
      <c r="C534" s="4" t="s">
        <v>6</v>
      </c>
      <c r="D534" s="23">
        <v>30</v>
      </c>
      <c r="E534" s="23">
        <v>11</v>
      </c>
      <c r="F534" s="23">
        <v>8</v>
      </c>
      <c r="G534" s="23">
        <f t="shared" si="47"/>
        <v>11</v>
      </c>
      <c r="H534" s="23">
        <v>52</v>
      </c>
      <c r="I534" s="23">
        <v>40</v>
      </c>
      <c r="J534" s="24">
        <f t="shared" si="48"/>
        <v>41</v>
      </c>
    </row>
    <row r="535" spans="2:10" x14ac:dyDescent="0.25">
      <c r="B535" s="2">
        <v>11</v>
      </c>
      <c r="C535" s="4" t="s">
        <v>28</v>
      </c>
      <c r="D535" s="23">
        <v>30</v>
      </c>
      <c r="E535" s="23">
        <v>11</v>
      </c>
      <c r="F535" s="23">
        <v>7</v>
      </c>
      <c r="G535" s="23">
        <f t="shared" si="47"/>
        <v>12</v>
      </c>
      <c r="H535" s="23">
        <v>43</v>
      </c>
      <c r="I535" s="23">
        <v>42</v>
      </c>
      <c r="J535" s="24">
        <f t="shared" si="48"/>
        <v>40</v>
      </c>
    </row>
    <row r="536" spans="2:10" x14ac:dyDescent="0.25">
      <c r="B536" s="2">
        <v>12</v>
      </c>
      <c r="C536" s="4" t="s">
        <v>1</v>
      </c>
      <c r="D536" s="23">
        <v>30</v>
      </c>
      <c r="E536" s="23">
        <v>10</v>
      </c>
      <c r="F536" s="23">
        <v>6</v>
      </c>
      <c r="G536" s="23">
        <f t="shared" si="47"/>
        <v>14</v>
      </c>
      <c r="H536" s="23">
        <v>47</v>
      </c>
      <c r="I536" s="23">
        <v>50</v>
      </c>
      <c r="J536" s="24">
        <f t="shared" si="48"/>
        <v>36</v>
      </c>
    </row>
    <row r="537" spans="2:10" x14ac:dyDescent="0.25">
      <c r="B537" s="2">
        <v>13</v>
      </c>
      <c r="C537" s="4" t="s">
        <v>25</v>
      </c>
      <c r="D537" s="23">
        <v>30</v>
      </c>
      <c r="E537" s="23">
        <v>9</v>
      </c>
      <c r="F537" s="23">
        <v>3</v>
      </c>
      <c r="G537" s="23">
        <f t="shared" si="47"/>
        <v>18</v>
      </c>
      <c r="H537" s="23">
        <v>44</v>
      </c>
      <c r="I537" s="23">
        <v>58</v>
      </c>
      <c r="J537" s="24">
        <f t="shared" si="48"/>
        <v>30</v>
      </c>
    </row>
    <row r="538" spans="2:10" x14ac:dyDescent="0.25">
      <c r="B538" s="2">
        <v>14</v>
      </c>
      <c r="C538" s="4" t="s">
        <v>2</v>
      </c>
      <c r="D538" s="23">
        <v>30</v>
      </c>
      <c r="E538" s="23">
        <v>8</v>
      </c>
      <c r="F538" s="23">
        <v>5</v>
      </c>
      <c r="G538" s="23">
        <f t="shared" si="47"/>
        <v>17</v>
      </c>
      <c r="H538" s="23">
        <v>49</v>
      </c>
      <c r="I538" s="23">
        <v>60</v>
      </c>
      <c r="J538" s="24">
        <f t="shared" si="48"/>
        <v>29</v>
      </c>
    </row>
    <row r="539" spans="2:10" x14ac:dyDescent="0.25">
      <c r="B539" s="2">
        <v>15</v>
      </c>
      <c r="C539" s="4" t="s">
        <v>9</v>
      </c>
      <c r="D539" s="23">
        <v>30</v>
      </c>
      <c r="E539" s="23">
        <v>8</v>
      </c>
      <c r="F539" s="23">
        <v>3</v>
      </c>
      <c r="G539" s="23">
        <f t="shared" si="47"/>
        <v>19</v>
      </c>
      <c r="H539" s="23">
        <v>37</v>
      </c>
      <c r="I539" s="23">
        <v>58</v>
      </c>
      <c r="J539" s="24">
        <f t="shared" si="48"/>
        <v>27</v>
      </c>
    </row>
    <row r="540" spans="2:10" x14ac:dyDescent="0.25">
      <c r="B540" s="2">
        <v>16</v>
      </c>
      <c r="C540" s="4" t="s">
        <v>34</v>
      </c>
      <c r="D540" s="23">
        <v>30</v>
      </c>
      <c r="E540" s="23">
        <v>0</v>
      </c>
      <c r="F540" s="23">
        <v>0</v>
      </c>
      <c r="G540" s="23">
        <f t="shared" si="47"/>
        <v>30</v>
      </c>
      <c r="H540" s="23">
        <v>4</v>
      </c>
      <c r="I540" s="23">
        <v>196</v>
      </c>
      <c r="J540" s="24">
        <f t="shared" si="48"/>
        <v>0</v>
      </c>
    </row>
    <row r="541" spans="2:10" x14ac:dyDescent="0.25">
      <c r="B541" s="2"/>
      <c r="C541" s="2"/>
      <c r="D541" s="23"/>
      <c r="E541" s="23"/>
      <c r="F541" s="23"/>
      <c r="G541" s="23"/>
      <c r="H541" s="23"/>
      <c r="I541" s="23"/>
      <c r="J541" s="23"/>
    </row>
    <row r="542" spans="2:10" x14ac:dyDescent="0.25">
      <c r="B542" s="36" t="s">
        <v>29</v>
      </c>
      <c r="C542" s="36"/>
      <c r="D542" s="36"/>
      <c r="E542" s="36"/>
      <c r="F542" s="36"/>
      <c r="G542" s="36"/>
      <c r="H542" s="36"/>
      <c r="I542" s="36"/>
      <c r="J542" s="36"/>
    </row>
    <row r="543" spans="2:10" x14ac:dyDescent="0.25">
      <c r="B543" s="2">
        <v>1</v>
      </c>
      <c r="C543" s="4" t="s">
        <v>4</v>
      </c>
      <c r="D543" s="23">
        <v>30</v>
      </c>
      <c r="E543" s="23">
        <v>19</v>
      </c>
      <c r="F543" s="23">
        <v>8</v>
      </c>
      <c r="G543" s="23">
        <f>D543-E543-F543</f>
        <v>3</v>
      </c>
      <c r="H543" s="23">
        <v>48</v>
      </c>
      <c r="I543" s="23">
        <v>24</v>
      </c>
      <c r="J543" s="24">
        <f>E543*3+F543*1</f>
        <v>65</v>
      </c>
    </row>
    <row r="544" spans="2:10" x14ac:dyDescent="0.25">
      <c r="B544" s="2">
        <v>2</v>
      </c>
      <c r="C544" s="4" t="s">
        <v>0</v>
      </c>
      <c r="D544" s="23">
        <v>30</v>
      </c>
      <c r="E544" s="23">
        <v>16</v>
      </c>
      <c r="F544" s="23">
        <v>10</v>
      </c>
      <c r="G544" s="23">
        <f t="shared" ref="G544:G558" si="49">D544-E544-F544</f>
        <v>4</v>
      </c>
      <c r="H544" s="23">
        <v>47</v>
      </c>
      <c r="I544" s="23">
        <v>24</v>
      </c>
      <c r="J544" s="24">
        <f t="shared" ref="J544:J558" si="50">E544*3+F544*1</f>
        <v>58</v>
      </c>
    </row>
    <row r="545" spans="2:10" x14ac:dyDescent="0.25">
      <c r="B545" s="2">
        <v>3</v>
      </c>
      <c r="C545" s="4" t="s">
        <v>23</v>
      </c>
      <c r="D545" s="23">
        <v>30</v>
      </c>
      <c r="E545" s="23">
        <v>16</v>
      </c>
      <c r="F545" s="23">
        <v>7</v>
      </c>
      <c r="G545" s="23">
        <f t="shared" si="49"/>
        <v>7</v>
      </c>
      <c r="H545" s="23">
        <v>50</v>
      </c>
      <c r="I545" s="23">
        <v>33</v>
      </c>
      <c r="J545" s="24">
        <f t="shared" si="50"/>
        <v>55</v>
      </c>
    </row>
    <row r="546" spans="2:10" x14ac:dyDescent="0.25">
      <c r="B546" s="2">
        <v>4</v>
      </c>
      <c r="C546" s="4" t="s">
        <v>7</v>
      </c>
      <c r="D546" s="23">
        <v>30</v>
      </c>
      <c r="E546" s="23">
        <v>13</v>
      </c>
      <c r="F546" s="23">
        <v>8</v>
      </c>
      <c r="G546" s="23">
        <f t="shared" si="49"/>
        <v>9</v>
      </c>
      <c r="H546" s="23">
        <v>42</v>
      </c>
      <c r="I546" s="23">
        <v>34</v>
      </c>
      <c r="J546" s="24">
        <f t="shared" si="50"/>
        <v>47</v>
      </c>
    </row>
    <row r="547" spans="2:10" x14ac:dyDescent="0.25">
      <c r="B547" s="2">
        <v>5</v>
      </c>
      <c r="C547" s="4" t="s">
        <v>18</v>
      </c>
      <c r="D547" s="23">
        <v>30</v>
      </c>
      <c r="E547" s="23">
        <v>12</v>
      </c>
      <c r="F547" s="23">
        <v>9</v>
      </c>
      <c r="G547" s="23">
        <f t="shared" si="49"/>
        <v>9</v>
      </c>
      <c r="H547" s="23">
        <v>33</v>
      </c>
      <c r="I547" s="23">
        <v>36</v>
      </c>
      <c r="J547" s="24">
        <f t="shared" si="50"/>
        <v>45</v>
      </c>
    </row>
    <row r="548" spans="2:10" x14ac:dyDescent="0.25">
      <c r="B548" s="2">
        <v>6</v>
      </c>
      <c r="C548" s="4" t="s">
        <v>24</v>
      </c>
      <c r="D548" s="23">
        <v>30</v>
      </c>
      <c r="E548" s="23">
        <v>12</v>
      </c>
      <c r="F548" s="23">
        <v>7</v>
      </c>
      <c r="G548" s="23">
        <f t="shared" si="49"/>
        <v>11</v>
      </c>
      <c r="H548" s="23">
        <v>40</v>
      </c>
      <c r="I548" s="23">
        <v>40</v>
      </c>
      <c r="J548" s="24">
        <f t="shared" si="50"/>
        <v>43</v>
      </c>
    </row>
    <row r="549" spans="2:10" x14ac:dyDescent="0.25">
      <c r="B549" s="2">
        <v>7</v>
      </c>
      <c r="C549" s="4" t="s">
        <v>25</v>
      </c>
      <c r="D549" s="23">
        <v>30</v>
      </c>
      <c r="E549" s="23">
        <v>10</v>
      </c>
      <c r="F549" s="23">
        <v>11</v>
      </c>
      <c r="G549" s="23">
        <f t="shared" si="49"/>
        <v>9</v>
      </c>
      <c r="H549" s="23">
        <v>40</v>
      </c>
      <c r="I549" s="23">
        <v>41</v>
      </c>
      <c r="J549" s="24">
        <f t="shared" si="50"/>
        <v>41</v>
      </c>
    </row>
    <row r="550" spans="2:10" x14ac:dyDescent="0.25">
      <c r="B550" s="2">
        <v>8</v>
      </c>
      <c r="C550" s="4" t="s">
        <v>27</v>
      </c>
      <c r="D550" s="23">
        <v>30</v>
      </c>
      <c r="E550" s="23">
        <v>10</v>
      </c>
      <c r="F550" s="23">
        <v>11</v>
      </c>
      <c r="G550" s="23">
        <f t="shared" si="49"/>
        <v>9</v>
      </c>
      <c r="H550" s="23">
        <v>41</v>
      </c>
      <c r="I550" s="23">
        <v>50</v>
      </c>
      <c r="J550" s="24">
        <f t="shared" si="50"/>
        <v>41</v>
      </c>
    </row>
    <row r="551" spans="2:10" x14ac:dyDescent="0.25">
      <c r="B551" s="2">
        <v>9</v>
      </c>
      <c r="C551" s="4" t="s">
        <v>3</v>
      </c>
      <c r="D551" s="23">
        <v>30</v>
      </c>
      <c r="E551" s="23">
        <v>10</v>
      </c>
      <c r="F551" s="23">
        <v>10</v>
      </c>
      <c r="G551" s="23">
        <f t="shared" si="49"/>
        <v>10</v>
      </c>
      <c r="H551" s="23">
        <v>44</v>
      </c>
      <c r="I551" s="23">
        <v>42</v>
      </c>
      <c r="J551" s="24">
        <f t="shared" si="50"/>
        <v>40</v>
      </c>
    </row>
    <row r="552" spans="2:10" x14ac:dyDescent="0.25">
      <c r="B552" s="2">
        <v>10</v>
      </c>
      <c r="C552" s="4" t="s">
        <v>28</v>
      </c>
      <c r="D552" s="23">
        <v>30</v>
      </c>
      <c r="E552" s="23">
        <v>11</v>
      </c>
      <c r="F552" s="23">
        <v>4</v>
      </c>
      <c r="G552" s="23">
        <f t="shared" si="49"/>
        <v>15</v>
      </c>
      <c r="H552" s="23">
        <v>41</v>
      </c>
      <c r="I552" s="23">
        <v>41</v>
      </c>
      <c r="J552" s="24">
        <f t="shared" si="50"/>
        <v>37</v>
      </c>
    </row>
    <row r="553" spans="2:10" x14ac:dyDescent="0.25">
      <c r="B553" s="2">
        <v>11</v>
      </c>
      <c r="C553" s="4" t="s">
        <v>6</v>
      </c>
      <c r="D553" s="23">
        <v>30</v>
      </c>
      <c r="E553" s="23">
        <v>8</v>
      </c>
      <c r="F553" s="23">
        <v>10</v>
      </c>
      <c r="G553" s="23">
        <f t="shared" si="49"/>
        <v>12</v>
      </c>
      <c r="H553" s="23">
        <v>36</v>
      </c>
      <c r="I553" s="23">
        <v>44</v>
      </c>
      <c r="J553" s="24">
        <f t="shared" si="50"/>
        <v>34</v>
      </c>
    </row>
    <row r="554" spans="2:10" x14ac:dyDescent="0.25">
      <c r="B554" s="2">
        <v>12</v>
      </c>
      <c r="C554" s="4" t="s">
        <v>1</v>
      </c>
      <c r="D554" s="23">
        <v>30</v>
      </c>
      <c r="E554" s="23">
        <v>9</v>
      </c>
      <c r="F554" s="23">
        <v>7</v>
      </c>
      <c r="G554" s="23">
        <f t="shared" si="49"/>
        <v>14</v>
      </c>
      <c r="H554" s="23">
        <v>34</v>
      </c>
      <c r="I554" s="23">
        <v>46</v>
      </c>
      <c r="J554" s="24">
        <f t="shared" si="50"/>
        <v>34</v>
      </c>
    </row>
    <row r="555" spans="2:10" x14ac:dyDescent="0.25">
      <c r="B555" s="2">
        <v>13</v>
      </c>
      <c r="C555" s="4" t="s">
        <v>2</v>
      </c>
      <c r="D555" s="23">
        <v>30</v>
      </c>
      <c r="E555" s="23">
        <v>7</v>
      </c>
      <c r="F555" s="23">
        <v>11</v>
      </c>
      <c r="G555" s="23">
        <f t="shared" si="49"/>
        <v>12</v>
      </c>
      <c r="H555" s="23">
        <v>38</v>
      </c>
      <c r="I555" s="23">
        <v>36</v>
      </c>
      <c r="J555" s="24">
        <f t="shared" si="50"/>
        <v>32</v>
      </c>
    </row>
    <row r="556" spans="2:10" x14ac:dyDescent="0.25">
      <c r="B556" s="2">
        <v>14</v>
      </c>
      <c r="C556" s="4" t="s">
        <v>9</v>
      </c>
      <c r="D556" s="23">
        <v>30</v>
      </c>
      <c r="E556" s="23">
        <v>6</v>
      </c>
      <c r="F556" s="23">
        <v>10</v>
      </c>
      <c r="G556" s="23">
        <f t="shared" si="49"/>
        <v>14</v>
      </c>
      <c r="H556" s="23">
        <v>30</v>
      </c>
      <c r="I556" s="23">
        <v>38</v>
      </c>
      <c r="J556" s="24">
        <f t="shared" si="50"/>
        <v>28</v>
      </c>
    </row>
    <row r="557" spans="2:10" x14ac:dyDescent="0.25">
      <c r="B557" s="2">
        <v>15</v>
      </c>
      <c r="C557" s="4" t="s">
        <v>30</v>
      </c>
      <c r="D557" s="23">
        <v>30</v>
      </c>
      <c r="E557" s="23">
        <v>6</v>
      </c>
      <c r="F557" s="23">
        <v>8</v>
      </c>
      <c r="G557" s="23">
        <f t="shared" si="49"/>
        <v>16</v>
      </c>
      <c r="H557" s="23">
        <v>38</v>
      </c>
      <c r="I557" s="23">
        <v>47</v>
      </c>
      <c r="J557" s="24">
        <f t="shared" si="50"/>
        <v>26</v>
      </c>
    </row>
    <row r="558" spans="2:10" x14ac:dyDescent="0.25">
      <c r="B558" s="2">
        <v>16</v>
      </c>
      <c r="C558" s="4" t="s">
        <v>17</v>
      </c>
      <c r="D558" s="23">
        <v>30</v>
      </c>
      <c r="E558" s="23">
        <v>5</v>
      </c>
      <c r="F558" s="23">
        <v>9</v>
      </c>
      <c r="G558" s="23">
        <f t="shared" si="49"/>
        <v>16</v>
      </c>
      <c r="H558" s="23">
        <v>28</v>
      </c>
      <c r="I558" s="23">
        <v>54</v>
      </c>
      <c r="J558" s="24">
        <f t="shared" si="50"/>
        <v>24</v>
      </c>
    </row>
    <row r="559" spans="2:10" x14ac:dyDescent="0.25">
      <c r="B559" s="2"/>
      <c r="C559" s="2"/>
      <c r="D559" s="23"/>
      <c r="E559" s="23"/>
      <c r="F559" s="23"/>
      <c r="G559" s="23"/>
      <c r="H559" s="23"/>
      <c r="I559" s="23"/>
      <c r="J559" s="23"/>
    </row>
    <row r="560" spans="2:10" x14ac:dyDescent="0.25">
      <c r="B560" s="36" t="s">
        <v>26</v>
      </c>
      <c r="C560" s="36"/>
      <c r="D560" s="36"/>
      <c r="E560" s="36"/>
      <c r="F560" s="36"/>
      <c r="G560" s="36"/>
      <c r="H560" s="36"/>
      <c r="I560" s="36"/>
      <c r="J560" s="36"/>
    </row>
    <row r="561" spans="2:10" x14ac:dyDescent="0.25">
      <c r="B561" s="2">
        <v>1</v>
      </c>
      <c r="C561" s="4" t="s">
        <v>3</v>
      </c>
      <c r="D561" s="23">
        <v>30</v>
      </c>
      <c r="E561" s="23">
        <v>19</v>
      </c>
      <c r="F561" s="23">
        <v>4</v>
      </c>
      <c r="G561" s="23">
        <f>D561-E561-F561</f>
        <v>7</v>
      </c>
      <c r="H561" s="23">
        <v>54</v>
      </c>
      <c r="I561" s="23">
        <v>28</v>
      </c>
      <c r="J561" s="24">
        <f>E561*3+F561*1</f>
        <v>61</v>
      </c>
    </row>
    <row r="562" spans="2:10" x14ac:dyDescent="0.25">
      <c r="B562" s="2">
        <v>2</v>
      </c>
      <c r="C562" s="4" t="s">
        <v>24</v>
      </c>
      <c r="D562" s="23">
        <v>30</v>
      </c>
      <c r="E562" s="23">
        <v>15</v>
      </c>
      <c r="F562" s="23">
        <v>10</v>
      </c>
      <c r="G562" s="23">
        <f t="shared" ref="G562:G576" si="51">D562-E562-F562</f>
        <v>5</v>
      </c>
      <c r="H562" s="23">
        <v>39</v>
      </c>
      <c r="I562" s="23">
        <v>26</v>
      </c>
      <c r="J562" s="24">
        <f t="shared" ref="J562:J576" si="52">E562*3+F562*1</f>
        <v>55</v>
      </c>
    </row>
    <row r="563" spans="2:10" x14ac:dyDescent="0.25">
      <c r="B563" s="2">
        <v>3</v>
      </c>
      <c r="C563" s="4" t="s">
        <v>23</v>
      </c>
      <c r="D563" s="23">
        <v>30</v>
      </c>
      <c r="E563" s="23">
        <v>16</v>
      </c>
      <c r="F563" s="23">
        <v>7</v>
      </c>
      <c r="G563" s="23">
        <f t="shared" si="51"/>
        <v>7</v>
      </c>
      <c r="H563" s="23">
        <v>37</v>
      </c>
      <c r="I563" s="23">
        <v>27</v>
      </c>
      <c r="J563" s="24">
        <f t="shared" si="52"/>
        <v>55</v>
      </c>
    </row>
    <row r="564" spans="2:10" x14ac:dyDescent="0.25">
      <c r="B564" s="2">
        <v>4</v>
      </c>
      <c r="C564" s="4" t="s">
        <v>27</v>
      </c>
      <c r="D564" s="23">
        <v>30</v>
      </c>
      <c r="E564" s="23">
        <v>16</v>
      </c>
      <c r="F564" s="23">
        <v>6</v>
      </c>
      <c r="G564" s="23">
        <f t="shared" si="51"/>
        <v>8</v>
      </c>
      <c r="H564" s="23">
        <v>56</v>
      </c>
      <c r="I564" s="23">
        <v>36</v>
      </c>
      <c r="J564" s="24">
        <f t="shared" si="52"/>
        <v>54</v>
      </c>
    </row>
    <row r="565" spans="2:10" x14ac:dyDescent="0.25">
      <c r="B565" s="2">
        <v>5</v>
      </c>
      <c r="C565" s="4" t="s">
        <v>4</v>
      </c>
      <c r="D565" s="23">
        <v>30</v>
      </c>
      <c r="E565" s="23">
        <v>14</v>
      </c>
      <c r="F565" s="23">
        <v>11</v>
      </c>
      <c r="G565" s="23">
        <f t="shared" si="51"/>
        <v>5</v>
      </c>
      <c r="H565" s="23">
        <v>50</v>
      </c>
      <c r="I565" s="23">
        <v>34</v>
      </c>
      <c r="J565" s="24">
        <f t="shared" si="52"/>
        <v>53</v>
      </c>
    </row>
    <row r="566" spans="2:10" x14ac:dyDescent="0.25">
      <c r="B566" s="2">
        <v>6</v>
      </c>
      <c r="C566" s="4" t="s">
        <v>6</v>
      </c>
      <c r="D566" s="23">
        <v>30</v>
      </c>
      <c r="E566" s="23">
        <v>14</v>
      </c>
      <c r="F566" s="23">
        <v>8</v>
      </c>
      <c r="G566" s="23">
        <f t="shared" si="51"/>
        <v>8</v>
      </c>
      <c r="H566" s="23">
        <v>44</v>
      </c>
      <c r="I566" s="23">
        <v>35</v>
      </c>
      <c r="J566" s="24">
        <f t="shared" si="52"/>
        <v>50</v>
      </c>
    </row>
    <row r="567" spans="2:10" x14ac:dyDescent="0.25">
      <c r="B567" s="2">
        <v>7</v>
      </c>
      <c r="C567" s="4" t="s">
        <v>25</v>
      </c>
      <c r="D567" s="23">
        <v>30</v>
      </c>
      <c r="E567" s="23">
        <v>13</v>
      </c>
      <c r="F567" s="23">
        <v>8</v>
      </c>
      <c r="G567" s="23">
        <f t="shared" si="51"/>
        <v>9</v>
      </c>
      <c r="H567" s="23">
        <v>42</v>
      </c>
      <c r="I567" s="23">
        <v>37</v>
      </c>
      <c r="J567" s="24">
        <f t="shared" si="52"/>
        <v>47</v>
      </c>
    </row>
    <row r="568" spans="2:10" x14ac:dyDescent="0.25">
      <c r="B568" s="2">
        <v>8</v>
      </c>
      <c r="C568" s="4" t="s">
        <v>28</v>
      </c>
      <c r="D568" s="23">
        <v>30</v>
      </c>
      <c r="E568" s="23">
        <v>14</v>
      </c>
      <c r="F568" s="23">
        <v>4</v>
      </c>
      <c r="G568" s="23">
        <f t="shared" si="51"/>
        <v>12</v>
      </c>
      <c r="H568" s="23">
        <v>45</v>
      </c>
      <c r="I568" s="23">
        <v>41</v>
      </c>
      <c r="J568" s="24">
        <f t="shared" si="52"/>
        <v>46</v>
      </c>
    </row>
    <row r="569" spans="2:10" x14ac:dyDescent="0.25">
      <c r="B569" s="2">
        <v>9</v>
      </c>
      <c r="C569" s="4" t="s">
        <v>0</v>
      </c>
      <c r="D569" s="23">
        <v>30</v>
      </c>
      <c r="E569" s="23">
        <v>13</v>
      </c>
      <c r="F569" s="23">
        <v>6</v>
      </c>
      <c r="G569" s="23">
        <f t="shared" si="51"/>
        <v>11</v>
      </c>
      <c r="H569" s="23">
        <v>49</v>
      </c>
      <c r="I569" s="23">
        <v>38</v>
      </c>
      <c r="J569" s="24">
        <f t="shared" si="52"/>
        <v>45</v>
      </c>
    </row>
    <row r="570" spans="2:10" x14ac:dyDescent="0.25">
      <c r="B570" s="2">
        <v>10</v>
      </c>
      <c r="C570" s="4" t="s">
        <v>1</v>
      </c>
      <c r="D570" s="23">
        <v>30</v>
      </c>
      <c r="E570" s="23">
        <v>10</v>
      </c>
      <c r="F570" s="23">
        <v>11</v>
      </c>
      <c r="G570" s="23">
        <f t="shared" si="51"/>
        <v>9</v>
      </c>
      <c r="H570" s="23">
        <v>37</v>
      </c>
      <c r="I570" s="23">
        <v>30</v>
      </c>
      <c r="J570" s="24">
        <f t="shared" si="52"/>
        <v>41</v>
      </c>
    </row>
    <row r="571" spans="2:10" x14ac:dyDescent="0.25">
      <c r="B571" s="2">
        <v>11</v>
      </c>
      <c r="C571" s="4" t="s">
        <v>18</v>
      </c>
      <c r="D571" s="23">
        <v>30</v>
      </c>
      <c r="E571" s="23">
        <v>11</v>
      </c>
      <c r="F571" s="23">
        <v>5</v>
      </c>
      <c r="G571" s="23">
        <f t="shared" si="51"/>
        <v>14</v>
      </c>
      <c r="H571" s="23">
        <v>33</v>
      </c>
      <c r="I571" s="23">
        <v>35</v>
      </c>
      <c r="J571" s="24">
        <f t="shared" si="52"/>
        <v>38</v>
      </c>
    </row>
    <row r="572" spans="2:10" x14ac:dyDescent="0.25">
      <c r="B572" s="2">
        <v>12</v>
      </c>
      <c r="C572" s="4" t="s">
        <v>7</v>
      </c>
      <c r="D572" s="23">
        <v>30</v>
      </c>
      <c r="E572" s="23">
        <v>8</v>
      </c>
      <c r="F572" s="23">
        <v>8</v>
      </c>
      <c r="G572" s="23">
        <f t="shared" si="51"/>
        <v>14</v>
      </c>
      <c r="H572" s="23">
        <v>30</v>
      </c>
      <c r="I572" s="23">
        <v>39</v>
      </c>
      <c r="J572" s="24">
        <f t="shared" si="52"/>
        <v>32</v>
      </c>
    </row>
    <row r="573" spans="2:10" x14ac:dyDescent="0.25">
      <c r="B573" s="2">
        <v>13</v>
      </c>
      <c r="C573" s="4" t="s">
        <v>9</v>
      </c>
      <c r="D573" s="23">
        <v>30</v>
      </c>
      <c r="E573" s="23">
        <v>5</v>
      </c>
      <c r="F573" s="23">
        <v>9</v>
      </c>
      <c r="G573" s="23">
        <f t="shared" si="51"/>
        <v>16</v>
      </c>
      <c r="H573" s="23">
        <v>23</v>
      </c>
      <c r="I573" s="23">
        <v>47</v>
      </c>
      <c r="J573" s="24">
        <f t="shared" si="52"/>
        <v>24</v>
      </c>
    </row>
    <row r="574" spans="2:10" x14ac:dyDescent="0.25">
      <c r="B574" s="2">
        <v>14</v>
      </c>
      <c r="C574" s="4" t="s">
        <v>17</v>
      </c>
      <c r="D574" s="23">
        <v>30</v>
      </c>
      <c r="E574" s="23">
        <v>5</v>
      </c>
      <c r="F574" s="23">
        <v>7</v>
      </c>
      <c r="G574" s="23">
        <f t="shared" si="51"/>
        <v>18</v>
      </c>
      <c r="H574" s="23">
        <v>19</v>
      </c>
      <c r="I574" s="23">
        <v>48</v>
      </c>
      <c r="J574" s="24">
        <f t="shared" si="52"/>
        <v>22</v>
      </c>
    </row>
    <row r="575" spans="2:10" x14ac:dyDescent="0.25">
      <c r="B575" s="2">
        <v>15</v>
      </c>
      <c r="C575" s="4" t="s">
        <v>5</v>
      </c>
      <c r="D575" s="23">
        <v>30</v>
      </c>
      <c r="E575" s="23">
        <v>5</v>
      </c>
      <c r="F575" s="23">
        <v>5</v>
      </c>
      <c r="G575" s="23">
        <f t="shared" si="51"/>
        <v>20</v>
      </c>
      <c r="H575" s="23">
        <v>22</v>
      </c>
      <c r="I575" s="23">
        <v>55</v>
      </c>
      <c r="J575" s="24">
        <f t="shared" si="52"/>
        <v>20</v>
      </c>
    </row>
    <row r="576" spans="2:10" x14ac:dyDescent="0.25">
      <c r="B576" s="2">
        <v>16</v>
      </c>
      <c r="C576" s="4" t="s">
        <v>13</v>
      </c>
      <c r="D576" s="23">
        <v>30</v>
      </c>
      <c r="E576" s="23">
        <v>4</v>
      </c>
      <c r="F576" s="23">
        <v>7</v>
      </c>
      <c r="G576" s="23">
        <f t="shared" si="51"/>
        <v>19</v>
      </c>
      <c r="H576" s="23">
        <v>21</v>
      </c>
      <c r="I576" s="23">
        <v>45</v>
      </c>
      <c r="J576" s="24">
        <f t="shared" si="52"/>
        <v>19</v>
      </c>
    </row>
    <row r="577" spans="2:10" x14ac:dyDescent="0.25">
      <c r="B577" s="2"/>
      <c r="C577" s="2"/>
      <c r="D577" s="23"/>
      <c r="E577" s="23"/>
      <c r="F577" s="23"/>
      <c r="G577" s="23"/>
      <c r="H577" s="23"/>
      <c r="I577" s="23"/>
      <c r="J577" s="23"/>
    </row>
    <row r="578" spans="2:10" x14ac:dyDescent="0.25">
      <c r="B578" s="36" t="s">
        <v>22</v>
      </c>
      <c r="C578" s="36"/>
      <c r="D578" s="36"/>
      <c r="E578" s="36"/>
      <c r="F578" s="36"/>
      <c r="G578" s="36"/>
      <c r="H578" s="36"/>
      <c r="I578" s="36"/>
      <c r="J578" s="36"/>
    </row>
    <row r="579" spans="2:10" x14ac:dyDescent="0.25">
      <c r="B579" s="2">
        <v>1</v>
      </c>
      <c r="C579" s="4" t="s">
        <v>1</v>
      </c>
      <c r="D579" s="23">
        <f>E579+F579+G579</f>
        <v>30</v>
      </c>
      <c r="E579" s="23">
        <v>19</v>
      </c>
      <c r="F579" s="23">
        <v>8</v>
      </c>
      <c r="G579" s="23">
        <v>3</v>
      </c>
      <c r="H579" s="23">
        <v>51</v>
      </c>
      <c r="I579" s="23">
        <v>22</v>
      </c>
      <c r="J579" s="24">
        <f>E579*3+F579*1</f>
        <v>65</v>
      </c>
    </row>
    <row r="580" spans="2:10" x14ac:dyDescent="0.25">
      <c r="B580" s="2">
        <v>2</v>
      </c>
      <c r="C580" s="4" t="s">
        <v>0</v>
      </c>
      <c r="D580" s="23">
        <f t="shared" ref="D580:D594" si="53">E580+F580+G580</f>
        <v>30</v>
      </c>
      <c r="E580" s="23">
        <v>16</v>
      </c>
      <c r="F580" s="23">
        <v>8</v>
      </c>
      <c r="G580" s="23">
        <v>6</v>
      </c>
      <c r="H580" s="23">
        <v>64</v>
      </c>
      <c r="I580" s="23">
        <v>32</v>
      </c>
      <c r="J580" s="24">
        <f t="shared" ref="J580:J594" si="54">E580*3+F580*1</f>
        <v>56</v>
      </c>
    </row>
    <row r="581" spans="2:10" x14ac:dyDescent="0.25">
      <c r="B581" s="2">
        <v>3</v>
      </c>
      <c r="C581" s="4" t="s">
        <v>4</v>
      </c>
      <c r="D581" s="23">
        <f t="shared" si="53"/>
        <v>30</v>
      </c>
      <c r="E581" s="23">
        <v>16</v>
      </c>
      <c r="F581" s="23">
        <v>6</v>
      </c>
      <c r="G581" s="23">
        <v>8</v>
      </c>
      <c r="H581" s="23">
        <v>44</v>
      </c>
      <c r="I581" s="23">
        <v>28</v>
      </c>
      <c r="J581" s="24">
        <f t="shared" si="54"/>
        <v>54</v>
      </c>
    </row>
    <row r="582" spans="2:10" x14ac:dyDescent="0.25">
      <c r="B582" s="2">
        <v>4</v>
      </c>
      <c r="C582" s="4" t="s">
        <v>3</v>
      </c>
      <c r="D582" s="23">
        <f t="shared" si="53"/>
        <v>30</v>
      </c>
      <c r="E582" s="23">
        <v>14</v>
      </c>
      <c r="F582" s="23">
        <v>11</v>
      </c>
      <c r="G582" s="23">
        <v>5</v>
      </c>
      <c r="H582" s="23">
        <v>37</v>
      </c>
      <c r="I582" s="23">
        <v>19</v>
      </c>
      <c r="J582" s="24">
        <f t="shared" si="54"/>
        <v>53</v>
      </c>
    </row>
    <row r="583" spans="2:10" x14ac:dyDescent="0.25">
      <c r="B583" s="2">
        <v>5</v>
      </c>
      <c r="C583" s="4" t="s">
        <v>23</v>
      </c>
      <c r="D583" s="23">
        <f t="shared" si="53"/>
        <v>30</v>
      </c>
      <c r="E583" s="23">
        <v>15</v>
      </c>
      <c r="F583" s="23">
        <v>6</v>
      </c>
      <c r="G583" s="23">
        <v>9</v>
      </c>
      <c r="H583" s="23">
        <v>34</v>
      </c>
      <c r="I583" s="23">
        <v>28</v>
      </c>
      <c r="J583" s="24">
        <f t="shared" si="54"/>
        <v>51</v>
      </c>
    </row>
    <row r="584" spans="2:10" x14ac:dyDescent="0.25">
      <c r="B584" s="2">
        <v>6</v>
      </c>
      <c r="C584" s="4" t="s">
        <v>6</v>
      </c>
      <c r="D584" s="23">
        <f t="shared" si="53"/>
        <v>30</v>
      </c>
      <c r="E584" s="23">
        <v>13</v>
      </c>
      <c r="F584" s="23">
        <v>7</v>
      </c>
      <c r="G584" s="23">
        <v>10</v>
      </c>
      <c r="H584" s="23">
        <v>37</v>
      </c>
      <c r="I584" s="23">
        <v>35</v>
      </c>
      <c r="J584" s="24">
        <f t="shared" si="54"/>
        <v>46</v>
      </c>
    </row>
    <row r="585" spans="2:10" x14ac:dyDescent="0.25">
      <c r="B585" s="2">
        <v>7</v>
      </c>
      <c r="C585" s="4" t="s">
        <v>24</v>
      </c>
      <c r="D585" s="23">
        <f t="shared" si="53"/>
        <v>30</v>
      </c>
      <c r="E585" s="23">
        <v>12</v>
      </c>
      <c r="F585" s="23">
        <v>6</v>
      </c>
      <c r="G585" s="23">
        <v>12</v>
      </c>
      <c r="H585" s="23">
        <v>39</v>
      </c>
      <c r="I585" s="23">
        <v>36</v>
      </c>
      <c r="J585" s="24">
        <f t="shared" si="54"/>
        <v>42</v>
      </c>
    </row>
    <row r="586" spans="2:10" x14ac:dyDescent="0.25">
      <c r="B586" s="2">
        <v>8</v>
      </c>
      <c r="C586" s="4" t="s">
        <v>17</v>
      </c>
      <c r="D586" s="23">
        <f t="shared" si="53"/>
        <v>30</v>
      </c>
      <c r="E586" s="23">
        <v>11</v>
      </c>
      <c r="F586" s="23">
        <v>7</v>
      </c>
      <c r="G586" s="23">
        <v>12</v>
      </c>
      <c r="H586" s="23">
        <v>29</v>
      </c>
      <c r="I586" s="23">
        <v>40</v>
      </c>
      <c r="J586" s="24">
        <f t="shared" si="54"/>
        <v>40</v>
      </c>
    </row>
    <row r="587" spans="2:10" x14ac:dyDescent="0.25">
      <c r="B587" s="2">
        <v>9</v>
      </c>
      <c r="C587" s="4" t="s">
        <v>25</v>
      </c>
      <c r="D587" s="23">
        <f t="shared" si="53"/>
        <v>30</v>
      </c>
      <c r="E587" s="23">
        <v>9</v>
      </c>
      <c r="F587" s="23">
        <v>10</v>
      </c>
      <c r="G587" s="23">
        <v>11</v>
      </c>
      <c r="H587" s="23">
        <v>37</v>
      </c>
      <c r="I587" s="23">
        <v>39</v>
      </c>
      <c r="J587" s="24">
        <f t="shared" si="54"/>
        <v>37</v>
      </c>
    </row>
    <row r="588" spans="2:10" x14ac:dyDescent="0.25">
      <c r="B588" s="2">
        <v>10</v>
      </c>
      <c r="C588" s="4" t="s">
        <v>7</v>
      </c>
      <c r="D588" s="23">
        <f t="shared" si="53"/>
        <v>30</v>
      </c>
      <c r="E588" s="23">
        <v>10</v>
      </c>
      <c r="F588" s="23">
        <v>7</v>
      </c>
      <c r="G588" s="23">
        <v>13</v>
      </c>
      <c r="H588" s="23">
        <v>32</v>
      </c>
      <c r="I588" s="23">
        <v>40</v>
      </c>
      <c r="J588" s="24">
        <f t="shared" si="54"/>
        <v>37</v>
      </c>
    </row>
    <row r="589" spans="2:10" x14ac:dyDescent="0.25">
      <c r="B589" s="2">
        <v>11</v>
      </c>
      <c r="C589" s="4" t="s">
        <v>9</v>
      </c>
      <c r="D589" s="23">
        <f t="shared" si="53"/>
        <v>30</v>
      </c>
      <c r="E589" s="23">
        <v>9</v>
      </c>
      <c r="F589" s="23">
        <v>9</v>
      </c>
      <c r="G589" s="23">
        <v>12</v>
      </c>
      <c r="H589" s="23">
        <v>30</v>
      </c>
      <c r="I589" s="23">
        <v>35</v>
      </c>
      <c r="J589" s="24">
        <f t="shared" si="54"/>
        <v>36</v>
      </c>
    </row>
    <row r="590" spans="2:10" x14ac:dyDescent="0.25">
      <c r="B590" s="2">
        <v>12</v>
      </c>
      <c r="C590" s="4" t="s">
        <v>18</v>
      </c>
      <c r="D590" s="23">
        <f t="shared" si="53"/>
        <v>30</v>
      </c>
      <c r="E590" s="23">
        <v>9</v>
      </c>
      <c r="F590" s="23">
        <v>8</v>
      </c>
      <c r="G590" s="23">
        <v>13</v>
      </c>
      <c r="H590" s="23">
        <v>29</v>
      </c>
      <c r="I590" s="23">
        <v>35</v>
      </c>
      <c r="J590" s="24">
        <f t="shared" si="54"/>
        <v>35</v>
      </c>
    </row>
    <row r="591" spans="2:10" x14ac:dyDescent="0.25">
      <c r="B591" s="2">
        <v>13</v>
      </c>
      <c r="C591" s="4" t="s">
        <v>5</v>
      </c>
      <c r="D591" s="23">
        <f t="shared" si="53"/>
        <v>30</v>
      </c>
      <c r="E591" s="23">
        <v>7</v>
      </c>
      <c r="F591" s="23">
        <v>10</v>
      </c>
      <c r="G591" s="23">
        <v>13</v>
      </c>
      <c r="H591" s="23">
        <v>25</v>
      </c>
      <c r="I591" s="23">
        <v>44</v>
      </c>
      <c r="J591" s="24">
        <f t="shared" si="54"/>
        <v>31</v>
      </c>
    </row>
    <row r="592" spans="2:10" x14ac:dyDescent="0.25">
      <c r="B592" s="2">
        <v>14</v>
      </c>
      <c r="C592" s="4" t="s">
        <v>13</v>
      </c>
      <c r="D592" s="23">
        <f t="shared" si="53"/>
        <v>30</v>
      </c>
      <c r="E592" s="23">
        <v>6</v>
      </c>
      <c r="F592" s="23">
        <v>7</v>
      </c>
      <c r="G592" s="23">
        <v>17</v>
      </c>
      <c r="H592" s="23">
        <v>23</v>
      </c>
      <c r="I592" s="23">
        <v>39</v>
      </c>
      <c r="J592" s="24">
        <f t="shared" si="54"/>
        <v>25</v>
      </c>
    </row>
    <row r="593" spans="2:10" x14ac:dyDescent="0.25">
      <c r="B593" s="2">
        <v>15</v>
      </c>
      <c r="C593" s="4" t="s">
        <v>2</v>
      </c>
      <c r="D593" s="23">
        <f t="shared" si="53"/>
        <v>30</v>
      </c>
      <c r="E593" s="23">
        <v>4</v>
      </c>
      <c r="F593" s="23">
        <v>12</v>
      </c>
      <c r="G593" s="23">
        <v>14</v>
      </c>
      <c r="H593" s="23">
        <v>25</v>
      </c>
      <c r="I593" s="23">
        <v>43</v>
      </c>
      <c r="J593" s="24">
        <f t="shared" si="54"/>
        <v>24</v>
      </c>
    </row>
    <row r="594" spans="2:10" x14ac:dyDescent="0.25">
      <c r="B594" s="2">
        <v>16</v>
      </c>
      <c r="C594" s="4" t="s">
        <v>10</v>
      </c>
      <c r="D594" s="23">
        <f t="shared" si="53"/>
        <v>30</v>
      </c>
      <c r="E594" s="23">
        <v>5</v>
      </c>
      <c r="F594" s="23">
        <v>8</v>
      </c>
      <c r="G594" s="23">
        <v>17</v>
      </c>
      <c r="H594" s="23">
        <v>28</v>
      </c>
      <c r="I594" s="23">
        <v>49</v>
      </c>
      <c r="J594" s="24">
        <f t="shared" si="54"/>
        <v>23</v>
      </c>
    </row>
    <row r="595" spans="2:10" x14ac:dyDescent="0.25">
      <c r="B595" s="2"/>
      <c r="C595" s="2"/>
      <c r="D595" s="23"/>
      <c r="E595" s="23"/>
      <c r="F595" s="23"/>
      <c r="G595" s="23"/>
      <c r="H595" s="23"/>
      <c r="I595" s="23"/>
      <c r="J595" s="23"/>
    </row>
    <row r="596" spans="2:10" x14ac:dyDescent="0.25">
      <c r="B596" s="36" t="s">
        <v>16</v>
      </c>
      <c r="C596" s="36"/>
      <c r="D596" s="36"/>
      <c r="E596" s="36"/>
      <c r="F596" s="36"/>
      <c r="G596" s="36"/>
      <c r="H596" s="36"/>
      <c r="I596" s="36"/>
      <c r="J596" s="36"/>
    </row>
    <row r="597" spans="2:10" x14ac:dyDescent="0.25">
      <c r="B597" s="2">
        <v>1</v>
      </c>
      <c r="C597" s="4" t="s">
        <v>0</v>
      </c>
      <c r="D597" s="23">
        <f>E597+F597+G597</f>
        <v>30</v>
      </c>
      <c r="E597" s="23">
        <v>19</v>
      </c>
      <c r="F597" s="23">
        <v>8</v>
      </c>
      <c r="G597" s="23">
        <v>3</v>
      </c>
      <c r="H597" s="23">
        <v>64</v>
      </c>
      <c r="I597" s="23">
        <v>30</v>
      </c>
      <c r="J597" s="24">
        <f>E597*3+F597*1</f>
        <v>65</v>
      </c>
    </row>
    <row r="598" spans="2:10" x14ac:dyDescent="0.25">
      <c r="B598" s="2">
        <v>2</v>
      </c>
      <c r="C598" s="4" t="s">
        <v>1</v>
      </c>
      <c r="D598" s="23">
        <f t="shared" ref="D598:D612" si="55">E598+F598+G598</f>
        <v>30</v>
      </c>
      <c r="E598" s="23">
        <v>17</v>
      </c>
      <c r="F598" s="23">
        <v>8</v>
      </c>
      <c r="G598" s="23">
        <v>5</v>
      </c>
      <c r="H598" s="23">
        <v>55</v>
      </c>
      <c r="I598" s="23">
        <v>23</v>
      </c>
      <c r="J598" s="24">
        <f t="shared" ref="J598:J612" si="56">E598*3+F598*1</f>
        <v>59</v>
      </c>
    </row>
    <row r="599" spans="2:10" x14ac:dyDescent="0.25">
      <c r="B599" s="2">
        <v>3</v>
      </c>
      <c r="C599" s="4" t="s">
        <v>3</v>
      </c>
      <c r="D599" s="23">
        <f t="shared" si="55"/>
        <v>30</v>
      </c>
      <c r="E599" s="23">
        <v>17</v>
      </c>
      <c r="F599" s="23">
        <v>4</v>
      </c>
      <c r="G599" s="23">
        <v>9</v>
      </c>
      <c r="H599" s="23">
        <v>50</v>
      </c>
      <c r="I599" s="23">
        <v>31</v>
      </c>
      <c r="J599" s="24">
        <f t="shared" si="56"/>
        <v>55</v>
      </c>
    </row>
    <row r="600" spans="2:10" x14ac:dyDescent="0.25">
      <c r="B600" s="2">
        <v>4</v>
      </c>
      <c r="C600" s="4" t="s">
        <v>6</v>
      </c>
      <c r="D600" s="23">
        <f t="shared" si="55"/>
        <v>30</v>
      </c>
      <c r="E600" s="23">
        <v>14</v>
      </c>
      <c r="F600" s="23">
        <v>12</v>
      </c>
      <c r="G600" s="23">
        <v>4</v>
      </c>
      <c r="H600" s="23">
        <v>47</v>
      </c>
      <c r="I600" s="23">
        <v>22</v>
      </c>
      <c r="J600" s="24">
        <f t="shared" si="56"/>
        <v>54</v>
      </c>
    </row>
    <row r="601" spans="2:10" x14ac:dyDescent="0.25">
      <c r="B601" s="2">
        <v>5</v>
      </c>
      <c r="C601" s="4" t="s">
        <v>17</v>
      </c>
      <c r="D601" s="23">
        <f t="shared" si="55"/>
        <v>30</v>
      </c>
      <c r="E601" s="23">
        <v>14</v>
      </c>
      <c r="F601" s="23">
        <v>11</v>
      </c>
      <c r="G601" s="23">
        <v>5</v>
      </c>
      <c r="H601" s="23">
        <v>47</v>
      </c>
      <c r="I601" s="23">
        <v>27</v>
      </c>
      <c r="J601" s="24">
        <f t="shared" si="56"/>
        <v>53</v>
      </c>
    </row>
    <row r="602" spans="2:10" x14ac:dyDescent="0.25">
      <c r="B602" s="2">
        <v>6</v>
      </c>
      <c r="C602" s="4" t="s">
        <v>9</v>
      </c>
      <c r="D602" s="23">
        <f t="shared" si="55"/>
        <v>30</v>
      </c>
      <c r="E602" s="23">
        <v>15</v>
      </c>
      <c r="F602" s="23">
        <v>4</v>
      </c>
      <c r="G602" s="23">
        <v>11</v>
      </c>
      <c r="H602" s="23">
        <v>49</v>
      </c>
      <c r="I602" s="23">
        <v>40</v>
      </c>
      <c r="J602" s="24">
        <f t="shared" si="56"/>
        <v>49</v>
      </c>
    </row>
    <row r="603" spans="2:10" x14ac:dyDescent="0.25">
      <c r="B603" s="2">
        <v>7</v>
      </c>
      <c r="C603" s="4" t="s">
        <v>18</v>
      </c>
      <c r="D603" s="23">
        <f t="shared" si="55"/>
        <v>30</v>
      </c>
      <c r="E603" s="23">
        <v>14</v>
      </c>
      <c r="F603" s="23">
        <v>6</v>
      </c>
      <c r="G603" s="23">
        <v>10</v>
      </c>
      <c r="H603" s="23">
        <v>49</v>
      </c>
      <c r="I603" s="23">
        <v>33</v>
      </c>
      <c r="J603" s="24">
        <f t="shared" si="56"/>
        <v>48</v>
      </c>
    </row>
    <row r="604" spans="2:10" x14ac:dyDescent="0.25">
      <c r="B604" s="2">
        <v>8</v>
      </c>
      <c r="C604" s="4" t="s">
        <v>7</v>
      </c>
      <c r="D604" s="23">
        <f t="shared" si="55"/>
        <v>30</v>
      </c>
      <c r="E604" s="23">
        <v>14</v>
      </c>
      <c r="F604" s="23">
        <v>5</v>
      </c>
      <c r="G604" s="23">
        <v>11</v>
      </c>
      <c r="H604" s="23">
        <v>52</v>
      </c>
      <c r="I604" s="23">
        <v>35</v>
      </c>
      <c r="J604" s="24">
        <f t="shared" si="56"/>
        <v>47</v>
      </c>
    </row>
    <row r="605" spans="2:10" x14ac:dyDescent="0.25">
      <c r="B605" s="2">
        <v>9</v>
      </c>
      <c r="C605" s="4" t="s">
        <v>2</v>
      </c>
      <c r="D605" s="23">
        <f t="shared" si="55"/>
        <v>30</v>
      </c>
      <c r="E605" s="23">
        <v>13</v>
      </c>
      <c r="F605" s="23">
        <v>8</v>
      </c>
      <c r="G605" s="23">
        <v>9</v>
      </c>
      <c r="H605" s="23">
        <v>54</v>
      </c>
      <c r="I605" s="23">
        <v>41</v>
      </c>
      <c r="J605" s="24">
        <f t="shared" si="56"/>
        <v>47</v>
      </c>
    </row>
    <row r="606" spans="2:10" x14ac:dyDescent="0.25">
      <c r="B606" s="2">
        <v>10</v>
      </c>
      <c r="C606" s="4" t="s">
        <v>5</v>
      </c>
      <c r="D606" s="23">
        <f t="shared" si="55"/>
        <v>30</v>
      </c>
      <c r="E606" s="23">
        <v>12</v>
      </c>
      <c r="F606" s="23">
        <v>7</v>
      </c>
      <c r="G606" s="23">
        <v>11</v>
      </c>
      <c r="H606" s="23">
        <v>38</v>
      </c>
      <c r="I606" s="23">
        <v>32</v>
      </c>
      <c r="J606" s="24">
        <f t="shared" si="56"/>
        <v>43</v>
      </c>
    </row>
    <row r="607" spans="2:10" x14ac:dyDescent="0.25">
      <c r="B607" s="2">
        <v>11</v>
      </c>
      <c r="C607" s="4" t="s">
        <v>4</v>
      </c>
      <c r="D607" s="23">
        <f t="shared" si="55"/>
        <v>30</v>
      </c>
      <c r="E607" s="23">
        <v>10</v>
      </c>
      <c r="F607" s="23">
        <v>8</v>
      </c>
      <c r="G607" s="23">
        <v>12</v>
      </c>
      <c r="H607" s="23">
        <v>48</v>
      </c>
      <c r="I607" s="23">
        <v>32</v>
      </c>
      <c r="J607" s="24">
        <f t="shared" si="56"/>
        <v>38</v>
      </c>
    </row>
    <row r="608" spans="2:10" x14ac:dyDescent="0.25">
      <c r="B608" s="2">
        <v>12</v>
      </c>
      <c r="C608" s="4" t="s">
        <v>10</v>
      </c>
      <c r="D608" s="23">
        <f t="shared" si="55"/>
        <v>30</v>
      </c>
      <c r="E608" s="23">
        <v>8</v>
      </c>
      <c r="F608" s="23">
        <v>8</v>
      </c>
      <c r="G608" s="23">
        <v>14</v>
      </c>
      <c r="H608" s="23">
        <v>32</v>
      </c>
      <c r="I608" s="23">
        <v>45</v>
      </c>
      <c r="J608" s="24">
        <f t="shared" si="56"/>
        <v>32</v>
      </c>
    </row>
    <row r="609" spans="2:10" x14ac:dyDescent="0.25">
      <c r="B609" s="2">
        <v>13</v>
      </c>
      <c r="C609" s="4" t="s">
        <v>13</v>
      </c>
      <c r="D609" s="23">
        <f t="shared" si="55"/>
        <v>30</v>
      </c>
      <c r="E609" s="23">
        <v>8</v>
      </c>
      <c r="F609" s="23">
        <v>7</v>
      </c>
      <c r="G609" s="23">
        <v>15</v>
      </c>
      <c r="H609" s="23">
        <v>35</v>
      </c>
      <c r="I609" s="23">
        <v>49</v>
      </c>
      <c r="J609" s="24">
        <f t="shared" si="56"/>
        <v>31</v>
      </c>
    </row>
    <row r="610" spans="2:10" x14ac:dyDescent="0.25">
      <c r="B610" s="2">
        <v>14</v>
      </c>
      <c r="C610" s="4" t="s">
        <v>19</v>
      </c>
      <c r="D610" s="23">
        <f t="shared" si="55"/>
        <v>24</v>
      </c>
      <c r="E610" s="23">
        <v>4</v>
      </c>
      <c r="F610" s="23">
        <v>1</v>
      </c>
      <c r="G610" s="23">
        <v>19</v>
      </c>
      <c r="H610" s="23">
        <v>23</v>
      </c>
      <c r="I610" s="23">
        <v>73</v>
      </c>
      <c r="J610" s="24">
        <f t="shared" si="56"/>
        <v>13</v>
      </c>
    </row>
    <row r="611" spans="2:10" x14ac:dyDescent="0.25">
      <c r="B611" s="2">
        <v>15</v>
      </c>
      <c r="C611" s="4" t="s">
        <v>20</v>
      </c>
      <c r="D611" s="23">
        <f t="shared" si="55"/>
        <v>14</v>
      </c>
      <c r="E611" s="23">
        <v>2</v>
      </c>
      <c r="F611" s="23">
        <v>1</v>
      </c>
      <c r="G611" s="23">
        <v>11</v>
      </c>
      <c r="H611" s="23">
        <v>13</v>
      </c>
      <c r="I611" s="23">
        <v>48</v>
      </c>
      <c r="J611" s="24">
        <f t="shared" si="56"/>
        <v>7</v>
      </c>
    </row>
    <row r="612" spans="2:10" x14ac:dyDescent="0.25">
      <c r="B612" s="2">
        <v>16</v>
      </c>
      <c r="C612" s="4" t="s">
        <v>21</v>
      </c>
      <c r="D612" s="23">
        <f t="shared" si="55"/>
        <v>27</v>
      </c>
      <c r="E612" s="23">
        <v>2</v>
      </c>
      <c r="F612" s="23">
        <v>1</v>
      </c>
      <c r="G612" s="23">
        <v>24</v>
      </c>
      <c r="H612" s="23">
        <v>14</v>
      </c>
      <c r="I612" s="23">
        <v>82</v>
      </c>
      <c r="J612" s="24">
        <f t="shared" si="56"/>
        <v>7</v>
      </c>
    </row>
    <row r="613" spans="2:10" x14ac:dyDescent="0.25">
      <c r="B613" s="2"/>
      <c r="C613" s="2"/>
      <c r="D613" s="23"/>
      <c r="E613" s="23"/>
      <c r="F613" s="23"/>
      <c r="G613" s="23"/>
      <c r="H613" s="23"/>
      <c r="I613" s="23"/>
      <c r="J613" s="23"/>
    </row>
    <row r="614" spans="2:10" x14ac:dyDescent="0.25">
      <c r="B614" s="36" t="s">
        <v>15</v>
      </c>
      <c r="C614" s="36"/>
      <c r="D614" s="36"/>
      <c r="E614" s="36"/>
      <c r="F614" s="36"/>
      <c r="G614" s="36"/>
      <c r="H614" s="36"/>
      <c r="I614" s="36"/>
      <c r="J614" s="36"/>
    </row>
    <row r="615" spans="2:10" x14ac:dyDescent="0.25">
      <c r="B615" s="2">
        <v>1</v>
      </c>
      <c r="C615" s="4" t="s">
        <v>0</v>
      </c>
      <c r="D615" s="23">
        <f>E615+F615+G615</f>
        <v>30</v>
      </c>
      <c r="E615" s="23">
        <v>22</v>
      </c>
      <c r="F615" s="23">
        <v>2</v>
      </c>
      <c r="G615" s="23">
        <v>6</v>
      </c>
      <c r="H615" s="23">
        <v>57</v>
      </c>
      <c r="I615" s="23">
        <v>25</v>
      </c>
      <c r="J615" s="24">
        <f>E615*3+F615*1</f>
        <v>68</v>
      </c>
    </row>
    <row r="616" spans="2:10" x14ac:dyDescent="0.25">
      <c r="B616" s="2">
        <v>2</v>
      </c>
      <c r="C616" s="4" t="s">
        <v>1</v>
      </c>
      <c r="D616" s="23">
        <f t="shared" ref="D616:D630" si="57">E616+F616+G616</f>
        <v>30</v>
      </c>
      <c r="E616" s="23">
        <v>18</v>
      </c>
      <c r="F616" s="23">
        <v>4</v>
      </c>
      <c r="G616" s="23">
        <v>8</v>
      </c>
      <c r="H616" s="23">
        <v>60</v>
      </c>
      <c r="I616" s="23">
        <v>44</v>
      </c>
      <c r="J616" s="24">
        <f t="shared" ref="J616:J630" si="58">E616*3+F616*1</f>
        <v>58</v>
      </c>
    </row>
    <row r="617" spans="2:10" x14ac:dyDescent="0.25">
      <c r="B617" s="2">
        <v>3</v>
      </c>
      <c r="C617" s="4" t="s">
        <v>2</v>
      </c>
      <c r="D617" s="23">
        <f t="shared" si="57"/>
        <v>30</v>
      </c>
      <c r="E617" s="23">
        <v>16</v>
      </c>
      <c r="F617" s="23">
        <v>4</v>
      </c>
      <c r="G617" s="23">
        <v>10</v>
      </c>
      <c r="H617" s="23">
        <v>61</v>
      </c>
      <c r="I617" s="23">
        <v>38</v>
      </c>
      <c r="J617" s="24">
        <f t="shared" si="58"/>
        <v>52</v>
      </c>
    </row>
    <row r="618" spans="2:10" x14ac:dyDescent="0.25">
      <c r="B618" s="2">
        <v>4</v>
      </c>
      <c r="C618" s="4" t="s">
        <v>3</v>
      </c>
      <c r="D618" s="23">
        <f t="shared" si="57"/>
        <v>30</v>
      </c>
      <c r="E618" s="23">
        <v>15</v>
      </c>
      <c r="F618" s="23">
        <v>6</v>
      </c>
      <c r="G618" s="23">
        <v>9</v>
      </c>
      <c r="H618" s="23">
        <v>58</v>
      </c>
      <c r="I618" s="23">
        <v>33</v>
      </c>
      <c r="J618" s="24">
        <f t="shared" si="58"/>
        <v>51</v>
      </c>
    </row>
    <row r="619" spans="2:10" x14ac:dyDescent="0.25">
      <c r="B619" s="2">
        <v>5</v>
      </c>
      <c r="C619" s="4" t="s">
        <v>4</v>
      </c>
      <c r="D619" s="23">
        <f t="shared" si="57"/>
        <v>30</v>
      </c>
      <c r="E619" s="23">
        <v>16</v>
      </c>
      <c r="F619" s="23">
        <v>3</v>
      </c>
      <c r="G619" s="23">
        <v>11</v>
      </c>
      <c r="H619" s="23">
        <v>50</v>
      </c>
      <c r="I619" s="23">
        <v>31</v>
      </c>
      <c r="J619" s="24">
        <f t="shared" si="58"/>
        <v>51</v>
      </c>
    </row>
    <row r="620" spans="2:10" x14ac:dyDescent="0.25">
      <c r="B620" s="2">
        <v>6</v>
      </c>
      <c r="C620" s="4" t="s">
        <v>5</v>
      </c>
      <c r="D620" s="23">
        <f t="shared" si="57"/>
        <v>30</v>
      </c>
      <c r="E620" s="23">
        <v>15</v>
      </c>
      <c r="F620" s="23">
        <v>5</v>
      </c>
      <c r="G620" s="23">
        <v>10</v>
      </c>
      <c r="H620" s="23">
        <v>51</v>
      </c>
      <c r="I620" s="23">
        <v>37</v>
      </c>
      <c r="J620" s="24">
        <f t="shared" si="58"/>
        <v>50</v>
      </c>
    </row>
    <row r="621" spans="2:10" x14ac:dyDescent="0.25">
      <c r="B621" s="2">
        <v>7</v>
      </c>
      <c r="C621" s="4" t="s">
        <v>6</v>
      </c>
      <c r="D621" s="23">
        <f t="shared" si="57"/>
        <v>30</v>
      </c>
      <c r="E621" s="23">
        <v>14</v>
      </c>
      <c r="F621" s="23">
        <v>7</v>
      </c>
      <c r="G621" s="23">
        <v>9</v>
      </c>
      <c r="H621" s="23">
        <v>52</v>
      </c>
      <c r="I621" s="23">
        <v>38</v>
      </c>
      <c r="J621" s="24">
        <f t="shared" si="58"/>
        <v>49</v>
      </c>
    </row>
    <row r="622" spans="2:10" x14ac:dyDescent="0.25">
      <c r="B622" s="2">
        <v>8</v>
      </c>
      <c r="C622" s="4" t="s">
        <v>7</v>
      </c>
      <c r="D622" s="23">
        <f t="shared" si="57"/>
        <v>30</v>
      </c>
      <c r="E622" s="23">
        <v>14</v>
      </c>
      <c r="F622" s="23">
        <v>4</v>
      </c>
      <c r="G622" s="23">
        <v>12</v>
      </c>
      <c r="H622" s="23">
        <v>50</v>
      </c>
      <c r="I622" s="23">
        <v>37</v>
      </c>
      <c r="J622" s="24">
        <f t="shared" si="58"/>
        <v>46</v>
      </c>
    </row>
    <row r="623" spans="2:10" x14ac:dyDescent="0.25">
      <c r="B623" s="2">
        <v>9</v>
      </c>
      <c r="C623" s="2" t="s">
        <v>8</v>
      </c>
      <c r="D623" s="23">
        <f t="shared" si="57"/>
        <v>30</v>
      </c>
      <c r="E623" s="23">
        <v>12</v>
      </c>
      <c r="F623" s="23">
        <v>3</v>
      </c>
      <c r="G623" s="23">
        <v>15</v>
      </c>
      <c r="H623" s="23">
        <v>45</v>
      </c>
      <c r="I623" s="23">
        <v>43</v>
      </c>
      <c r="J623" s="24">
        <f t="shared" si="58"/>
        <v>39</v>
      </c>
    </row>
    <row r="624" spans="2:10" x14ac:dyDescent="0.25">
      <c r="B624" s="2">
        <v>10</v>
      </c>
      <c r="C624" s="4" t="s">
        <v>9</v>
      </c>
      <c r="D624" s="23">
        <f t="shared" si="57"/>
        <v>30</v>
      </c>
      <c r="E624" s="23">
        <v>10</v>
      </c>
      <c r="F624" s="23">
        <v>7</v>
      </c>
      <c r="G624" s="23">
        <v>13</v>
      </c>
      <c r="H624" s="23">
        <v>38</v>
      </c>
      <c r="I624" s="23">
        <v>45</v>
      </c>
      <c r="J624" s="24">
        <f t="shared" si="58"/>
        <v>37</v>
      </c>
    </row>
    <row r="625" spans="2:10" x14ac:dyDescent="0.25">
      <c r="B625" s="2">
        <v>11</v>
      </c>
      <c r="C625" s="4" t="s">
        <v>10</v>
      </c>
      <c r="D625" s="23">
        <f t="shared" si="57"/>
        <v>30</v>
      </c>
      <c r="E625" s="23">
        <v>10</v>
      </c>
      <c r="F625" s="23">
        <v>6</v>
      </c>
      <c r="G625" s="23">
        <v>14</v>
      </c>
      <c r="H625" s="23">
        <v>38</v>
      </c>
      <c r="I625" s="23">
        <v>49</v>
      </c>
      <c r="J625" s="24">
        <f t="shared" si="58"/>
        <v>36</v>
      </c>
    </row>
    <row r="626" spans="2:10" x14ac:dyDescent="0.25">
      <c r="B626" s="2">
        <v>12</v>
      </c>
      <c r="C626" s="2" t="s">
        <v>11</v>
      </c>
      <c r="D626" s="23">
        <f t="shared" si="57"/>
        <v>30</v>
      </c>
      <c r="E626" s="23">
        <v>10</v>
      </c>
      <c r="F626" s="23">
        <v>5</v>
      </c>
      <c r="G626" s="23">
        <v>15</v>
      </c>
      <c r="H626" s="23">
        <v>53</v>
      </c>
      <c r="I626" s="23">
        <v>57</v>
      </c>
      <c r="J626" s="24">
        <f t="shared" si="58"/>
        <v>35</v>
      </c>
    </row>
    <row r="627" spans="2:10" x14ac:dyDescent="0.25">
      <c r="B627" s="2">
        <v>13</v>
      </c>
      <c r="C627" s="4" t="s">
        <v>12</v>
      </c>
      <c r="D627" s="23">
        <f t="shared" si="57"/>
        <v>30</v>
      </c>
      <c r="E627" s="23">
        <v>10</v>
      </c>
      <c r="F627" s="23">
        <v>5</v>
      </c>
      <c r="G627" s="23">
        <v>15</v>
      </c>
      <c r="H627" s="23">
        <v>27</v>
      </c>
      <c r="I627" s="23">
        <v>50</v>
      </c>
      <c r="J627" s="24">
        <f t="shared" si="58"/>
        <v>35</v>
      </c>
    </row>
    <row r="628" spans="2:10" x14ac:dyDescent="0.25">
      <c r="B628" s="2">
        <v>14</v>
      </c>
      <c r="C628" s="4" t="s">
        <v>13</v>
      </c>
      <c r="D628" s="23">
        <f t="shared" si="57"/>
        <v>30</v>
      </c>
      <c r="E628" s="23">
        <v>6</v>
      </c>
      <c r="F628" s="23">
        <v>9</v>
      </c>
      <c r="G628" s="23">
        <v>15</v>
      </c>
      <c r="H628" s="23">
        <v>39</v>
      </c>
      <c r="I628" s="23">
        <v>57</v>
      </c>
      <c r="J628" s="24">
        <f t="shared" si="58"/>
        <v>27</v>
      </c>
    </row>
    <row r="629" spans="2:10" x14ac:dyDescent="0.25">
      <c r="B629" s="2">
        <v>15</v>
      </c>
      <c r="C629" s="4" t="s">
        <v>14</v>
      </c>
      <c r="D629" s="23">
        <f t="shared" si="57"/>
        <v>0</v>
      </c>
      <c r="E629" s="23"/>
      <c r="F629" s="23"/>
      <c r="G629" s="23"/>
      <c r="H629" s="23"/>
      <c r="I629" s="23"/>
      <c r="J629" s="24">
        <f t="shared" si="58"/>
        <v>0</v>
      </c>
    </row>
    <row r="630" spans="2:10" x14ac:dyDescent="0.25">
      <c r="B630" s="2">
        <v>16</v>
      </c>
      <c r="C630" s="4" t="s">
        <v>14</v>
      </c>
      <c r="D630" s="23">
        <f t="shared" si="57"/>
        <v>0</v>
      </c>
      <c r="E630" s="23"/>
      <c r="F630" s="23"/>
      <c r="G630" s="23"/>
      <c r="H630" s="23"/>
      <c r="I630" s="23"/>
      <c r="J630" s="24">
        <f t="shared" si="58"/>
        <v>0</v>
      </c>
    </row>
  </sheetData>
  <sortState ref="B25:O86">
    <sortCondition descending="1" ref="J25:J86"/>
    <sortCondition ref="D25:D86"/>
    <sortCondition descending="1" ref="E25:E86"/>
    <sortCondition descending="1" ref="H25:H86"/>
    <sortCondition ref="I25:I86"/>
  </sortState>
  <mergeCells count="30">
    <mergeCell ref="B90:J90"/>
    <mergeCell ref="B146:J146"/>
    <mergeCell ref="B127:J127"/>
    <mergeCell ref="B108:J108"/>
    <mergeCell ref="B416:J416"/>
    <mergeCell ref="B614:J614"/>
    <mergeCell ref="B596:J596"/>
    <mergeCell ref="B578:J578"/>
    <mergeCell ref="B560:J560"/>
    <mergeCell ref="B542:J542"/>
    <mergeCell ref="B524:J524"/>
    <mergeCell ref="B506:J506"/>
    <mergeCell ref="B488:J488"/>
    <mergeCell ref="B470:J470"/>
    <mergeCell ref="B452:J452"/>
    <mergeCell ref="B434:J434"/>
    <mergeCell ref="B183:J183"/>
    <mergeCell ref="B166:J166"/>
    <mergeCell ref="B200:J200"/>
    <mergeCell ref="B398:J398"/>
    <mergeCell ref="B380:J380"/>
    <mergeCell ref="B362:J362"/>
    <mergeCell ref="B344:J344"/>
    <mergeCell ref="B326:J326"/>
    <mergeCell ref="B308:J308"/>
    <mergeCell ref="B290:J290"/>
    <mergeCell ref="B272:J272"/>
    <mergeCell ref="B254:J254"/>
    <mergeCell ref="B236:J236"/>
    <mergeCell ref="B218:J218"/>
  </mergeCells>
  <conditionalFormatting sqref="O25:O8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8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N49"/>
  <sheetViews>
    <sheetView topLeftCell="D1" workbookViewId="0">
      <selection activeCell="AI21" sqref="AI21"/>
    </sheetView>
  </sheetViews>
  <sheetFormatPr defaultRowHeight="15" x14ac:dyDescent="0.25"/>
  <cols>
    <col min="1" max="1" width="3.42578125" customWidth="1"/>
    <col min="2" max="2" width="3.7109375" style="10" customWidth="1"/>
    <col min="3" max="3" width="24" bestFit="1" customWidth="1"/>
    <col min="4" max="10" width="4.42578125" customWidth="1"/>
    <col min="12" max="12" width="3.7109375" style="10" customWidth="1"/>
    <col min="13" max="13" width="21" bestFit="1" customWidth="1"/>
    <col min="14" max="20" width="4.42578125" customWidth="1"/>
    <col min="22" max="22" width="3.7109375" style="10" customWidth="1"/>
    <col min="23" max="23" width="21" bestFit="1" customWidth="1"/>
    <col min="24" max="30" width="4.42578125" customWidth="1"/>
    <col min="32" max="32" width="16" bestFit="1" customWidth="1"/>
    <col min="33" max="33" width="32.28515625" bestFit="1" customWidth="1"/>
    <col min="34" max="39" width="3" bestFit="1" customWidth="1"/>
  </cols>
  <sheetData>
    <row r="2" spans="2:40" x14ac:dyDescent="0.25">
      <c r="B2" s="34" t="s">
        <v>15</v>
      </c>
      <c r="C2" s="34"/>
      <c r="D2" s="34"/>
      <c r="E2" s="34"/>
      <c r="F2" s="34"/>
      <c r="G2" s="34"/>
      <c r="H2" s="34"/>
      <c r="I2" s="34"/>
      <c r="J2" s="34"/>
      <c r="L2" s="34" t="s">
        <v>42</v>
      </c>
      <c r="M2" s="34"/>
      <c r="N2" s="34"/>
      <c r="O2" s="34"/>
      <c r="P2" s="34"/>
      <c r="Q2" s="34"/>
      <c r="R2" s="34"/>
      <c r="S2" s="34"/>
      <c r="T2" s="34"/>
      <c r="V2" s="34" t="s">
        <v>69</v>
      </c>
      <c r="W2" s="34"/>
      <c r="X2" s="34"/>
      <c r="Y2" s="34"/>
      <c r="Z2" s="34"/>
      <c r="AA2" s="34"/>
      <c r="AB2" s="34"/>
      <c r="AC2" s="34"/>
      <c r="AD2" s="34"/>
    </row>
    <row r="3" spans="2:40" x14ac:dyDescent="0.25">
      <c r="B3" s="9">
        <v>1</v>
      </c>
      <c r="C3" s="2" t="s">
        <v>0</v>
      </c>
      <c r="D3" s="4">
        <f>E3+F3+G3</f>
        <v>30</v>
      </c>
      <c r="E3" s="4">
        <v>22</v>
      </c>
      <c r="F3" s="4">
        <v>2</v>
      </c>
      <c r="G3" s="4">
        <v>6</v>
      </c>
      <c r="H3" s="4">
        <v>57</v>
      </c>
      <c r="I3" s="4">
        <v>25</v>
      </c>
      <c r="J3" s="5">
        <f>E3*3+F3*1</f>
        <v>68</v>
      </c>
      <c r="L3" s="9">
        <v>1</v>
      </c>
      <c r="M3" s="2" t="s">
        <v>43</v>
      </c>
      <c r="N3" s="4">
        <v>30</v>
      </c>
      <c r="O3" s="4">
        <v>21</v>
      </c>
      <c r="P3" s="4">
        <v>7</v>
      </c>
      <c r="Q3" s="4">
        <f>N3-O3-P3</f>
        <v>2</v>
      </c>
      <c r="R3" s="4">
        <v>73</v>
      </c>
      <c r="S3" s="4">
        <v>21</v>
      </c>
      <c r="T3" s="5">
        <f>O3*3+P3*1</f>
        <v>70</v>
      </c>
      <c r="V3" s="9">
        <v>1</v>
      </c>
      <c r="W3" s="2" t="s">
        <v>32</v>
      </c>
      <c r="X3" s="4">
        <v>30</v>
      </c>
      <c r="Y3" s="4">
        <v>26</v>
      </c>
      <c r="Z3" s="4">
        <v>2</v>
      </c>
      <c r="AA3" s="4">
        <f>X3-Y3-Z3</f>
        <v>2</v>
      </c>
      <c r="AB3" s="4">
        <v>121</v>
      </c>
      <c r="AC3" s="4">
        <v>12</v>
      </c>
      <c r="AD3" s="5">
        <f>Y3*3+Z3*1</f>
        <v>80</v>
      </c>
      <c r="AF3" t="s">
        <v>105</v>
      </c>
      <c r="AG3" t="s">
        <v>103</v>
      </c>
    </row>
    <row r="4" spans="2:40" x14ac:dyDescent="0.25">
      <c r="B4" s="9">
        <v>2</v>
      </c>
      <c r="C4" s="2" t="s">
        <v>1</v>
      </c>
      <c r="D4" s="4">
        <f t="shared" ref="D4:D5" si="0">E4+F4+G4</f>
        <v>30</v>
      </c>
      <c r="E4" s="4">
        <v>18</v>
      </c>
      <c r="F4" s="4">
        <v>4</v>
      </c>
      <c r="G4" s="4">
        <v>8</v>
      </c>
      <c r="H4" s="4">
        <v>60</v>
      </c>
      <c r="I4" s="4">
        <v>44</v>
      </c>
      <c r="J4" s="5">
        <f t="shared" ref="J4:J5" si="1">E4*3+F4*1</f>
        <v>58</v>
      </c>
      <c r="L4" s="9">
        <v>2</v>
      </c>
      <c r="M4" s="2" t="s">
        <v>24</v>
      </c>
      <c r="N4" s="4">
        <v>30</v>
      </c>
      <c r="O4" s="4">
        <v>21</v>
      </c>
      <c r="P4" s="4">
        <v>6</v>
      </c>
      <c r="Q4" s="4">
        <f t="shared" ref="Q4:Q5" si="2">N4-O4-P4</f>
        <v>3</v>
      </c>
      <c r="R4" s="4">
        <v>69</v>
      </c>
      <c r="S4" s="4">
        <v>17</v>
      </c>
      <c r="T4" s="5">
        <f t="shared" ref="T4:T5" si="3">O4*3+P4*1</f>
        <v>69</v>
      </c>
      <c r="V4" s="9">
        <v>2</v>
      </c>
      <c r="W4" s="2" t="s">
        <v>18</v>
      </c>
      <c r="X4" s="4">
        <v>30</v>
      </c>
      <c r="Y4" s="4">
        <v>26</v>
      </c>
      <c r="Z4" s="4">
        <v>1</v>
      </c>
      <c r="AA4" s="4">
        <f t="shared" ref="AA4:AA5" si="4">X4-Y4-Z4</f>
        <v>3</v>
      </c>
      <c r="AB4" s="4">
        <v>115</v>
      </c>
      <c r="AC4" s="4">
        <v>16</v>
      </c>
      <c r="AD4" s="5">
        <f t="shared" ref="AD4:AD5" si="5">Y4*3+Z4*1</f>
        <v>79</v>
      </c>
      <c r="AF4" t="s">
        <v>104</v>
      </c>
      <c r="AG4" t="s">
        <v>106</v>
      </c>
    </row>
    <row r="5" spans="2:40" x14ac:dyDescent="0.25">
      <c r="B5" s="9">
        <v>3</v>
      </c>
      <c r="C5" s="2" t="s">
        <v>2</v>
      </c>
      <c r="D5" s="4">
        <f t="shared" si="0"/>
        <v>30</v>
      </c>
      <c r="E5" s="4">
        <v>16</v>
      </c>
      <c r="F5" s="4">
        <v>4</v>
      </c>
      <c r="G5" s="4">
        <v>10</v>
      </c>
      <c r="H5" s="4">
        <v>61</v>
      </c>
      <c r="I5" s="4">
        <v>38</v>
      </c>
      <c r="J5" s="5">
        <f t="shared" si="1"/>
        <v>52</v>
      </c>
      <c r="L5" s="9">
        <v>3</v>
      </c>
      <c r="M5" s="2" t="s">
        <v>18</v>
      </c>
      <c r="N5" s="4">
        <v>30</v>
      </c>
      <c r="O5" s="4">
        <v>21</v>
      </c>
      <c r="P5" s="4">
        <v>4</v>
      </c>
      <c r="Q5" s="4">
        <f t="shared" si="2"/>
        <v>5</v>
      </c>
      <c r="R5" s="4">
        <v>92</v>
      </c>
      <c r="S5" s="4">
        <v>32</v>
      </c>
      <c r="T5" s="5">
        <f t="shared" si="3"/>
        <v>67</v>
      </c>
      <c r="V5" s="9">
        <v>3</v>
      </c>
      <c r="W5" s="2" t="s">
        <v>33</v>
      </c>
      <c r="X5" s="4">
        <v>30</v>
      </c>
      <c r="Y5" s="4">
        <v>24</v>
      </c>
      <c r="Z5" s="4">
        <v>2</v>
      </c>
      <c r="AA5" s="4">
        <f t="shared" si="4"/>
        <v>4</v>
      </c>
      <c r="AB5" s="4">
        <v>91</v>
      </c>
      <c r="AC5" s="4">
        <v>21</v>
      </c>
      <c r="AD5" s="5">
        <f t="shared" si="5"/>
        <v>74</v>
      </c>
      <c r="AF5" t="s">
        <v>107</v>
      </c>
      <c r="AG5" t="s">
        <v>108</v>
      </c>
    </row>
    <row r="6" spans="2:40" x14ac:dyDescent="0.25">
      <c r="B6" s="34" t="s">
        <v>16</v>
      </c>
      <c r="C6" s="34"/>
      <c r="D6" s="34"/>
      <c r="E6" s="34"/>
      <c r="F6" s="34"/>
      <c r="G6" s="34"/>
      <c r="H6" s="34"/>
      <c r="I6" s="34"/>
      <c r="J6" s="34"/>
      <c r="L6" s="34" t="s">
        <v>44</v>
      </c>
      <c r="M6" s="34"/>
      <c r="N6" s="34"/>
      <c r="O6" s="34"/>
      <c r="P6" s="34"/>
      <c r="Q6" s="34"/>
      <c r="R6" s="34"/>
      <c r="S6" s="34"/>
      <c r="T6" s="34"/>
      <c r="V6" s="34" t="s">
        <v>74</v>
      </c>
      <c r="W6" s="34"/>
      <c r="X6" s="34"/>
      <c r="Y6" s="34"/>
      <c r="Z6" s="34"/>
      <c r="AA6" s="34"/>
      <c r="AB6" s="34"/>
      <c r="AC6" s="34"/>
      <c r="AD6" s="34"/>
      <c r="AF6" t="s">
        <v>109</v>
      </c>
      <c r="AG6" t="s">
        <v>110</v>
      </c>
    </row>
    <row r="7" spans="2:40" x14ac:dyDescent="0.25">
      <c r="B7" s="9">
        <v>1</v>
      </c>
      <c r="C7" s="2" t="s">
        <v>0</v>
      </c>
      <c r="D7" s="4">
        <f>E7+F7+G7</f>
        <v>30</v>
      </c>
      <c r="E7" s="4">
        <v>19</v>
      </c>
      <c r="F7" s="4">
        <v>8</v>
      </c>
      <c r="G7" s="4">
        <v>3</v>
      </c>
      <c r="H7" s="4">
        <v>64</v>
      </c>
      <c r="I7" s="4">
        <v>30</v>
      </c>
      <c r="J7" s="5">
        <f>E7*3+F7*1</f>
        <v>65</v>
      </c>
      <c r="L7" s="9">
        <v>1</v>
      </c>
      <c r="M7" s="2" t="s">
        <v>24</v>
      </c>
      <c r="N7" s="4">
        <v>30</v>
      </c>
      <c r="O7" s="4">
        <v>24</v>
      </c>
      <c r="P7" s="4">
        <v>4</v>
      </c>
      <c r="Q7" s="4">
        <f>N7-O7-P7</f>
        <v>2</v>
      </c>
      <c r="R7" s="4">
        <v>83</v>
      </c>
      <c r="S7" s="4">
        <v>15</v>
      </c>
      <c r="T7" s="5">
        <f>O7*3+P7*1</f>
        <v>76</v>
      </c>
      <c r="V7" s="9">
        <v>1</v>
      </c>
      <c r="W7" s="2" t="s">
        <v>32</v>
      </c>
      <c r="X7" s="4">
        <v>30</v>
      </c>
      <c r="Y7" s="4">
        <v>27</v>
      </c>
      <c r="Z7" s="4">
        <v>2</v>
      </c>
      <c r="AA7" s="4">
        <f>X7-Y7-Z7</f>
        <v>1</v>
      </c>
      <c r="AB7" s="4">
        <v>121</v>
      </c>
      <c r="AC7" s="4">
        <v>12</v>
      </c>
      <c r="AD7" s="5">
        <f>Y7*3+Z7*1</f>
        <v>83</v>
      </c>
    </row>
    <row r="8" spans="2:40" x14ac:dyDescent="0.25">
      <c r="B8" s="9">
        <v>2</v>
      </c>
      <c r="C8" s="2" t="s">
        <v>1</v>
      </c>
      <c r="D8" s="4">
        <f t="shared" ref="D8:D9" si="6">E8+F8+G8</f>
        <v>30</v>
      </c>
      <c r="E8" s="4">
        <v>17</v>
      </c>
      <c r="F8" s="4">
        <v>8</v>
      </c>
      <c r="G8" s="4">
        <v>5</v>
      </c>
      <c r="H8" s="4">
        <v>55</v>
      </c>
      <c r="I8" s="4">
        <v>23</v>
      </c>
      <c r="J8" s="5">
        <f t="shared" ref="J8:J9" si="7">E8*3+F8*1</f>
        <v>59</v>
      </c>
      <c r="L8" s="9">
        <v>2</v>
      </c>
      <c r="M8" s="2" t="s">
        <v>23</v>
      </c>
      <c r="N8" s="4">
        <v>30</v>
      </c>
      <c r="O8" s="4">
        <v>23</v>
      </c>
      <c r="P8" s="4">
        <v>4</v>
      </c>
      <c r="Q8" s="4">
        <f t="shared" ref="Q8:Q9" si="8">N8-O8-P8</f>
        <v>3</v>
      </c>
      <c r="R8" s="4">
        <v>106</v>
      </c>
      <c r="S8" s="4">
        <v>18</v>
      </c>
      <c r="T8" s="5">
        <f t="shared" ref="T8:T9" si="9">O8*3+P8*1</f>
        <v>73</v>
      </c>
      <c r="V8" s="9">
        <v>2</v>
      </c>
      <c r="W8" s="2" t="s">
        <v>18</v>
      </c>
      <c r="X8" s="4">
        <v>30</v>
      </c>
      <c r="Y8" s="4">
        <v>26</v>
      </c>
      <c r="Z8" s="4">
        <v>0</v>
      </c>
      <c r="AA8" s="4">
        <f t="shared" ref="AA8:AA9" si="10">X8-Y8-Z8</f>
        <v>4</v>
      </c>
      <c r="AB8" s="4">
        <v>115</v>
      </c>
      <c r="AC8" s="4">
        <v>16</v>
      </c>
      <c r="AD8" s="5">
        <f t="shared" ref="AD8:AD9" si="11">Y8*3+Z8*1</f>
        <v>78</v>
      </c>
      <c r="AF8" s="37" t="s">
        <v>102</v>
      </c>
      <c r="AG8" s="37"/>
      <c r="AH8" s="37"/>
      <c r="AI8" s="37"/>
      <c r="AJ8" s="37"/>
      <c r="AK8" s="37"/>
      <c r="AL8" s="37"/>
      <c r="AM8" s="37"/>
      <c r="AN8" s="37"/>
    </row>
    <row r="9" spans="2:40" x14ac:dyDescent="0.25">
      <c r="B9" s="9">
        <v>3</v>
      </c>
      <c r="C9" s="2" t="s">
        <v>3</v>
      </c>
      <c r="D9" s="4">
        <f t="shared" si="6"/>
        <v>30</v>
      </c>
      <c r="E9" s="4">
        <v>17</v>
      </c>
      <c r="F9" s="4">
        <v>4</v>
      </c>
      <c r="G9" s="4">
        <v>9</v>
      </c>
      <c r="H9" s="4">
        <v>50</v>
      </c>
      <c r="I9" s="4">
        <v>31</v>
      </c>
      <c r="J9" s="5">
        <f t="shared" si="7"/>
        <v>55</v>
      </c>
      <c r="L9" s="9">
        <v>3</v>
      </c>
      <c r="M9" s="2" t="s">
        <v>18</v>
      </c>
      <c r="N9" s="4">
        <v>30</v>
      </c>
      <c r="O9" s="4">
        <v>21</v>
      </c>
      <c r="P9" s="4">
        <v>3</v>
      </c>
      <c r="Q9" s="4">
        <f t="shared" si="8"/>
        <v>6</v>
      </c>
      <c r="R9" s="4">
        <v>104</v>
      </c>
      <c r="S9" s="4">
        <v>30</v>
      </c>
      <c r="T9" s="5">
        <f t="shared" si="9"/>
        <v>66</v>
      </c>
      <c r="V9" s="9">
        <v>3</v>
      </c>
      <c r="W9" s="2" t="s">
        <v>51</v>
      </c>
      <c r="X9" s="4">
        <v>30</v>
      </c>
      <c r="Y9" s="4">
        <v>21</v>
      </c>
      <c r="Z9" s="4">
        <v>3</v>
      </c>
      <c r="AA9" s="4">
        <f t="shared" si="10"/>
        <v>6</v>
      </c>
      <c r="AB9" s="4">
        <v>91</v>
      </c>
      <c r="AC9" s="4">
        <v>21</v>
      </c>
      <c r="AD9" s="5">
        <f t="shared" si="11"/>
        <v>66</v>
      </c>
      <c r="AF9" s="10">
        <v>1</v>
      </c>
      <c r="AG9" s="2" t="s">
        <v>18</v>
      </c>
      <c r="AH9" s="11">
        <v>16</v>
      </c>
      <c r="AI9">
        <v>17</v>
      </c>
      <c r="AJ9">
        <v>19</v>
      </c>
      <c r="AK9">
        <v>20</v>
      </c>
      <c r="AL9">
        <v>23</v>
      </c>
      <c r="AM9">
        <v>25</v>
      </c>
    </row>
    <row r="10" spans="2:40" x14ac:dyDescent="0.25">
      <c r="B10" s="34" t="s">
        <v>22</v>
      </c>
      <c r="C10" s="34"/>
      <c r="D10" s="34"/>
      <c r="E10" s="34"/>
      <c r="F10" s="34"/>
      <c r="G10" s="34"/>
      <c r="H10" s="34"/>
      <c r="I10" s="34"/>
      <c r="J10" s="34"/>
      <c r="L10" s="34" t="s">
        <v>46</v>
      </c>
      <c r="M10" s="34"/>
      <c r="N10" s="34"/>
      <c r="O10" s="34"/>
      <c r="P10" s="34"/>
      <c r="Q10" s="34"/>
      <c r="R10" s="34"/>
      <c r="S10" s="34"/>
      <c r="T10" s="34"/>
      <c r="V10" s="34" t="s">
        <v>75</v>
      </c>
      <c r="W10" s="34"/>
      <c r="X10" s="34"/>
      <c r="Y10" s="34"/>
      <c r="Z10" s="34"/>
      <c r="AA10" s="34"/>
      <c r="AB10" s="34"/>
      <c r="AC10" s="34"/>
      <c r="AD10" s="34"/>
      <c r="AF10" s="10">
        <v>2</v>
      </c>
      <c r="AG10" s="2" t="s">
        <v>4</v>
      </c>
      <c r="AH10" s="11">
        <v>7</v>
      </c>
      <c r="AI10">
        <v>8</v>
      </c>
      <c r="AJ10">
        <v>9</v>
      </c>
    </row>
    <row r="11" spans="2:40" x14ac:dyDescent="0.25">
      <c r="B11" s="9">
        <v>1</v>
      </c>
      <c r="C11" s="2" t="s">
        <v>1</v>
      </c>
      <c r="D11" s="4">
        <f>E11+F11+G11</f>
        <v>30</v>
      </c>
      <c r="E11" s="4">
        <v>19</v>
      </c>
      <c r="F11" s="4">
        <v>8</v>
      </c>
      <c r="G11" s="4">
        <v>3</v>
      </c>
      <c r="H11" s="4">
        <v>51</v>
      </c>
      <c r="I11" s="4">
        <v>22</v>
      </c>
      <c r="J11" s="5">
        <f>E11*3+F11*1</f>
        <v>65</v>
      </c>
      <c r="L11" s="9">
        <v>1</v>
      </c>
      <c r="M11" s="2" t="s">
        <v>24</v>
      </c>
      <c r="N11" s="4">
        <v>30</v>
      </c>
      <c r="O11" s="4">
        <v>27</v>
      </c>
      <c r="P11" s="4">
        <v>3</v>
      </c>
      <c r="Q11" s="4">
        <f>N11-O11-P11</f>
        <v>0</v>
      </c>
      <c r="R11" s="4">
        <v>115</v>
      </c>
      <c r="S11" s="4">
        <v>8</v>
      </c>
      <c r="T11" s="5">
        <f>O11*3+P11*1</f>
        <v>84</v>
      </c>
      <c r="V11" s="9">
        <v>1</v>
      </c>
      <c r="W11" s="2" t="s">
        <v>18</v>
      </c>
      <c r="X11" s="4">
        <v>30</v>
      </c>
      <c r="Y11" s="4">
        <v>27</v>
      </c>
      <c r="Z11" s="4">
        <v>3</v>
      </c>
      <c r="AA11" s="4">
        <f>X11-Y11-Z11</f>
        <v>0</v>
      </c>
      <c r="AB11" s="4">
        <v>112</v>
      </c>
      <c r="AC11" s="4">
        <v>14</v>
      </c>
      <c r="AD11" s="5">
        <f>Y11*3+Z11*1</f>
        <v>84</v>
      </c>
      <c r="AF11" s="10">
        <v>3</v>
      </c>
      <c r="AG11" s="2" t="s">
        <v>70</v>
      </c>
      <c r="AH11" s="11">
        <v>26</v>
      </c>
      <c r="AI11">
        <v>27</v>
      </c>
      <c r="AJ11">
        <v>28</v>
      </c>
      <c r="AK11">
        <v>30</v>
      </c>
    </row>
    <row r="12" spans="2:40" x14ac:dyDescent="0.25">
      <c r="B12" s="9">
        <v>2</v>
      </c>
      <c r="C12" s="2" t="s">
        <v>0</v>
      </c>
      <c r="D12" s="4">
        <f t="shared" ref="D12:D13" si="12">E12+F12+G12</f>
        <v>30</v>
      </c>
      <c r="E12" s="4">
        <v>16</v>
      </c>
      <c r="F12" s="4">
        <v>8</v>
      </c>
      <c r="G12" s="4">
        <v>6</v>
      </c>
      <c r="H12" s="4">
        <v>64</v>
      </c>
      <c r="I12" s="4">
        <v>32</v>
      </c>
      <c r="J12" s="5">
        <f t="shared" ref="J12:J13" si="13">E12*3+F12*1</f>
        <v>56</v>
      </c>
      <c r="L12" s="9">
        <v>2</v>
      </c>
      <c r="M12" s="2" t="s">
        <v>18</v>
      </c>
      <c r="N12" s="4">
        <v>30</v>
      </c>
      <c r="O12" s="4">
        <v>21</v>
      </c>
      <c r="P12" s="4">
        <v>5</v>
      </c>
      <c r="Q12" s="4">
        <f t="shared" ref="Q12:Q13" si="14">N12-O12-P12</f>
        <v>4</v>
      </c>
      <c r="R12" s="4">
        <v>142</v>
      </c>
      <c r="S12" s="4">
        <v>28</v>
      </c>
      <c r="T12" s="5">
        <f t="shared" ref="T12:T13" si="15">O12*3+P12*1</f>
        <v>68</v>
      </c>
      <c r="V12" s="9">
        <v>2</v>
      </c>
      <c r="W12" s="2" t="s">
        <v>32</v>
      </c>
      <c r="X12" s="4">
        <v>30</v>
      </c>
      <c r="Y12" s="4">
        <v>27</v>
      </c>
      <c r="Z12" s="4">
        <v>0</v>
      </c>
      <c r="AA12" s="4">
        <f t="shared" ref="AA12:AA13" si="16">X12-Y12-Z12</f>
        <v>3</v>
      </c>
      <c r="AB12" s="4">
        <v>119</v>
      </c>
      <c r="AC12" s="4">
        <v>19</v>
      </c>
      <c r="AD12" s="5">
        <f t="shared" ref="AD12:AD13" si="17">Y12*3+Z12*1</f>
        <v>81</v>
      </c>
      <c r="AF12" s="10">
        <v>4</v>
      </c>
      <c r="AG12" s="2" t="s">
        <v>0</v>
      </c>
      <c r="AH12" s="11">
        <v>3</v>
      </c>
      <c r="AI12" s="11">
        <v>4</v>
      </c>
    </row>
    <row r="13" spans="2:40" x14ac:dyDescent="0.25">
      <c r="B13" s="9">
        <v>3</v>
      </c>
      <c r="C13" s="2" t="s">
        <v>4</v>
      </c>
      <c r="D13" s="4">
        <f t="shared" si="12"/>
        <v>30</v>
      </c>
      <c r="E13" s="4">
        <v>16</v>
      </c>
      <c r="F13" s="4">
        <v>6</v>
      </c>
      <c r="G13" s="4">
        <v>8</v>
      </c>
      <c r="H13" s="4">
        <v>44</v>
      </c>
      <c r="I13" s="4">
        <v>28</v>
      </c>
      <c r="J13" s="5">
        <f t="shared" si="13"/>
        <v>54</v>
      </c>
      <c r="L13" s="9">
        <v>3</v>
      </c>
      <c r="M13" s="2" t="s">
        <v>33</v>
      </c>
      <c r="N13" s="4">
        <v>30</v>
      </c>
      <c r="O13" s="4">
        <v>21</v>
      </c>
      <c r="P13" s="4">
        <v>3</v>
      </c>
      <c r="Q13" s="4">
        <f t="shared" si="14"/>
        <v>6</v>
      </c>
      <c r="R13" s="4">
        <v>121</v>
      </c>
      <c r="S13" s="4">
        <v>25</v>
      </c>
      <c r="T13" s="5">
        <f t="shared" si="15"/>
        <v>66</v>
      </c>
      <c r="V13" s="9">
        <v>3</v>
      </c>
      <c r="W13" s="2" t="s">
        <v>33</v>
      </c>
      <c r="X13" s="4">
        <v>30</v>
      </c>
      <c r="Y13" s="4">
        <v>21</v>
      </c>
      <c r="Z13" s="4">
        <v>2</v>
      </c>
      <c r="AA13" s="4">
        <f t="shared" si="16"/>
        <v>7</v>
      </c>
      <c r="AB13" s="4">
        <v>71</v>
      </c>
      <c r="AC13" s="4">
        <v>26</v>
      </c>
      <c r="AD13" s="5">
        <f t="shared" si="17"/>
        <v>65</v>
      </c>
      <c r="AF13" s="10">
        <v>5</v>
      </c>
      <c r="AG13" s="2" t="s">
        <v>43</v>
      </c>
      <c r="AH13" s="11">
        <v>12</v>
      </c>
      <c r="AI13">
        <v>15</v>
      </c>
      <c r="AJ13">
        <v>29</v>
      </c>
    </row>
    <row r="14" spans="2:40" x14ac:dyDescent="0.25">
      <c r="B14" s="34" t="s">
        <v>26</v>
      </c>
      <c r="C14" s="34"/>
      <c r="D14" s="34"/>
      <c r="E14" s="34"/>
      <c r="F14" s="34"/>
      <c r="G14" s="34"/>
      <c r="H14" s="34"/>
      <c r="I14" s="34"/>
      <c r="J14" s="34"/>
      <c r="L14" s="34" t="s">
        <v>49</v>
      </c>
      <c r="M14" s="34"/>
      <c r="N14" s="34"/>
      <c r="O14" s="34"/>
      <c r="P14" s="34"/>
      <c r="Q14" s="34"/>
      <c r="R14" s="34"/>
      <c r="S14" s="34"/>
      <c r="T14" s="34"/>
      <c r="V14" s="34" t="s">
        <v>77</v>
      </c>
      <c r="W14" s="34"/>
      <c r="X14" s="34"/>
      <c r="Y14" s="34"/>
      <c r="Z14" s="34"/>
      <c r="AA14" s="34"/>
      <c r="AB14" s="34"/>
      <c r="AC14" s="34"/>
      <c r="AD14" s="34"/>
      <c r="AF14" s="10">
        <v>6</v>
      </c>
      <c r="AG14" s="2" t="s">
        <v>24</v>
      </c>
      <c r="AH14" s="11">
        <v>13</v>
      </c>
      <c r="AI14">
        <v>14</v>
      </c>
    </row>
    <row r="15" spans="2:40" x14ac:dyDescent="0.25">
      <c r="B15" s="9">
        <v>1</v>
      </c>
      <c r="C15" s="2" t="s">
        <v>3</v>
      </c>
      <c r="D15" s="4">
        <v>30</v>
      </c>
      <c r="E15" s="4">
        <v>19</v>
      </c>
      <c r="F15" s="4">
        <v>4</v>
      </c>
      <c r="G15" s="4">
        <f>D15-E15-F15</f>
        <v>7</v>
      </c>
      <c r="H15" s="4">
        <v>54</v>
      </c>
      <c r="I15" s="4">
        <v>28</v>
      </c>
      <c r="J15" s="5">
        <f>E15*3+F15*1</f>
        <v>61</v>
      </c>
      <c r="L15" s="9">
        <v>1</v>
      </c>
      <c r="M15" s="2" t="s">
        <v>43</v>
      </c>
      <c r="N15" s="4">
        <v>30</v>
      </c>
      <c r="O15" s="4">
        <v>25</v>
      </c>
      <c r="P15" s="4">
        <v>3</v>
      </c>
      <c r="Q15" s="4">
        <f>N15-O15-P15</f>
        <v>2</v>
      </c>
      <c r="R15" s="4">
        <v>104</v>
      </c>
      <c r="S15" s="4">
        <v>15</v>
      </c>
      <c r="T15" s="5">
        <f>O15*3+P15*1</f>
        <v>78</v>
      </c>
      <c r="V15" s="9">
        <v>1</v>
      </c>
      <c r="W15" s="2" t="s">
        <v>64</v>
      </c>
      <c r="X15" s="4">
        <v>30</v>
      </c>
      <c r="Y15" s="4">
        <v>26</v>
      </c>
      <c r="Z15" s="4">
        <v>2</v>
      </c>
      <c r="AA15" s="4">
        <f>X15-Y15-Z15</f>
        <v>2</v>
      </c>
      <c r="AB15" s="4">
        <v>103</v>
      </c>
      <c r="AC15" s="4">
        <v>16</v>
      </c>
      <c r="AD15" s="5">
        <f>Y15*3+Z15*1</f>
        <v>80</v>
      </c>
      <c r="AF15" s="10">
        <v>7</v>
      </c>
      <c r="AG15" s="2" t="s">
        <v>32</v>
      </c>
      <c r="AH15" s="11">
        <v>21</v>
      </c>
      <c r="AI15">
        <v>22</v>
      </c>
    </row>
    <row r="16" spans="2:40" x14ac:dyDescent="0.25">
      <c r="B16" s="9">
        <v>2</v>
      </c>
      <c r="C16" s="2" t="s">
        <v>24</v>
      </c>
      <c r="D16" s="4">
        <v>30</v>
      </c>
      <c r="E16" s="4">
        <v>15</v>
      </c>
      <c r="F16" s="4">
        <v>10</v>
      </c>
      <c r="G16" s="4">
        <f>D16-E16-F16</f>
        <v>5</v>
      </c>
      <c r="H16" s="4">
        <v>39</v>
      </c>
      <c r="I16" s="4">
        <v>26</v>
      </c>
      <c r="J16" s="5">
        <f t="shared" ref="J16:J17" si="18">E16*3+F16*1</f>
        <v>55</v>
      </c>
      <c r="L16" s="9">
        <v>2</v>
      </c>
      <c r="M16" s="2" t="s">
        <v>24</v>
      </c>
      <c r="N16" s="4">
        <v>30</v>
      </c>
      <c r="O16" s="4">
        <v>24</v>
      </c>
      <c r="P16" s="4">
        <v>3</v>
      </c>
      <c r="Q16" s="4">
        <f t="shared" ref="Q16:Q17" si="19">N16-O16-P16</f>
        <v>3</v>
      </c>
      <c r="R16" s="4">
        <v>103</v>
      </c>
      <c r="S16" s="4">
        <v>26</v>
      </c>
      <c r="T16" s="5">
        <f t="shared" ref="T16:T17" si="20">O16*3+P16*1</f>
        <v>75</v>
      </c>
      <c r="V16" s="9">
        <v>2</v>
      </c>
      <c r="W16" s="2" t="s">
        <v>18</v>
      </c>
      <c r="X16" s="4">
        <v>30</v>
      </c>
      <c r="Y16" s="4">
        <v>25</v>
      </c>
      <c r="Z16" s="4">
        <v>3</v>
      </c>
      <c r="AA16" s="4">
        <f t="shared" ref="AA16:AA17" si="21">X16-Y16-Z16</f>
        <v>2</v>
      </c>
      <c r="AB16" s="4">
        <v>106</v>
      </c>
      <c r="AC16" s="4">
        <v>19</v>
      </c>
      <c r="AD16" s="5">
        <f t="shared" ref="AD16:AD17" si="22">Y16*3+Z16*1</f>
        <v>78</v>
      </c>
      <c r="AF16" s="10">
        <v>8</v>
      </c>
      <c r="AG16" s="2" t="s">
        <v>1</v>
      </c>
      <c r="AH16" s="11">
        <v>5</v>
      </c>
    </row>
    <row r="17" spans="2:35" x14ac:dyDescent="0.25">
      <c r="B17" s="9">
        <v>3</v>
      </c>
      <c r="C17" s="2" t="s">
        <v>23</v>
      </c>
      <c r="D17" s="4">
        <v>30</v>
      </c>
      <c r="E17" s="4">
        <v>16</v>
      </c>
      <c r="F17" s="4">
        <v>7</v>
      </c>
      <c r="G17" s="4">
        <f>D17-E17-F17</f>
        <v>7</v>
      </c>
      <c r="H17" s="4">
        <v>37</v>
      </c>
      <c r="I17" s="4">
        <v>27</v>
      </c>
      <c r="J17" s="5">
        <f t="shared" si="18"/>
        <v>55</v>
      </c>
      <c r="L17" s="9">
        <v>3</v>
      </c>
      <c r="M17" s="2" t="s">
        <v>18</v>
      </c>
      <c r="N17" s="4">
        <v>30</v>
      </c>
      <c r="O17" s="4">
        <v>22</v>
      </c>
      <c r="P17" s="4">
        <v>4</v>
      </c>
      <c r="Q17" s="4">
        <f t="shared" si="19"/>
        <v>4</v>
      </c>
      <c r="R17" s="4">
        <v>120</v>
      </c>
      <c r="S17" s="4">
        <v>27</v>
      </c>
      <c r="T17" s="5">
        <f t="shared" si="20"/>
        <v>70</v>
      </c>
      <c r="V17" s="9">
        <v>3</v>
      </c>
      <c r="W17" s="2" t="s">
        <v>32</v>
      </c>
      <c r="X17" s="4">
        <v>30</v>
      </c>
      <c r="Y17" s="4">
        <v>25</v>
      </c>
      <c r="Z17" s="4">
        <v>2</v>
      </c>
      <c r="AA17" s="4">
        <f t="shared" si="21"/>
        <v>3</v>
      </c>
      <c r="AB17" s="4">
        <v>81</v>
      </c>
      <c r="AC17" s="4">
        <v>22</v>
      </c>
      <c r="AD17" s="5">
        <f t="shared" si="22"/>
        <v>77</v>
      </c>
      <c r="AF17" s="10">
        <v>9</v>
      </c>
      <c r="AG17" s="2" t="s">
        <v>3</v>
      </c>
      <c r="AH17" s="11">
        <v>6</v>
      </c>
    </row>
    <row r="18" spans="2:35" x14ac:dyDescent="0.25">
      <c r="B18" s="34" t="s">
        <v>29</v>
      </c>
      <c r="C18" s="34"/>
      <c r="D18" s="34"/>
      <c r="E18" s="34"/>
      <c r="F18" s="34"/>
      <c r="G18" s="34"/>
      <c r="H18" s="34"/>
      <c r="I18" s="34"/>
      <c r="J18" s="34"/>
      <c r="L18" s="34" t="s">
        <v>54</v>
      </c>
      <c r="M18" s="34"/>
      <c r="N18" s="34"/>
      <c r="O18" s="34"/>
      <c r="P18" s="34"/>
      <c r="Q18" s="34"/>
      <c r="R18" s="34"/>
      <c r="S18" s="34"/>
      <c r="T18" s="34"/>
      <c r="V18" s="34" t="s">
        <v>91</v>
      </c>
      <c r="W18" s="34"/>
      <c r="X18" s="34"/>
      <c r="Y18" s="34"/>
      <c r="Z18" s="34"/>
      <c r="AA18" s="34"/>
      <c r="AB18" s="34"/>
      <c r="AC18" s="34"/>
      <c r="AD18" s="34"/>
      <c r="AF18" s="10">
        <v>10</v>
      </c>
      <c r="AG18" s="2" t="s">
        <v>6</v>
      </c>
      <c r="AH18" s="11">
        <v>10</v>
      </c>
    </row>
    <row r="19" spans="2:35" x14ac:dyDescent="0.25">
      <c r="B19" s="9">
        <v>1</v>
      </c>
      <c r="C19" s="2" t="s">
        <v>4</v>
      </c>
      <c r="D19" s="4">
        <v>30</v>
      </c>
      <c r="E19" s="4">
        <v>19</v>
      </c>
      <c r="F19" s="4">
        <v>8</v>
      </c>
      <c r="G19" s="4">
        <f>D19-E19-F19</f>
        <v>3</v>
      </c>
      <c r="H19" s="4">
        <v>48</v>
      </c>
      <c r="I19" s="4">
        <v>24</v>
      </c>
      <c r="J19" s="5">
        <f>E19*3+F19*1</f>
        <v>65</v>
      </c>
      <c r="L19" s="9">
        <v>1</v>
      </c>
      <c r="M19" s="2" t="s">
        <v>18</v>
      </c>
      <c r="N19" s="4">
        <v>30</v>
      </c>
      <c r="O19" s="4">
        <v>27</v>
      </c>
      <c r="P19" s="4">
        <v>1</v>
      </c>
      <c r="Q19" s="4">
        <f>N19-O19-P19</f>
        <v>2</v>
      </c>
      <c r="R19" s="4">
        <v>163</v>
      </c>
      <c r="S19" s="4">
        <v>16</v>
      </c>
      <c r="T19" s="5">
        <f>O19*3+P19*1</f>
        <v>82</v>
      </c>
      <c r="V19" s="9">
        <v>1</v>
      </c>
      <c r="W19" s="2" t="s">
        <v>18</v>
      </c>
      <c r="X19" s="4">
        <v>30</v>
      </c>
      <c r="Y19" s="4">
        <v>25</v>
      </c>
      <c r="Z19" s="4">
        <v>2</v>
      </c>
      <c r="AA19" s="4">
        <f>X19-Y19-Z19</f>
        <v>3</v>
      </c>
      <c r="AB19" s="4">
        <v>97</v>
      </c>
      <c r="AC19" s="4">
        <v>17</v>
      </c>
      <c r="AD19" s="5">
        <f>Y19*3+Z19*1</f>
        <v>77</v>
      </c>
      <c r="AF19" s="10">
        <v>11</v>
      </c>
      <c r="AG19" s="2" t="s">
        <v>23</v>
      </c>
      <c r="AH19" s="11">
        <v>11</v>
      </c>
    </row>
    <row r="20" spans="2:35" x14ac:dyDescent="0.25">
      <c r="B20" s="9">
        <v>2</v>
      </c>
      <c r="C20" s="2" t="s">
        <v>0</v>
      </c>
      <c r="D20" s="4">
        <v>30</v>
      </c>
      <c r="E20" s="4">
        <v>16</v>
      </c>
      <c r="F20" s="4">
        <v>10</v>
      </c>
      <c r="G20" s="4">
        <f>D20-E20-F20</f>
        <v>4</v>
      </c>
      <c r="H20" s="4">
        <v>47</v>
      </c>
      <c r="I20" s="4">
        <v>24</v>
      </c>
      <c r="J20" s="5">
        <f t="shared" ref="J20:J21" si="23">E20*3+F20*1</f>
        <v>58</v>
      </c>
      <c r="L20" s="9">
        <v>2</v>
      </c>
      <c r="M20" s="2" t="s">
        <v>43</v>
      </c>
      <c r="N20" s="4">
        <v>30</v>
      </c>
      <c r="O20" s="4">
        <v>25</v>
      </c>
      <c r="P20" s="4">
        <v>2</v>
      </c>
      <c r="Q20" s="4">
        <f t="shared" ref="Q20:Q21" si="24">N20-O20-P20</f>
        <v>3</v>
      </c>
      <c r="R20" s="4">
        <v>108</v>
      </c>
      <c r="S20" s="4">
        <v>17</v>
      </c>
      <c r="T20" s="5">
        <f t="shared" ref="T20:T21" si="25">O20*3+P20*1</f>
        <v>77</v>
      </c>
      <c r="V20" s="9">
        <v>2</v>
      </c>
      <c r="W20" s="2" t="s">
        <v>32</v>
      </c>
      <c r="X20" s="4">
        <v>30</v>
      </c>
      <c r="Y20" s="4">
        <v>25</v>
      </c>
      <c r="Z20" s="4">
        <v>1</v>
      </c>
      <c r="AA20" s="4">
        <f t="shared" ref="AA20:AA21" si="26">X20-Y20-Z20</f>
        <v>4</v>
      </c>
      <c r="AB20" s="4">
        <v>109</v>
      </c>
      <c r="AC20" s="4">
        <v>32</v>
      </c>
      <c r="AD20" s="5">
        <f t="shared" ref="AD20:AD21" si="27">Y20*3+Z20*1</f>
        <v>76</v>
      </c>
      <c r="AF20" s="10">
        <v>12</v>
      </c>
      <c r="AG20" s="2" t="s">
        <v>33</v>
      </c>
      <c r="AH20" s="11">
        <v>18</v>
      </c>
    </row>
    <row r="21" spans="2:35" x14ac:dyDescent="0.25">
      <c r="B21" s="9">
        <v>3</v>
      </c>
      <c r="C21" s="2" t="s">
        <v>23</v>
      </c>
      <c r="D21" s="4">
        <v>30</v>
      </c>
      <c r="E21" s="4">
        <v>16</v>
      </c>
      <c r="F21" s="4">
        <v>7</v>
      </c>
      <c r="G21" s="4">
        <f>D21-E21-F21</f>
        <v>7</v>
      </c>
      <c r="H21" s="4">
        <v>50</v>
      </c>
      <c r="I21" s="4">
        <v>33</v>
      </c>
      <c r="J21" s="5">
        <f t="shared" si="23"/>
        <v>55</v>
      </c>
      <c r="L21" s="9">
        <v>3</v>
      </c>
      <c r="M21" s="2" t="s">
        <v>32</v>
      </c>
      <c r="N21" s="4">
        <v>30</v>
      </c>
      <c r="O21" s="4">
        <v>21</v>
      </c>
      <c r="P21" s="4">
        <v>7</v>
      </c>
      <c r="Q21" s="4">
        <f t="shared" si="24"/>
        <v>2</v>
      </c>
      <c r="R21" s="4">
        <v>104</v>
      </c>
      <c r="S21" s="4">
        <v>17</v>
      </c>
      <c r="T21" s="5">
        <f t="shared" si="25"/>
        <v>70</v>
      </c>
      <c r="V21" s="9">
        <v>3</v>
      </c>
      <c r="W21" s="2" t="s">
        <v>64</v>
      </c>
      <c r="X21" s="4">
        <v>30</v>
      </c>
      <c r="Y21" s="4">
        <v>24</v>
      </c>
      <c r="Z21" s="4">
        <v>2</v>
      </c>
      <c r="AA21" s="4">
        <f t="shared" si="26"/>
        <v>4</v>
      </c>
      <c r="AB21" s="4">
        <v>108</v>
      </c>
      <c r="AC21" s="4">
        <v>25</v>
      </c>
      <c r="AD21" s="5">
        <f t="shared" si="27"/>
        <v>74</v>
      </c>
      <c r="AF21" s="10">
        <v>13</v>
      </c>
      <c r="AG21" s="2" t="s">
        <v>64</v>
      </c>
      <c r="AH21" s="11">
        <v>24</v>
      </c>
      <c r="AI21">
        <v>31</v>
      </c>
    </row>
    <row r="22" spans="2:35" x14ac:dyDescent="0.25">
      <c r="B22" s="34" t="s">
        <v>31</v>
      </c>
      <c r="C22" s="34"/>
      <c r="D22" s="34"/>
      <c r="E22" s="34"/>
      <c r="F22" s="34"/>
      <c r="G22" s="34"/>
      <c r="H22" s="34"/>
      <c r="I22" s="34"/>
      <c r="J22" s="34"/>
      <c r="L22" s="34" t="s">
        <v>57</v>
      </c>
      <c r="M22" s="34"/>
      <c r="N22" s="34"/>
      <c r="O22" s="34"/>
      <c r="P22" s="34"/>
      <c r="Q22" s="34"/>
      <c r="R22" s="34"/>
      <c r="S22" s="34"/>
      <c r="T22" s="34"/>
      <c r="V22" s="34" t="s">
        <v>94</v>
      </c>
      <c r="W22" s="34"/>
      <c r="X22" s="34"/>
      <c r="Y22" s="34"/>
      <c r="Z22" s="34"/>
      <c r="AA22" s="34"/>
      <c r="AB22" s="34"/>
      <c r="AC22" s="34"/>
      <c r="AD22" s="34"/>
      <c r="AF22" s="10">
        <v>14</v>
      </c>
      <c r="AG22" t="s">
        <v>92</v>
      </c>
      <c r="AH22" s="11">
        <v>32</v>
      </c>
    </row>
    <row r="23" spans="2:35" x14ac:dyDescent="0.25">
      <c r="B23" s="9">
        <v>1</v>
      </c>
      <c r="C23" s="2" t="s">
        <v>4</v>
      </c>
      <c r="D23" s="4">
        <v>30</v>
      </c>
      <c r="E23" s="4">
        <v>20</v>
      </c>
      <c r="F23" s="4">
        <v>3</v>
      </c>
      <c r="G23" s="4">
        <f>D23-E23-F23</f>
        <v>7</v>
      </c>
      <c r="H23" s="4">
        <v>67</v>
      </c>
      <c r="I23" s="4">
        <v>29</v>
      </c>
      <c r="J23" s="5">
        <f>E23*3+F23*1</f>
        <v>63</v>
      </c>
      <c r="L23" s="9">
        <v>1</v>
      </c>
      <c r="M23" s="2" t="s">
        <v>18</v>
      </c>
      <c r="N23" s="4">
        <v>30</v>
      </c>
      <c r="O23" s="4">
        <v>23</v>
      </c>
      <c r="P23" s="4">
        <v>4</v>
      </c>
      <c r="Q23" s="4">
        <f>N23-O23-P23</f>
        <v>3</v>
      </c>
      <c r="R23" s="4">
        <v>144</v>
      </c>
      <c r="S23" s="4">
        <v>23</v>
      </c>
      <c r="T23" s="5">
        <f>O23*3+P23*1</f>
        <v>73</v>
      </c>
      <c r="V23" s="9">
        <v>1</v>
      </c>
      <c r="W23" s="2" t="s">
        <v>70</v>
      </c>
      <c r="X23" s="4">
        <v>30</v>
      </c>
      <c r="Y23" s="4">
        <v>25</v>
      </c>
      <c r="Z23" s="4">
        <v>0</v>
      </c>
      <c r="AA23" s="4">
        <f>X23-Y23-Z23</f>
        <v>5</v>
      </c>
      <c r="AB23" s="4">
        <v>118</v>
      </c>
      <c r="AC23" s="4">
        <v>18</v>
      </c>
      <c r="AD23" s="5">
        <f>Y23*3+Z23*1</f>
        <v>75</v>
      </c>
    </row>
    <row r="24" spans="2:35" x14ac:dyDescent="0.25">
      <c r="B24" s="9">
        <v>2</v>
      </c>
      <c r="C24" s="2" t="s">
        <v>24</v>
      </c>
      <c r="D24" s="4">
        <v>30</v>
      </c>
      <c r="E24" s="4">
        <v>19</v>
      </c>
      <c r="F24" s="4">
        <v>4</v>
      </c>
      <c r="G24" s="4">
        <f>D24-E24-F24</f>
        <v>7</v>
      </c>
      <c r="H24" s="4">
        <v>59</v>
      </c>
      <c r="I24" s="4">
        <v>32</v>
      </c>
      <c r="J24" s="5">
        <f t="shared" ref="J24:J25" si="28">E24*3+F24*1</f>
        <v>61</v>
      </c>
      <c r="L24" s="9">
        <v>2</v>
      </c>
      <c r="M24" s="2" t="s">
        <v>33</v>
      </c>
      <c r="N24" s="4">
        <v>30</v>
      </c>
      <c r="O24" s="4">
        <v>22</v>
      </c>
      <c r="P24" s="4">
        <v>5</v>
      </c>
      <c r="Q24" s="4">
        <f t="shared" ref="Q24:Q25" si="29">N24-O24-P24</f>
        <v>3</v>
      </c>
      <c r="R24" s="4">
        <v>107</v>
      </c>
      <c r="S24" s="4">
        <v>19</v>
      </c>
      <c r="T24" s="5">
        <f t="shared" ref="T24:T25" si="30">O24*3+P24*1</f>
        <v>71</v>
      </c>
      <c r="V24" s="9">
        <v>2</v>
      </c>
      <c r="W24" s="2" t="s">
        <v>43</v>
      </c>
      <c r="X24" s="4">
        <v>30</v>
      </c>
      <c r="Y24" s="4">
        <v>25</v>
      </c>
      <c r="Z24" s="4">
        <v>0</v>
      </c>
      <c r="AA24" s="4">
        <f t="shared" ref="AA24:AA25" si="31">X24-Y24-Z24</f>
        <v>5</v>
      </c>
      <c r="AB24" s="4">
        <v>110</v>
      </c>
      <c r="AC24" s="4">
        <v>20</v>
      </c>
      <c r="AD24" s="5">
        <f t="shared" ref="AD24:AD25" si="32">Y24*3+Z24*1</f>
        <v>75</v>
      </c>
    </row>
    <row r="25" spans="2:35" x14ac:dyDescent="0.25">
      <c r="B25" s="9">
        <v>3</v>
      </c>
      <c r="C25" s="2" t="s">
        <v>32</v>
      </c>
      <c r="D25" s="4">
        <v>30</v>
      </c>
      <c r="E25" s="4">
        <v>17</v>
      </c>
      <c r="F25" s="4">
        <v>8</v>
      </c>
      <c r="G25" s="4">
        <f>D25-E25-F25</f>
        <v>5</v>
      </c>
      <c r="H25" s="4">
        <v>60</v>
      </c>
      <c r="I25" s="4">
        <v>26</v>
      </c>
      <c r="J25" s="5">
        <f t="shared" si="28"/>
        <v>59</v>
      </c>
      <c r="L25" s="9">
        <v>3</v>
      </c>
      <c r="M25" s="2" t="s">
        <v>32</v>
      </c>
      <c r="N25" s="4">
        <v>30</v>
      </c>
      <c r="O25" s="4">
        <v>20</v>
      </c>
      <c r="P25" s="4">
        <v>9</v>
      </c>
      <c r="Q25" s="4">
        <f t="shared" si="29"/>
        <v>1</v>
      </c>
      <c r="R25" s="4">
        <v>121</v>
      </c>
      <c r="S25" s="4">
        <v>19</v>
      </c>
      <c r="T25" s="5">
        <f t="shared" si="30"/>
        <v>69</v>
      </c>
      <c r="V25" s="9">
        <v>3</v>
      </c>
      <c r="W25" s="2" t="s">
        <v>64</v>
      </c>
      <c r="X25" s="4">
        <v>30</v>
      </c>
      <c r="Y25" s="4">
        <v>24</v>
      </c>
      <c r="Z25" s="4">
        <v>2</v>
      </c>
      <c r="AA25" s="4">
        <f t="shared" si="31"/>
        <v>4</v>
      </c>
      <c r="AB25" s="4">
        <v>138</v>
      </c>
      <c r="AC25" s="4">
        <v>21</v>
      </c>
      <c r="AD25" s="5">
        <f t="shared" si="32"/>
        <v>74</v>
      </c>
    </row>
    <row r="26" spans="2:35" x14ac:dyDescent="0.25">
      <c r="B26" s="34" t="s">
        <v>35</v>
      </c>
      <c r="C26" s="34"/>
      <c r="D26" s="34"/>
      <c r="E26" s="34"/>
      <c r="F26" s="34"/>
      <c r="G26" s="34"/>
      <c r="H26" s="34"/>
      <c r="I26" s="34"/>
      <c r="J26" s="34"/>
      <c r="L26" s="34" t="s">
        <v>60</v>
      </c>
      <c r="M26" s="34"/>
      <c r="N26" s="34"/>
      <c r="O26" s="34"/>
      <c r="P26" s="34"/>
      <c r="Q26" s="34"/>
      <c r="R26" s="34"/>
      <c r="S26" s="34"/>
      <c r="T26" s="34"/>
      <c r="V26" s="34" t="s">
        <v>111</v>
      </c>
      <c r="W26" s="34"/>
      <c r="X26" s="34"/>
      <c r="Y26" s="34"/>
      <c r="Z26" s="34"/>
      <c r="AA26" s="34"/>
      <c r="AB26" s="34"/>
      <c r="AC26" s="34"/>
      <c r="AD26" s="34"/>
    </row>
    <row r="27" spans="2:35" x14ac:dyDescent="0.25">
      <c r="B27" s="9">
        <v>1</v>
      </c>
      <c r="C27" s="2" t="s">
        <v>4</v>
      </c>
      <c r="D27" s="4">
        <v>30</v>
      </c>
      <c r="E27" s="4">
        <v>21</v>
      </c>
      <c r="F27" s="4">
        <v>5</v>
      </c>
      <c r="G27" s="4">
        <f>D27-E27-F27</f>
        <v>4</v>
      </c>
      <c r="H27" s="4">
        <v>60</v>
      </c>
      <c r="I27" s="4">
        <v>28</v>
      </c>
      <c r="J27" s="5">
        <f>E27*3+F27*1</f>
        <v>68</v>
      </c>
      <c r="L27" s="9">
        <v>1</v>
      </c>
      <c r="M27" s="2" t="s">
        <v>33</v>
      </c>
      <c r="N27" s="4">
        <v>30</v>
      </c>
      <c r="O27" s="4">
        <v>28</v>
      </c>
      <c r="P27" s="4">
        <v>1</v>
      </c>
      <c r="Q27" s="4">
        <f>N27-O27-P27</f>
        <v>1</v>
      </c>
      <c r="R27" s="4">
        <v>121</v>
      </c>
      <c r="S27" s="4">
        <v>13</v>
      </c>
      <c r="T27" s="5">
        <f>O27*3+P27*1</f>
        <v>85</v>
      </c>
      <c r="V27" s="9">
        <v>1</v>
      </c>
      <c r="W27" s="2" t="s">
        <v>70</v>
      </c>
      <c r="X27" s="4">
        <v>30</v>
      </c>
      <c r="Y27" s="4">
        <v>27</v>
      </c>
      <c r="Z27" s="4">
        <v>1</v>
      </c>
      <c r="AA27" s="4">
        <f>X27-Y27-Z27</f>
        <v>2</v>
      </c>
      <c r="AB27" s="4">
        <v>118</v>
      </c>
      <c r="AC27" s="4">
        <v>18</v>
      </c>
      <c r="AD27" s="5">
        <f>Y27*3+Z27*1</f>
        <v>82</v>
      </c>
    </row>
    <row r="28" spans="2:35" x14ac:dyDescent="0.25">
      <c r="B28" s="9">
        <v>2</v>
      </c>
      <c r="C28" s="2" t="s">
        <v>0</v>
      </c>
      <c r="D28" s="4">
        <v>30</v>
      </c>
      <c r="E28" s="4">
        <v>17</v>
      </c>
      <c r="F28" s="4">
        <v>9</v>
      </c>
      <c r="G28" s="4">
        <f>D28-E28-F28</f>
        <v>4</v>
      </c>
      <c r="H28" s="4">
        <v>60</v>
      </c>
      <c r="I28" s="4">
        <v>29</v>
      </c>
      <c r="J28" s="5">
        <f t="shared" ref="J28:J29" si="33">E28*3+F28*1</f>
        <v>60</v>
      </c>
      <c r="L28" s="9">
        <v>2</v>
      </c>
      <c r="M28" s="2" t="s">
        <v>18</v>
      </c>
      <c r="N28" s="4">
        <v>30</v>
      </c>
      <c r="O28" s="4">
        <v>25</v>
      </c>
      <c r="P28" s="4">
        <v>3</v>
      </c>
      <c r="Q28" s="4">
        <f t="shared" ref="Q28:Q29" si="34">N28-O28-P28</f>
        <v>2</v>
      </c>
      <c r="R28" s="4">
        <v>128</v>
      </c>
      <c r="S28" s="4">
        <v>20</v>
      </c>
      <c r="T28" s="5">
        <f t="shared" ref="T28:T29" si="35">O28*3+P28*1</f>
        <v>78</v>
      </c>
      <c r="V28" s="9">
        <v>2</v>
      </c>
      <c r="W28" s="2" t="s">
        <v>33</v>
      </c>
      <c r="X28" s="4">
        <v>30</v>
      </c>
      <c r="Y28" s="4">
        <v>25</v>
      </c>
      <c r="Z28" s="4">
        <v>3</v>
      </c>
      <c r="AA28" s="4">
        <f t="shared" ref="AA28:AA29" si="36">X28-Y28-Z28</f>
        <v>2</v>
      </c>
      <c r="AB28" s="4">
        <v>110</v>
      </c>
      <c r="AC28" s="4">
        <v>20</v>
      </c>
      <c r="AD28" s="5">
        <f t="shared" ref="AD28:AD29" si="37">Y28*3+Z28*1</f>
        <v>78</v>
      </c>
    </row>
    <row r="29" spans="2:35" x14ac:dyDescent="0.25">
      <c r="B29" s="9">
        <v>3</v>
      </c>
      <c r="C29" s="2" t="s">
        <v>18</v>
      </c>
      <c r="D29" s="4">
        <v>30</v>
      </c>
      <c r="E29" s="4">
        <v>17</v>
      </c>
      <c r="F29" s="4">
        <v>9</v>
      </c>
      <c r="G29" s="4">
        <f>D29-E29-F29</f>
        <v>4</v>
      </c>
      <c r="H29" s="4">
        <v>62</v>
      </c>
      <c r="I29" s="4">
        <v>35</v>
      </c>
      <c r="J29" s="5">
        <f t="shared" si="33"/>
        <v>60</v>
      </c>
      <c r="L29" s="9">
        <v>3</v>
      </c>
      <c r="M29" s="2" t="s">
        <v>32</v>
      </c>
      <c r="N29" s="4">
        <v>30</v>
      </c>
      <c r="O29" s="4">
        <v>23</v>
      </c>
      <c r="P29" s="4">
        <v>2</v>
      </c>
      <c r="Q29" s="4">
        <f t="shared" si="34"/>
        <v>5</v>
      </c>
      <c r="R29" s="4">
        <v>105</v>
      </c>
      <c r="S29" s="4">
        <v>23</v>
      </c>
      <c r="T29" s="5">
        <f t="shared" si="35"/>
        <v>71</v>
      </c>
      <c r="V29" s="9">
        <v>3</v>
      </c>
      <c r="W29" s="2" t="s">
        <v>64</v>
      </c>
      <c r="X29" s="4">
        <v>30</v>
      </c>
      <c r="Y29" s="4">
        <v>23</v>
      </c>
      <c r="Z29" s="4">
        <v>1</v>
      </c>
      <c r="AA29" s="4">
        <f t="shared" si="36"/>
        <v>6</v>
      </c>
      <c r="AB29" s="4">
        <v>138</v>
      </c>
      <c r="AC29" s="4">
        <v>21</v>
      </c>
      <c r="AD29" s="5">
        <f t="shared" si="37"/>
        <v>70</v>
      </c>
    </row>
    <row r="30" spans="2:35" x14ac:dyDescent="0.25">
      <c r="B30" s="34" t="s">
        <v>37</v>
      </c>
      <c r="C30" s="34"/>
      <c r="D30" s="34"/>
      <c r="E30" s="34"/>
      <c r="F30" s="34"/>
      <c r="G30" s="34"/>
      <c r="H30" s="34"/>
      <c r="I30" s="34"/>
      <c r="J30" s="34"/>
      <c r="L30" s="34" t="s">
        <v>63</v>
      </c>
      <c r="M30" s="34"/>
      <c r="N30" s="34"/>
      <c r="O30" s="34"/>
      <c r="P30" s="34"/>
      <c r="Q30" s="34"/>
      <c r="R30" s="34"/>
      <c r="S30" s="34"/>
      <c r="T30" s="34"/>
      <c r="V30" s="34" t="s">
        <v>113</v>
      </c>
      <c r="W30" s="34"/>
      <c r="X30" s="34"/>
      <c r="Y30" s="34"/>
      <c r="Z30" s="34"/>
      <c r="AA30" s="34"/>
      <c r="AB30" s="34"/>
      <c r="AC30" s="34"/>
      <c r="AD30" s="34"/>
    </row>
    <row r="31" spans="2:35" x14ac:dyDescent="0.25">
      <c r="B31" s="9">
        <v>1</v>
      </c>
      <c r="C31" s="2" t="s">
        <v>6</v>
      </c>
      <c r="D31" s="4">
        <v>30</v>
      </c>
      <c r="E31" s="4">
        <v>19</v>
      </c>
      <c r="F31" s="4">
        <v>2</v>
      </c>
      <c r="G31" s="4">
        <f>D31-E31-F31</f>
        <v>9</v>
      </c>
      <c r="H31" s="4">
        <v>58</v>
      </c>
      <c r="I31" s="4">
        <v>43</v>
      </c>
      <c r="J31" s="5">
        <f>E31*3+F31*1</f>
        <v>59</v>
      </c>
      <c r="L31" s="9">
        <v>1</v>
      </c>
      <c r="M31" s="2" t="s">
        <v>18</v>
      </c>
      <c r="N31" s="4">
        <v>30</v>
      </c>
      <c r="O31" s="4">
        <v>26</v>
      </c>
      <c r="P31" s="4">
        <v>2</v>
      </c>
      <c r="Q31" s="4">
        <f>N31-O31-P31</f>
        <v>2</v>
      </c>
      <c r="R31" s="4">
        <v>136</v>
      </c>
      <c r="S31" s="4">
        <v>14</v>
      </c>
      <c r="T31" s="5">
        <f>O31*3+P31*1</f>
        <v>80</v>
      </c>
      <c r="V31" s="9">
        <v>1</v>
      </c>
      <c r="W31" s="2" t="s">
        <v>70</v>
      </c>
      <c r="X31" s="4">
        <v>30</v>
      </c>
      <c r="Y31" s="4">
        <v>24</v>
      </c>
      <c r="Z31" s="4">
        <v>1</v>
      </c>
      <c r="AA31" s="4">
        <f>X31-Y31-Z31</f>
        <v>5</v>
      </c>
      <c r="AB31" s="4">
        <v>126</v>
      </c>
      <c r="AC31" s="4">
        <v>27</v>
      </c>
      <c r="AD31" s="5">
        <f>Y31*3+Z31*1</f>
        <v>73</v>
      </c>
    </row>
    <row r="32" spans="2:35" x14ac:dyDescent="0.25">
      <c r="B32" s="9">
        <v>2</v>
      </c>
      <c r="C32" s="2" t="s">
        <v>0</v>
      </c>
      <c r="D32" s="4">
        <v>30</v>
      </c>
      <c r="E32" s="4">
        <v>18</v>
      </c>
      <c r="F32" s="4">
        <v>4</v>
      </c>
      <c r="G32" s="4">
        <f>D32-E32-F32</f>
        <v>8</v>
      </c>
      <c r="H32" s="4">
        <v>57</v>
      </c>
      <c r="I32" s="4">
        <v>34</v>
      </c>
      <c r="J32" s="5">
        <f t="shared" ref="J32:J33" si="38">E32*3+F32*1</f>
        <v>58</v>
      </c>
      <c r="L32" s="9">
        <v>2</v>
      </c>
      <c r="M32" s="2" t="s">
        <v>32</v>
      </c>
      <c r="N32" s="4">
        <v>30</v>
      </c>
      <c r="O32" s="4">
        <v>26</v>
      </c>
      <c r="P32" s="4">
        <v>2</v>
      </c>
      <c r="Q32" s="4">
        <f t="shared" ref="Q32:Q33" si="39">N32-O32-P32</f>
        <v>2</v>
      </c>
      <c r="R32" s="4">
        <v>137</v>
      </c>
      <c r="S32" s="4">
        <v>16</v>
      </c>
      <c r="T32" s="5">
        <f t="shared" ref="T32:T33" si="40">O32*3+P32*1</f>
        <v>80</v>
      </c>
      <c r="V32" s="9">
        <v>2</v>
      </c>
      <c r="W32" s="2" t="s">
        <v>33</v>
      </c>
      <c r="X32" s="4">
        <v>30</v>
      </c>
      <c r="Y32" s="4">
        <v>23</v>
      </c>
      <c r="Z32" s="4">
        <v>2</v>
      </c>
      <c r="AA32" s="4">
        <f t="shared" ref="AA32:AA33" si="41">X32-Y32-Z32</f>
        <v>5</v>
      </c>
      <c r="AB32" s="4">
        <v>106</v>
      </c>
      <c r="AC32" s="4">
        <v>23</v>
      </c>
      <c r="AD32" s="5">
        <f t="shared" ref="AD32:AD33" si="42">Y32*3+Z32*1</f>
        <v>71</v>
      </c>
    </row>
    <row r="33" spans="2:30" x14ac:dyDescent="0.25">
      <c r="B33" s="9">
        <v>3</v>
      </c>
      <c r="C33" s="2" t="s">
        <v>23</v>
      </c>
      <c r="D33" s="4">
        <v>30</v>
      </c>
      <c r="E33" s="4">
        <v>17</v>
      </c>
      <c r="F33" s="4">
        <v>7</v>
      </c>
      <c r="G33" s="4">
        <f>D33-E33-F33</f>
        <v>6</v>
      </c>
      <c r="H33" s="4">
        <v>49</v>
      </c>
      <c r="I33" s="4">
        <v>30</v>
      </c>
      <c r="J33" s="5">
        <f t="shared" si="38"/>
        <v>58</v>
      </c>
      <c r="L33" s="9">
        <v>3</v>
      </c>
      <c r="M33" s="2" t="s">
        <v>33</v>
      </c>
      <c r="N33" s="4">
        <v>30</v>
      </c>
      <c r="O33" s="4">
        <v>23</v>
      </c>
      <c r="P33" s="4">
        <v>3</v>
      </c>
      <c r="Q33" s="4">
        <f t="shared" si="39"/>
        <v>4</v>
      </c>
      <c r="R33" s="4">
        <v>136</v>
      </c>
      <c r="S33" s="4">
        <v>23</v>
      </c>
      <c r="T33" s="5">
        <f t="shared" si="40"/>
        <v>72</v>
      </c>
      <c r="V33" s="9">
        <v>3</v>
      </c>
      <c r="W33" s="2" t="s">
        <v>64</v>
      </c>
      <c r="X33" s="4">
        <v>30</v>
      </c>
      <c r="Y33" s="4">
        <v>21</v>
      </c>
      <c r="Z33" s="4">
        <v>6</v>
      </c>
      <c r="AA33" s="4">
        <f t="shared" si="41"/>
        <v>3</v>
      </c>
      <c r="AB33" s="4">
        <v>130</v>
      </c>
      <c r="AC33" s="4">
        <v>24</v>
      </c>
      <c r="AD33" s="5">
        <f t="shared" si="42"/>
        <v>69</v>
      </c>
    </row>
    <row r="34" spans="2:30" x14ac:dyDescent="0.25">
      <c r="B34" s="34" t="s">
        <v>40</v>
      </c>
      <c r="C34" s="34"/>
      <c r="D34" s="34"/>
      <c r="E34" s="34"/>
      <c r="F34" s="34"/>
      <c r="G34" s="34"/>
      <c r="H34" s="34"/>
      <c r="I34" s="34"/>
      <c r="J34" s="34"/>
      <c r="L34" s="34" t="s">
        <v>66</v>
      </c>
      <c r="M34" s="34"/>
      <c r="N34" s="34"/>
      <c r="O34" s="34"/>
      <c r="P34" s="34"/>
      <c r="Q34" s="34"/>
      <c r="R34" s="34"/>
      <c r="S34" s="34"/>
      <c r="T34" s="34"/>
      <c r="V34" s="34" t="s">
        <v>129</v>
      </c>
      <c r="W34" s="34"/>
      <c r="X34" s="34"/>
      <c r="Y34" s="34"/>
      <c r="Z34" s="34"/>
      <c r="AA34" s="34"/>
      <c r="AB34" s="34"/>
      <c r="AC34" s="34"/>
      <c r="AD34" s="34"/>
    </row>
    <row r="35" spans="2:30" x14ac:dyDescent="0.25">
      <c r="B35" s="9">
        <v>1</v>
      </c>
      <c r="C35" s="2" t="s">
        <v>23</v>
      </c>
      <c r="D35" s="4">
        <v>30</v>
      </c>
      <c r="E35" s="4">
        <v>21</v>
      </c>
      <c r="F35" s="4">
        <v>3</v>
      </c>
      <c r="G35" s="4">
        <f>D35-E35-F35</f>
        <v>6</v>
      </c>
      <c r="H35" s="4">
        <v>86</v>
      </c>
      <c r="I35" s="4">
        <v>34</v>
      </c>
      <c r="J35" s="5">
        <f>E35*3+F35*1</f>
        <v>66</v>
      </c>
      <c r="L35" s="9">
        <v>1</v>
      </c>
      <c r="M35" s="2" t="s">
        <v>18</v>
      </c>
      <c r="N35" s="4">
        <v>30</v>
      </c>
      <c r="O35" s="4">
        <v>27</v>
      </c>
      <c r="P35" s="4">
        <v>2</v>
      </c>
      <c r="Q35" s="4">
        <f>N35-O35-P35</f>
        <v>1</v>
      </c>
      <c r="R35" s="4">
        <v>101</v>
      </c>
      <c r="S35" s="4">
        <v>17</v>
      </c>
      <c r="T35" s="5">
        <f>O35*3+P35*1</f>
        <v>83</v>
      </c>
      <c r="V35">
        <v>1</v>
      </c>
      <c r="W35" t="s">
        <v>43</v>
      </c>
      <c r="X35">
        <v>30</v>
      </c>
      <c r="Y35">
        <v>24</v>
      </c>
      <c r="Z35">
        <v>4</v>
      </c>
      <c r="AA35">
        <v>2</v>
      </c>
      <c r="AB35">
        <v>90</v>
      </c>
      <c r="AC35">
        <v>18</v>
      </c>
      <c r="AD35">
        <v>76</v>
      </c>
    </row>
    <row r="36" spans="2:30" x14ac:dyDescent="0.25">
      <c r="B36" s="9">
        <v>2</v>
      </c>
      <c r="C36" s="2" t="s">
        <v>24</v>
      </c>
      <c r="D36" s="4">
        <v>30</v>
      </c>
      <c r="E36" s="4">
        <v>19</v>
      </c>
      <c r="F36" s="4">
        <v>5</v>
      </c>
      <c r="G36" s="4">
        <f>D36-E36-F36</f>
        <v>6</v>
      </c>
      <c r="H36" s="4">
        <v>70</v>
      </c>
      <c r="I36" s="4">
        <v>33</v>
      </c>
      <c r="J36" s="5">
        <f t="shared" ref="J36:J37" si="43">E36*3+F36*1</f>
        <v>62</v>
      </c>
      <c r="L36" s="9">
        <v>2</v>
      </c>
      <c r="M36" s="2" t="s">
        <v>32</v>
      </c>
      <c r="N36" s="4">
        <v>30</v>
      </c>
      <c r="O36" s="4">
        <v>27</v>
      </c>
      <c r="P36" s="4">
        <v>1</v>
      </c>
      <c r="Q36" s="4">
        <f t="shared" ref="Q36:Q37" si="44">N36-O36-P36</f>
        <v>2</v>
      </c>
      <c r="R36" s="4">
        <v>122</v>
      </c>
      <c r="S36" s="4">
        <v>13</v>
      </c>
      <c r="T36" s="5">
        <f t="shared" ref="T36:T37" si="45">O36*3+P36*1</f>
        <v>82</v>
      </c>
      <c r="V36">
        <v>2</v>
      </c>
      <c r="W36" t="s">
        <v>64</v>
      </c>
      <c r="X36">
        <v>30</v>
      </c>
      <c r="Y36">
        <v>23</v>
      </c>
      <c r="Z36">
        <v>5</v>
      </c>
      <c r="AA36">
        <v>2</v>
      </c>
      <c r="AB36">
        <v>99</v>
      </c>
      <c r="AC36">
        <v>19</v>
      </c>
      <c r="AD36">
        <v>74</v>
      </c>
    </row>
    <row r="37" spans="2:30" x14ac:dyDescent="0.25">
      <c r="B37" s="9">
        <v>3</v>
      </c>
      <c r="C37" s="2" t="s">
        <v>18</v>
      </c>
      <c r="D37" s="4">
        <v>30</v>
      </c>
      <c r="E37" s="4">
        <v>16</v>
      </c>
      <c r="F37" s="4">
        <v>6</v>
      </c>
      <c r="G37" s="4">
        <f>D37-E37-F37</f>
        <v>8</v>
      </c>
      <c r="H37" s="4">
        <v>89</v>
      </c>
      <c r="I37" s="4">
        <v>53</v>
      </c>
      <c r="J37" s="5">
        <f t="shared" si="43"/>
        <v>54</v>
      </c>
      <c r="L37" s="9">
        <v>3</v>
      </c>
      <c r="M37" s="2" t="s">
        <v>33</v>
      </c>
      <c r="N37" s="4">
        <v>30</v>
      </c>
      <c r="O37" s="4">
        <v>26</v>
      </c>
      <c r="P37" s="4">
        <v>3</v>
      </c>
      <c r="Q37" s="4">
        <f t="shared" si="44"/>
        <v>1</v>
      </c>
      <c r="R37" s="4">
        <v>106</v>
      </c>
      <c r="S37" s="4">
        <v>11</v>
      </c>
      <c r="T37" s="5">
        <f t="shared" si="45"/>
        <v>81</v>
      </c>
      <c r="V37">
        <v>3</v>
      </c>
      <c r="W37" t="s">
        <v>92</v>
      </c>
      <c r="X37">
        <v>30</v>
      </c>
      <c r="Y37">
        <v>23</v>
      </c>
      <c r="Z37">
        <v>4</v>
      </c>
      <c r="AA37">
        <v>3</v>
      </c>
      <c r="AB37">
        <v>91</v>
      </c>
      <c r="AC37">
        <v>17</v>
      </c>
      <c r="AD37">
        <v>73</v>
      </c>
    </row>
    <row r="38" spans="2:30" x14ac:dyDescent="0.25">
      <c r="V38" s="34" t="s">
        <v>132</v>
      </c>
      <c r="W38" s="34"/>
      <c r="X38" s="34"/>
      <c r="Y38" s="34"/>
      <c r="Z38" s="34"/>
      <c r="AA38" s="34"/>
      <c r="AB38" s="34"/>
      <c r="AC38" s="34"/>
      <c r="AD38" s="34"/>
    </row>
    <row r="39" spans="2:30" x14ac:dyDescent="0.25">
      <c r="V39">
        <v>1</v>
      </c>
      <c r="W39" t="s">
        <v>70</v>
      </c>
      <c r="X39">
        <v>30</v>
      </c>
      <c r="Y39">
        <v>23</v>
      </c>
      <c r="Z39">
        <v>3</v>
      </c>
      <c r="AA39">
        <v>4</v>
      </c>
      <c r="AB39">
        <v>95</v>
      </c>
      <c r="AC39">
        <v>30</v>
      </c>
      <c r="AD39">
        <v>72</v>
      </c>
    </row>
    <row r="40" spans="2:30" x14ac:dyDescent="0.25">
      <c r="V40">
        <v>2</v>
      </c>
      <c r="W40" t="s">
        <v>92</v>
      </c>
      <c r="X40">
        <v>30</v>
      </c>
      <c r="Y40">
        <v>21</v>
      </c>
      <c r="Z40">
        <v>4</v>
      </c>
      <c r="AA40">
        <v>5</v>
      </c>
      <c r="AB40">
        <v>78</v>
      </c>
      <c r="AC40">
        <v>22</v>
      </c>
      <c r="AD40">
        <v>67</v>
      </c>
    </row>
    <row r="41" spans="2:30" x14ac:dyDescent="0.25">
      <c r="V41">
        <v>3</v>
      </c>
      <c r="W41" t="s">
        <v>43</v>
      </c>
      <c r="X41">
        <v>30</v>
      </c>
      <c r="Y41">
        <v>22</v>
      </c>
      <c r="Z41">
        <v>1</v>
      </c>
      <c r="AA41">
        <v>7</v>
      </c>
      <c r="AB41">
        <v>76</v>
      </c>
      <c r="AC41">
        <v>29</v>
      </c>
      <c r="AD41">
        <v>67</v>
      </c>
    </row>
    <row r="42" spans="2:30" x14ac:dyDescent="0.25">
      <c r="V42" s="34" t="s">
        <v>134</v>
      </c>
      <c r="W42" s="34"/>
      <c r="X42" s="34"/>
      <c r="Y42" s="34"/>
      <c r="Z42" s="34"/>
      <c r="AA42" s="34"/>
      <c r="AB42" s="34"/>
      <c r="AC42" s="34"/>
      <c r="AD42" s="34"/>
    </row>
    <row r="43" spans="2:30" x14ac:dyDescent="0.25">
      <c r="V43">
        <v>1</v>
      </c>
      <c r="W43" t="s">
        <v>64</v>
      </c>
      <c r="X43">
        <v>30</v>
      </c>
      <c r="Y43">
        <v>26</v>
      </c>
      <c r="Z43">
        <v>1</v>
      </c>
      <c r="AA43">
        <v>3</v>
      </c>
      <c r="AB43">
        <v>108</v>
      </c>
      <c r="AC43">
        <v>23</v>
      </c>
      <c r="AD43">
        <v>79</v>
      </c>
    </row>
    <row r="44" spans="2:30" x14ac:dyDescent="0.25">
      <c r="V44">
        <v>2</v>
      </c>
      <c r="W44" t="s">
        <v>92</v>
      </c>
      <c r="X44">
        <v>30</v>
      </c>
      <c r="Y44">
        <v>26</v>
      </c>
      <c r="Z44">
        <v>1</v>
      </c>
      <c r="AA44">
        <v>3</v>
      </c>
      <c r="AB44">
        <v>88</v>
      </c>
      <c r="AC44">
        <v>16</v>
      </c>
      <c r="AD44">
        <v>79</v>
      </c>
    </row>
    <row r="45" spans="2:30" x14ac:dyDescent="0.25">
      <c r="V45">
        <v>3</v>
      </c>
      <c r="W45" t="s">
        <v>70</v>
      </c>
      <c r="X45">
        <v>30</v>
      </c>
      <c r="Y45">
        <v>23</v>
      </c>
      <c r="Z45">
        <v>0</v>
      </c>
      <c r="AA45">
        <v>7</v>
      </c>
      <c r="AB45">
        <v>101</v>
      </c>
      <c r="AC45">
        <v>30</v>
      </c>
      <c r="AD45">
        <v>69</v>
      </c>
    </row>
    <row r="46" spans="2:30" x14ac:dyDescent="0.25">
      <c r="V46" s="34" t="s">
        <v>156</v>
      </c>
      <c r="W46" s="34"/>
      <c r="X46" s="34"/>
      <c r="Y46" s="34"/>
      <c r="Z46" s="34"/>
      <c r="AA46" s="34"/>
      <c r="AB46" s="34"/>
      <c r="AC46" s="34"/>
      <c r="AD46" s="34"/>
    </row>
    <row r="47" spans="2:30" x14ac:dyDescent="0.25">
      <c r="V47">
        <v>1</v>
      </c>
      <c r="W47" t="s">
        <v>92</v>
      </c>
      <c r="X47">
        <v>30</v>
      </c>
      <c r="Y47">
        <v>26</v>
      </c>
      <c r="Z47">
        <v>2</v>
      </c>
      <c r="AA47">
        <v>2</v>
      </c>
      <c r="AB47">
        <v>89</v>
      </c>
      <c r="AC47">
        <v>13</v>
      </c>
      <c r="AD47">
        <v>80</v>
      </c>
    </row>
    <row r="48" spans="2:30" x14ac:dyDescent="0.25">
      <c r="V48">
        <v>2</v>
      </c>
      <c r="W48" t="s">
        <v>43</v>
      </c>
      <c r="X48">
        <v>30</v>
      </c>
      <c r="Y48">
        <v>20</v>
      </c>
      <c r="Z48">
        <v>4</v>
      </c>
      <c r="AA48">
        <v>6</v>
      </c>
      <c r="AB48">
        <v>67</v>
      </c>
      <c r="AC48">
        <v>23</v>
      </c>
      <c r="AD48">
        <v>64</v>
      </c>
    </row>
    <row r="49" spans="22:30" x14ac:dyDescent="0.25">
      <c r="V49">
        <v>3</v>
      </c>
      <c r="W49" t="s">
        <v>70</v>
      </c>
      <c r="X49">
        <v>30</v>
      </c>
      <c r="Y49">
        <v>19</v>
      </c>
      <c r="Z49">
        <v>2</v>
      </c>
      <c r="AA49">
        <v>9</v>
      </c>
      <c r="AB49">
        <v>77</v>
      </c>
      <c r="AC49">
        <v>30</v>
      </c>
      <c r="AD49">
        <v>59</v>
      </c>
    </row>
  </sheetData>
  <mergeCells count="31">
    <mergeCell ref="V46:AD46"/>
    <mergeCell ref="V34:AD34"/>
    <mergeCell ref="V38:AD38"/>
    <mergeCell ref="V42:AD42"/>
    <mergeCell ref="B34:J34"/>
    <mergeCell ref="AF8:AN8"/>
    <mergeCell ref="B10:J10"/>
    <mergeCell ref="B14:J14"/>
    <mergeCell ref="B18:J18"/>
    <mergeCell ref="B22:J22"/>
    <mergeCell ref="B26:J26"/>
    <mergeCell ref="B30:J30"/>
    <mergeCell ref="L30:T30"/>
    <mergeCell ref="L34:T34"/>
    <mergeCell ref="V22:AD22"/>
    <mergeCell ref="L22:T22"/>
    <mergeCell ref="L26:T26"/>
    <mergeCell ref="V26:AD26"/>
    <mergeCell ref="L14:T14"/>
    <mergeCell ref="L18:T18"/>
    <mergeCell ref="V30:AD30"/>
    <mergeCell ref="B2:J2"/>
    <mergeCell ref="B6:J6"/>
    <mergeCell ref="L2:T2"/>
    <mergeCell ref="L6:T6"/>
    <mergeCell ref="L10:T10"/>
    <mergeCell ref="V2:AD2"/>
    <mergeCell ref="V6:AD6"/>
    <mergeCell ref="V10:AD10"/>
    <mergeCell ref="V14:AD14"/>
    <mergeCell ref="V18:AD18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0"/>
  <sheetViews>
    <sheetView workbookViewId="0"/>
  </sheetViews>
  <sheetFormatPr defaultRowHeight="15" x14ac:dyDescent="0.25"/>
  <cols>
    <col min="3" max="3" width="24" bestFit="1" customWidth="1"/>
  </cols>
  <sheetData>
    <row r="2" spans="1:7" x14ac:dyDescent="0.25">
      <c r="C2" t="s">
        <v>159</v>
      </c>
    </row>
    <row r="4" spans="1:7" x14ac:dyDescent="0.25">
      <c r="B4" t="s">
        <v>147</v>
      </c>
      <c r="C4" t="s">
        <v>116</v>
      </c>
      <c r="D4" t="s">
        <v>148</v>
      </c>
      <c r="E4" t="s">
        <v>149</v>
      </c>
      <c r="F4" t="s">
        <v>150</v>
      </c>
      <c r="G4" t="s">
        <v>155</v>
      </c>
    </row>
    <row r="5" spans="1:7" x14ac:dyDescent="0.25">
      <c r="A5">
        <v>1</v>
      </c>
      <c r="B5">
        <v>1</v>
      </c>
      <c r="C5" t="s">
        <v>18</v>
      </c>
      <c r="D5">
        <v>6</v>
      </c>
      <c r="E5">
        <v>5</v>
      </c>
      <c r="F5">
        <v>5</v>
      </c>
      <c r="G5">
        <f>B5-A5</f>
        <v>0</v>
      </c>
    </row>
    <row r="6" spans="1:7" x14ac:dyDescent="0.25">
      <c r="A6">
        <v>2</v>
      </c>
      <c r="B6">
        <v>2</v>
      </c>
      <c r="C6" t="s">
        <v>70</v>
      </c>
      <c r="D6">
        <v>4</v>
      </c>
      <c r="E6">
        <v>0</v>
      </c>
      <c r="F6">
        <v>2</v>
      </c>
      <c r="G6">
        <f>B6-A6</f>
        <v>0</v>
      </c>
    </row>
    <row r="7" spans="1:7" x14ac:dyDescent="0.25">
      <c r="A7">
        <v>3</v>
      </c>
      <c r="B7">
        <v>3</v>
      </c>
      <c r="C7" t="s">
        <v>152</v>
      </c>
      <c r="D7">
        <v>3</v>
      </c>
      <c r="E7">
        <v>3</v>
      </c>
      <c r="F7">
        <v>1</v>
      </c>
      <c r="G7">
        <f>B7-A7</f>
        <v>0</v>
      </c>
    </row>
    <row r="8" spans="1:7" x14ac:dyDescent="0.25">
      <c r="A8">
        <v>4</v>
      </c>
      <c r="B8">
        <v>4</v>
      </c>
      <c r="C8" t="s">
        <v>4</v>
      </c>
      <c r="D8">
        <v>3</v>
      </c>
      <c r="E8">
        <v>0</v>
      </c>
      <c r="F8">
        <v>1</v>
      </c>
      <c r="G8">
        <f>B8-A8</f>
        <v>0</v>
      </c>
    </row>
    <row r="9" spans="1:7" x14ac:dyDescent="0.25">
      <c r="A9">
        <v>5</v>
      </c>
      <c r="B9">
        <v>5</v>
      </c>
      <c r="C9" t="s">
        <v>24</v>
      </c>
      <c r="D9">
        <v>2</v>
      </c>
      <c r="E9">
        <v>5</v>
      </c>
      <c r="F9">
        <v>0</v>
      </c>
      <c r="G9">
        <f>B9-A9</f>
        <v>0</v>
      </c>
    </row>
    <row r="10" spans="1:7" x14ac:dyDescent="0.25">
      <c r="A10">
        <v>6</v>
      </c>
      <c r="B10">
        <v>6</v>
      </c>
      <c r="C10" t="s">
        <v>151</v>
      </c>
      <c r="D10">
        <v>2</v>
      </c>
      <c r="E10">
        <v>4</v>
      </c>
      <c r="F10">
        <v>5</v>
      </c>
      <c r="G10">
        <f>B10-A10</f>
        <v>0</v>
      </c>
    </row>
    <row r="11" spans="1:7" x14ac:dyDescent="0.25">
      <c r="A11">
        <v>7</v>
      </c>
      <c r="B11">
        <v>7</v>
      </c>
      <c r="C11" t="s">
        <v>0</v>
      </c>
      <c r="D11">
        <v>2</v>
      </c>
      <c r="E11">
        <v>4</v>
      </c>
      <c r="F11">
        <v>0</v>
      </c>
      <c r="G11">
        <f>B11-A11</f>
        <v>0</v>
      </c>
    </row>
    <row r="12" spans="1:7" x14ac:dyDescent="0.25">
      <c r="A12">
        <v>8</v>
      </c>
      <c r="B12">
        <v>8</v>
      </c>
      <c r="C12" t="s">
        <v>154</v>
      </c>
      <c r="D12">
        <v>2</v>
      </c>
      <c r="E12">
        <v>1</v>
      </c>
      <c r="F12">
        <v>4</v>
      </c>
      <c r="G12">
        <f>B12-A12</f>
        <v>0</v>
      </c>
    </row>
    <row r="13" spans="1:7" x14ac:dyDescent="0.25">
      <c r="A13">
        <v>9</v>
      </c>
      <c r="B13">
        <v>9</v>
      </c>
      <c r="C13" t="s">
        <v>153</v>
      </c>
      <c r="D13">
        <v>1</v>
      </c>
      <c r="E13">
        <v>3</v>
      </c>
      <c r="F13">
        <v>5</v>
      </c>
      <c r="G13">
        <f>B13-A13</f>
        <v>0</v>
      </c>
    </row>
    <row r="14" spans="1:7" x14ac:dyDescent="0.25">
      <c r="A14">
        <v>10</v>
      </c>
      <c r="B14">
        <v>14</v>
      </c>
      <c r="C14" t="s">
        <v>158</v>
      </c>
      <c r="D14">
        <v>1</v>
      </c>
      <c r="E14">
        <v>2</v>
      </c>
      <c r="F14">
        <v>1</v>
      </c>
      <c r="G14">
        <f>B14-A14</f>
        <v>4</v>
      </c>
    </row>
    <row r="15" spans="1:7" x14ac:dyDescent="0.25">
      <c r="A15">
        <v>11</v>
      </c>
      <c r="B15">
        <v>10</v>
      </c>
      <c r="C15" t="s">
        <v>1</v>
      </c>
      <c r="D15">
        <v>1</v>
      </c>
      <c r="E15">
        <v>2</v>
      </c>
      <c r="F15">
        <v>0</v>
      </c>
      <c r="G15">
        <f>B15-A15</f>
        <v>-1</v>
      </c>
    </row>
    <row r="16" spans="1:7" x14ac:dyDescent="0.25">
      <c r="A16">
        <v>12</v>
      </c>
      <c r="B16">
        <v>11</v>
      </c>
      <c r="C16" t="s">
        <v>23</v>
      </c>
      <c r="D16">
        <v>1</v>
      </c>
      <c r="E16">
        <v>1</v>
      </c>
      <c r="F16">
        <v>3</v>
      </c>
      <c r="G16">
        <f>B16-A16</f>
        <v>-1</v>
      </c>
    </row>
    <row r="17" spans="1:7" x14ac:dyDescent="0.25">
      <c r="A17">
        <v>13</v>
      </c>
      <c r="B17">
        <v>12</v>
      </c>
      <c r="C17" t="s">
        <v>3</v>
      </c>
      <c r="D17">
        <v>1</v>
      </c>
      <c r="E17">
        <v>0</v>
      </c>
      <c r="F17">
        <v>1</v>
      </c>
      <c r="G17">
        <f>B17-A17</f>
        <v>-1</v>
      </c>
    </row>
    <row r="18" spans="1:7" x14ac:dyDescent="0.25">
      <c r="A18">
        <v>14</v>
      </c>
      <c r="B18">
        <v>13</v>
      </c>
      <c r="C18" t="s">
        <v>6</v>
      </c>
      <c r="D18">
        <v>1</v>
      </c>
      <c r="E18">
        <v>0</v>
      </c>
      <c r="F18">
        <v>0</v>
      </c>
      <c r="G18">
        <f>B18-A18</f>
        <v>-1</v>
      </c>
    </row>
    <row r="19" spans="1:7" x14ac:dyDescent="0.25">
      <c r="A19">
        <v>15</v>
      </c>
      <c r="B19">
        <v>15</v>
      </c>
      <c r="C19" t="s">
        <v>51</v>
      </c>
      <c r="D19">
        <v>0</v>
      </c>
      <c r="E19">
        <v>0</v>
      </c>
      <c r="F19">
        <v>1</v>
      </c>
      <c r="G19">
        <f>B19-A19</f>
        <v>0</v>
      </c>
    </row>
    <row r="20" spans="1:7" x14ac:dyDescent="0.25">
      <c r="A20">
        <v>16</v>
      </c>
      <c r="B20">
        <v>16</v>
      </c>
      <c r="C20" t="s">
        <v>2</v>
      </c>
      <c r="D20">
        <v>0</v>
      </c>
      <c r="E20">
        <v>0</v>
      </c>
      <c r="F20">
        <v>1</v>
      </c>
      <c r="G20">
        <f>B20-A20</f>
        <v>0</v>
      </c>
    </row>
  </sheetData>
  <sortState ref="B5:G20">
    <sortCondition descending="1" ref="D5:D20"/>
    <sortCondition descending="1" ref="E5:E20"/>
    <sortCondition descending="1" ref="F5:F20"/>
    <sortCondition ref="C5:C2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tabulky sezon</vt:lpstr>
      <vt:lpstr>31</vt:lpstr>
      <vt:lpstr>mistři</vt:lpstr>
      <vt:lpstr>medaile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Tomáš</dc:creator>
  <cp:lastModifiedBy>Petr Votava</cp:lastModifiedBy>
  <dcterms:created xsi:type="dcterms:W3CDTF">2011-06-15T10:16:55Z</dcterms:created>
  <dcterms:modified xsi:type="dcterms:W3CDTF">2013-12-20T15:12:34Z</dcterms:modified>
</cp:coreProperties>
</file>