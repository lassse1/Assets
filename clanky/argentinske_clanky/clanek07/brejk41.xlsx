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brejk\clanky\clanek07\"/>
    </mc:Choice>
  </mc:AlternateContent>
  <bookViews>
    <workbookView xWindow="360" yWindow="15" windowWidth="20895" windowHeight="10170" activeTab="5"/>
  </bookViews>
  <sheets>
    <sheet name="tabulky sezon" sheetId="1" r:id="rId1"/>
    <sheet name="31" sheetId="4" r:id="rId2"/>
    <sheet name="mistři" sheetId="5" r:id="rId3"/>
    <sheet name="medaile" sheetId="6" r:id="rId4"/>
    <sheet name="Sheet2" sheetId="8" r:id="rId5"/>
    <sheet name="NP" sheetId="9" r:id="rId6"/>
  </sheets>
  <definedNames>
    <definedName name="_xlnm._FilterDatabase" localSheetId="1" hidden="1">'31'!#REF!</definedName>
  </definedNames>
  <calcPr calcId="152511"/>
</workbook>
</file>

<file path=xl/calcChain.xml><?xml version="1.0" encoding="utf-8"?>
<calcChain xmlns="http://schemas.openxmlformats.org/spreadsheetml/2006/main">
  <c r="E27" i="9" l="1"/>
  <c r="E18" i="9"/>
  <c r="E21" i="9"/>
  <c r="E19" i="9"/>
  <c r="E25" i="9"/>
  <c r="E23" i="9"/>
  <c r="E22" i="9"/>
  <c r="E14" i="9"/>
  <c r="E20" i="9"/>
  <c r="E17" i="9"/>
  <c r="E28" i="9"/>
  <c r="E26" i="9"/>
  <c r="E24" i="9"/>
  <c r="E13" i="9"/>
  <c r="E12" i="9"/>
  <c r="E15" i="9"/>
  <c r="E16" i="9"/>
  <c r="E11" i="9"/>
  <c r="E10" i="9"/>
  <c r="E4" i="9"/>
  <c r="E8" i="9"/>
  <c r="E9" i="9"/>
  <c r="E7" i="9"/>
  <c r="E6" i="9"/>
  <c r="E5" i="9"/>
  <c r="AQ26" i="5" l="1"/>
  <c r="AQ21" i="5"/>
  <c r="AQ30" i="5"/>
  <c r="AQ31" i="5"/>
  <c r="AQ15" i="5"/>
  <c r="AQ28" i="5"/>
  <c r="AQ25" i="5"/>
  <c r="AQ24" i="5"/>
  <c r="AQ29" i="5"/>
  <c r="AQ27" i="5"/>
  <c r="AQ19" i="5"/>
  <c r="AQ22" i="5"/>
  <c r="AQ18" i="5"/>
  <c r="AQ23" i="5"/>
  <c r="AQ17" i="5"/>
  <c r="AQ20" i="5"/>
  <c r="AQ16" i="5"/>
  <c r="G26" i="6"/>
  <c r="G25" i="6"/>
  <c r="G24" i="6"/>
  <c r="G23" i="6"/>
  <c r="G22" i="6"/>
  <c r="G21" i="6"/>
  <c r="AD41" i="5"/>
  <c r="AD40" i="5"/>
  <c r="AD39" i="5"/>
  <c r="O98" i="4"/>
  <c r="O97" i="4"/>
  <c r="O96" i="4"/>
  <c r="O95" i="4"/>
  <c r="O94" i="4"/>
  <c r="O93" i="4"/>
  <c r="O92" i="4"/>
  <c r="O91" i="4"/>
  <c r="O90" i="4"/>
  <c r="O89" i="4"/>
  <c r="O88" i="4"/>
  <c r="O87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O86" i="4" l="1"/>
  <c r="G20" i="6" l="1"/>
  <c r="G19" i="6"/>
  <c r="G14" i="6"/>
  <c r="G18" i="6"/>
  <c r="G17" i="6"/>
  <c r="G16" i="6"/>
  <c r="G15" i="6"/>
  <c r="G13" i="6"/>
  <c r="G12" i="6"/>
  <c r="G11" i="6"/>
  <c r="G10" i="6"/>
  <c r="G9" i="6"/>
  <c r="G8" i="6"/>
  <c r="G7" i="6"/>
  <c r="G6" i="6"/>
  <c r="G5" i="6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2" i="4"/>
  <c r="O69" i="4"/>
  <c r="O68" i="4"/>
  <c r="O64" i="4"/>
  <c r="O61" i="4"/>
  <c r="O67" i="4"/>
  <c r="O66" i="4"/>
  <c r="O65" i="4"/>
  <c r="O63" i="4"/>
  <c r="O60" i="4"/>
  <c r="O59" i="4"/>
  <c r="O58" i="4"/>
  <c r="O53" i="4"/>
  <c r="O54" i="4"/>
  <c r="O57" i="4"/>
  <c r="O56" i="4"/>
  <c r="O55" i="4"/>
  <c r="O52" i="4"/>
  <c r="O49" i="4"/>
  <c r="O51" i="4"/>
  <c r="O50" i="4"/>
  <c r="O48" i="4"/>
  <c r="O47" i="4"/>
  <c r="O46" i="4"/>
  <c r="O45" i="4"/>
  <c r="O44" i="4"/>
  <c r="O43" i="4"/>
  <c r="O42" i="4"/>
  <c r="O39" i="4"/>
  <c r="O41" i="4"/>
  <c r="O40" i="4"/>
  <c r="O35" i="4"/>
  <c r="O38" i="4"/>
  <c r="O37" i="4"/>
  <c r="O36" i="4"/>
  <c r="O34" i="4"/>
  <c r="O33" i="4"/>
  <c r="O32" i="4"/>
  <c r="O30" i="4"/>
  <c r="O31" i="4"/>
  <c r="O29" i="4"/>
  <c r="O28" i="4"/>
  <c r="O27" i="4"/>
  <c r="O26" i="4"/>
  <c r="O25" i="4"/>
  <c r="M467" i="1" l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M452" i="1"/>
  <c r="L452" i="1"/>
  <c r="K452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AD17" i="5"/>
  <c r="AA17" i="5"/>
  <c r="AD16" i="5"/>
  <c r="AA16" i="5"/>
  <c r="AD15" i="5"/>
  <c r="AA15" i="5"/>
  <c r="M356" i="4"/>
  <c r="L356" i="4"/>
  <c r="K356" i="4"/>
  <c r="J356" i="4"/>
  <c r="G356" i="4"/>
  <c r="M355" i="4"/>
  <c r="L355" i="4"/>
  <c r="K355" i="4"/>
  <c r="J355" i="4"/>
  <c r="G355" i="4"/>
  <c r="M354" i="4"/>
  <c r="L354" i="4"/>
  <c r="K354" i="4"/>
  <c r="J354" i="4"/>
  <c r="G354" i="4"/>
  <c r="M353" i="4"/>
  <c r="L353" i="4"/>
  <c r="K353" i="4"/>
  <c r="J353" i="4"/>
  <c r="G353" i="4"/>
  <c r="M352" i="4"/>
  <c r="L352" i="4"/>
  <c r="K352" i="4"/>
  <c r="J352" i="4"/>
  <c r="G352" i="4"/>
  <c r="M351" i="4"/>
  <c r="L351" i="4"/>
  <c r="K351" i="4"/>
  <c r="J351" i="4"/>
  <c r="G351" i="4"/>
  <c r="M350" i="4"/>
  <c r="L350" i="4"/>
  <c r="K350" i="4"/>
  <c r="J350" i="4"/>
  <c r="G350" i="4"/>
  <c r="M349" i="4"/>
  <c r="L349" i="4"/>
  <c r="K349" i="4"/>
  <c r="J349" i="4"/>
  <c r="G349" i="4"/>
  <c r="M348" i="4"/>
  <c r="L348" i="4"/>
  <c r="K348" i="4"/>
  <c r="J348" i="4"/>
  <c r="G348" i="4"/>
  <c r="M347" i="4"/>
  <c r="L347" i="4"/>
  <c r="K347" i="4"/>
  <c r="J347" i="4"/>
  <c r="G347" i="4"/>
  <c r="M346" i="4"/>
  <c r="L346" i="4"/>
  <c r="K346" i="4"/>
  <c r="J346" i="4"/>
  <c r="G346" i="4"/>
  <c r="M345" i="4"/>
  <c r="L345" i="4"/>
  <c r="K345" i="4"/>
  <c r="J345" i="4"/>
  <c r="G345" i="4"/>
  <c r="M344" i="4"/>
  <c r="L344" i="4"/>
  <c r="K344" i="4"/>
  <c r="J344" i="4"/>
  <c r="G344" i="4"/>
  <c r="M343" i="4"/>
  <c r="L343" i="4"/>
  <c r="K343" i="4"/>
  <c r="J343" i="4"/>
  <c r="G343" i="4"/>
  <c r="M342" i="4"/>
  <c r="L342" i="4"/>
  <c r="K342" i="4"/>
  <c r="J342" i="4"/>
  <c r="G342" i="4"/>
  <c r="M341" i="4"/>
  <c r="L341" i="4"/>
  <c r="K341" i="4"/>
  <c r="J341" i="4"/>
  <c r="G341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63" i="4"/>
  <c r="G363" i="4"/>
  <c r="J362" i="4"/>
  <c r="G362" i="4"/>
  <c r="J361" i="4"/>
  <c r="G361" i="4"/>
  <c r="J360" i="4"/>
  <c r="G360" i="4"/>
  <c r="J359" i="4"/>
  <c r="G359" i="4"/>
  <c r="J358" i="4"/>
  <c r="G358" i="4"/>
  <c r="J390" i="4"/>
  <c r="G390" i="4"/>
  <c r="J389" i="4"/>
  <c r="G389" i="4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381" i="4"/>
  <c r="G381" i="4"/>
  <c r="J380" i="4"/>
  <c r="G380" i="4"/>
  <c r="J379" i="4"/>
  <c r="G379" i="4"/>
  <c r="J378" i="4"/>
  <c r="G378" i="4"/>
  <c r="J377" i="4"/>
  <c r="G377" i="4"/>
  <c r="J376" i="4"/>
  <c r="G376" i="4"/>
  <c r="J375" i="4"/>
  <c r="G375" i="4"/>
  <c r="AD13" i="5"/>
  <c r="AA13" i="5"/>
  <c r="AD12" i="5"/>
  <c r="AA12" i="5"/>
  <c r="AD11" i="5"/>
  <c r="AA11" i="5"/>
  <c r="M449" i="1"/>
  <c r="L449" i="1"/>
  <c r="K449" i="1"/>
  <c r="J449" i="1"/>
  <c r="G449" i="1"/>
  <c r="M448" i="1"/>
  <c r="L448" i="1"/>
  <c r="K448" i="1"/>
  <c r="J448" i="1"/>
  <c r="G448" i="1"/>
  <c r="M447" i="1"/>
  <c r="L447" i="1"/>
  <c r="K447" i="1"/>
  <c r="J447" i="1"/>
  <c r="G447" i="1"/>
  <c r="M446" i="1"/>
  <c r="L446" i="1"/>
  <c r="K446" i="1"/>
  <c r="J446" i="1"/>
  <c r="G446" i="1"/>
  <c r="M445" i="1"/>
  <c r="L445" i="1"/>
  <c r="K445" i="1"/>
  <c r="J445" i="1"/>
  <c r="G445" i="1"/>
  <c r="M444" i="1"/>
  <c r="L444" i="1"/>
  <c r="K444" i="1"/>
  <c r="J444" i="1"/>
  <c r="G444" i="1"/>
  <c r="M443" i="1"/>
  <c r="L443" i="1"/>
  <c r="K443" i="1"/>
  <c r="J443" i="1"/>
  <c r="G443" i="1"/>
  <c r="M442" i="1"/>
  <c r="L442" i="1"/>
  <c r="K442" i="1"/>
  <c r="J442" i="1"/>
  <c r="G442" i="1"/>
  <c r="M441" i="1"/>
  <c r="L441" i="1"/>
  <c r="K441" i="1"/>
  <c r="J441" i="1"/>
  <c r="G441" i="1"/>
  <c r="M440" i="1"/>
  <c r="L440" i="1"/>
  <c r="K440" i="1"/>
  <c r="J440" i="1"/>
  <c r="G440" i="1"/>
  <c r="M439" i="1"/>
  <c r="L439" i="1"/>
  <c r="K439" i="1"/>
  <c r="J439" i="1"/>
  <c r="G439" i="1"/>
  <c r="M438" i="1"/>
  <c r="L438" i="1"/>
  <c r="K438" i="1"/>
  <c r="J438" i="1"/>
  <c r="G438" i="1"/>
  <c r="M437" i="1"/>
  <c r="L437" i="1"/>
  <c r="K437" i="1"/>
  <c r="J437" i="1"/>
  <c r="G437" i="1"/>
  <c r="M436" i="1"/>
  <c r="L436" i="1"/>
  <c r="K436" i="1"/>
  <c r="J436" i="1"/>
  <c r="G436" i="1"/>
  <c r="M435" i="1"/>
  <c r="L435" i="1"/>
  <c r="K435" i="1"/>
  <c r="J435" i="1"/>
  <c r="G435" i="1"/>
  <c r="M434" i="1"/>
  <c r="L434" i="1"/>
  <c r="K434" i="1"/>
  <c r="J434" i="1"/>
  <c r="G434" i="1"/>
  <c r="D3" i="5"/>
  <c r="D4" i="5"/>
  <c r="D5" i="5"/>
  <c r="D7" i="5"/>
  <c r="D8" i="5"/>
  <c r="D9" i="5"/>
  <c r="D11" i="5"/>
  <c r="D12" i="5"/>
  <c r="D13" i="5"/>
  <c r="AD9" i="5"/>
  <c r="AA9" i="5"/>
  <c r="AD8" i="5"/>
  <c r="AA8" i="5"/>
  <c r="AD7" i="5"/>
  <c r="AA7" i="5"/>
  <c r="AD5" i="5"/>
  <c r="AA5" i="5"/>
  <c r="AD4" i="5"/>
  <c r="AA4" i="5"/>
  <c r="AD3" i="5"/>
  <c r="AA3" i="5"/>
  <c r="T45" i="5"/>
  <c r="Q45" i="5"/>
  <c r="T44" i="5"/>
  <c r="Q44" i="5"/>
  <c r="T43" i="5"/>
  <c r="Q43" i="5"/>
  <c r="T41" i="5"/>
  <c r="Q41" i="5"/>
  <c r="T40" i="5"/>
  <c r="Q40" i="5"/>
  <c r="T39" i="5"/>
  <c r="Q39" i="5"/>
  <c r="T37" i="5"/>
  <c r="Q37" i="5"/>
  <c r="T36" i="5"/>
  <c r="Q36" i="5"/>
  <c r="T35" i="5"/>
  <c r="Q35" i="5"/>
  <c r="T33" i="5"/>
  <c r="Q33" i="5"/>
  <c r="T32" i="5"/>
  <c r="Q32" i="5"/>
  <c r="T31" i="5"/>
  <c r="Q31" i="5"/>
  <c r="T29" i="5"/>
  <c r="Q29" i="5"/>
  <c r="T28" i="5"/>
  <c r="Q28" i="5"/>
  <c r="T27" i="5"/>
  <c r="Q27" i="5"/>
  <c r="T25" i="5"/>
  <c r="Q25" i="5"/>
  <c r="T24" i="5"/>
  <c r="Q24" i="5"/>
  <c r="T23" i="5"/>
  <c r="Q23" i="5"/>
  <c r="T21" i="5"/>
  <c r="Q21" i="5"/>
  <c r="T20" i="5"/>
  <c r="Q20" i="5"/>
  <c r="T19" i="5"/>
  <c r="Q19" i="5"/>
  <c r="T17" i="5"/>
  <c r="Q17" i="5"/>
  <c r="T16" i="5"/>
  <c r="Q16" i="5"/>
  <c r="T15" i="5"/>
  <c r="Q15" i="5"/>
  <c r="T13" i="5"/>
  <c r="Q13" i="5"/>
  <c r="T12" i="5"/>
  <c r="Q12" i="5"/>
  <c r="T11" i="5"/>
  <c r="Q11" i="5"/>
  <c r="T9" i="5"/>
  <c r="Q9" i="5"/>
  <c r="T8" i="5"/>
  <c r="Q8" i="5"/>
  <c r="T7" i="5"/>
  <c r="Q7" i="5"/>
  <c r="T5" i="5"/>
  <c r="Q5" i="5"/>
  <c r="T4" i="5"/>
  <c r="Q4" i="5"/>
  <c r="T3" i="5"/>
  <c r="Q3" i="5"/>
  <c r="J45" i="5"/>
  <c r="G45" i="5"/>
  <c r="J44" i="5"/>
  <c r="G44" i="5"/>
  <c r="J43" i="5"/>
  <c r="G43" i="5"/>
  <c r="J41" i="5"/>
  <c r="G41" i="5"/>
  <c r="J40" i="5"/>
  <c r="G40" i="5"/>
  <c r="J39" i="5"/>
  <c r="G39" i="5"/>
  <c r="J37" i="5"/>
  <c r="G37" i="5"/>
  <c r="J36" i="5"/>
  <c r="G36" i="5"/>
  <c r="J35" i="5"/>
  <c r="G35" i="5"/>
  <c r="J33" i="5"/>
  <c r="G33" i="5"/>
  <c r="J32" i="5"/>
  <c r="G32" i="5"/>
  <c r="J31" i="5"/>
  <c r="G31" i="5"/>
  <c r="J29" i="5"/>
  <c r="G29" i="5"/>
  <c r="J28" i="5"/>
  <c r="G28" i="5"/>
  <c r="J27" i="5"/>
  <c r="G27" i="5"/>
  <c r="J25" i="5"/>
  <c r="G25" i="5"/>
  <c r="J24" i="5"/>
  <c r="G24" i="5"/>
  <c r="J23" i="5"/>
  <c r="G23" i="5"/>
  <c r="J21" i="5"/>
  <c r="G21" i="5"/>
  <c r="J20" i="5"/>
  <c r="G20" i="5"/>
  <c r="J19" i="5"/>
  <c r="G19" i="5"/>
  <c r="J17" i="5"/>
  <c r="G17" i="5"/>
  <c r="J16" i="5"/>
  <c r="G16" i="5"/>
  <c r="J15" i="5"/>
  <c r="G15" i="5"/>
  <c r="J13" i="5"/>
  <c r="J12" i="5"/>
  <c r="J11" i="5"/>
  <c r="J9" i="5"/>
  <c r="J8" i="5"/>
  <c r="J7" i="5"/>
  <c r="J5" i="5"/>
  <c r="J4" i="5"/>
  <c r="J3" i="5"/>
  <c r="M390" i="4"/>
  <c r="L390" i="4"/>
  <c r="K390" i="4"/>
  <c r="M389" i="4"/>
  <c r="L389" i="4"/>
  <c r="K389" i="4"/>
  <c r="M388" i="4"/>
  <c r="L388" i="4"/>
  <c r="K388" i="4"/>
  <c r="M387" i="4"/>
  <c r="L387" i="4"/>
  <c r="K387" i="4"/>
  <c r="M386" i="4"/>
  <c r="L386" i="4"/>
  <c r="K386" i="4"/>
  <c r="M385" i="4"/>
  <c r="L385" i="4"/>
  <c r="K385" i="4"/>
  <c r="M384" i="4"/>
  <c r="L384" i="4"/>
  <c r="K384" i="4"/>
  <c r="M383" i="4"/>
  <c r="L383" i="4"/>
  <c r="K383" i="4"/>
  <c r="M382" i="4"/>
  <c r="L382" i="4"/>
  <c r="K382" i="4"/>
  <c r="M381" i="4"/>
  <c r="L381" i="4"/>
  <c r="K381" i="4"/>
  <c r="M380" i="4"/>
  <c r="L380" i="4"/>
  <c r="K380" i="4"/>
  <c r="M379" i="4"/>
  <c r="L379" i="4"/>
  <c r="K379" i="4"/>
  <c r="M378" i="4"/>
  <c r="L378" i="4"/>
  <c r="K378" i="4"/>
  <c r="M377" i="4"/>
  <c r="L377" i="4"/>
  <c r="K377" i="4"/>
  <c r="M376" i="4"/>
  <c r="L376" i="4"/>
  <c r="K376" i="4"/>
  <c r="M375" i="4"/>
  <c r="L375" i="4"/>
  <c r="K375" i="4"/>
  <c r="K408" i="4"/>
  <c r="J408" i="4"/>
  <c r="G408" i="4"/>
  <c r="K407" i="4"/>
  <c r="J407" i="4"/>
  <c r="G407" i="4"/>
  <c r="K406" i="4"/>
  <c r="J406" i="4"/>
  <c r="G406" i="4"/>
  <c r="K405" i="4"/>
  <c r="J405" i="4"/>
  <c r="G405" i="4"/>
  <c r="K404" i="4"/>
  <c r="J404" i="4"/>
  <c r="G404" i="4"/>
  <c r="K403" i="4"/>
  <c r="J403" i="4"/>
  <c r="G403" i="4"/>
  <c r="K402" i="4"/>
  <c r="J402" i="4"/>
  <c r="G402" i="4"/>
  <c r="K401" i="4"/>
  <c r="J401" i="4"/>
  <c r="G401" i="4"/>
  <c r="K400" i="4"/>
  <c r="J400" i="4"/>
  <c r="G400" i="4"/>
  <c r="K399" i="4"/>
  <c r="J399" i="4"/>
  <c r="G399" i="4"/>
  <c r="K398" i="4"/>
  <c r="J398" i="4"/>
  <c r="G398" i="4"/>
  <c r="K397" i="4"/>
  <c r="J397" i="4"/>
  <c r="G397" i="4"/>
  <c r="K396" i="4"/>
  <c r="J396" i="4"/>
  <c r="G396" i="4"/>
  <c r="K395" i="4"/>
  <c r="J395" i="4"/>
  <c r="G395" i="4"/>
  <c r="K394" i="4"/>
  <c r="J394" i="4"/>
  <c r="G394" i="4"/>
  <c r="K393" i="4"/>
  <c r="J393" i="4"/>
  <c r="G393" i="4"/>
  <c r="J426" i="4"/>
  <c r="G426" i="4"/>
  <c r="J425" i="4"/>
  <c r="G425" i="4"/>
  <c r="J424" i="4"/>
  <c r="G424" i="4"/>
  <c r="J423" i="4"/>
  <c r="G423" i="4"/>
  <c r="J422" i="4"/>
  <c r="G422" i="4"/>
  <c r="J421" i="4"/>
  <c r="G421" i="4"/>
  <c r="J420" i="4"/>
  <c r="G420" i="4"/>
  <c r="J419" i="4"/>
  <c r="G419" i="4"/>
  <c r="J418" i="4"/>
  <c r="G418" i="4"/>
  <c r="J417" i="4"/>
  <c r="G417" i="4"/>
  <c r="J416" i="4"/>
  <c r="G416" i="4"/>
  <c r="J415" i="4"/>
  <c r="G415" i="4"/>
  <c r="J414" i="4"/>
  <c r="G414" i="4"/>
  <c r="J413" i="4"/>
  <c r="G413" i="4"/>
  <c r="J412" i="4"/>
  <c r="G412" i="4"/>
  <c r="J411" i="4"/>
  <c r="G411" i="4"/>
  <c r="J444" i="4"/>
  <c r="G444" i="4"/>
  <c r="J443" i="4"/>
  <c r="G443" i="4"/>
  <c r="J442" i="4"/>
  <c r="G442" i="4"/>
  <c r="J441" i="4"/>
  <c r="G441" i="4"/>
  <c r="J440" i="4"/>
  <c r="G440" i="4"/>
  <c r="J439" i="4"/>
  <c r="G439" i="4"/>
  <c r="J438" i="4"/>
  <c r="G438" i="4"/>
  <c r="J437" i="4"/>
  <c r="G437" i="4"/>
  <c r="J436" i="4"/>
  <c r="G436" i="4"/>
  <c r="J435" i="4"/>
  <c r="G435" i="4"/>
  <c r="J434" i="4"/>
  <c r="G434" i="4"/>
  <c r="J433" i="4"/>
  <c r="G433" i="4"/>
  <c r="J432" i="4"/>
  <c r="G432" i="4"/>
  <c r="J431" i="4"/>
  <c r="G431" i="4"/>
  <c r="J430" i="4"/>
  <c r="G430" i="4"/>
  <c r="J429" i="4"/>
  <c r="G429" i="4"/>
  <c r="J462" i="4"/>
  <c r="G462" i="4"/>
  <c r="J461" i="4"/>
  <c r="G461" i="4"/>
  <c r="J460" i="4"/>
  <c r="G460" i="4"/>
  <c r="J459" i="4"/>
  <c r="G459" i="4"/>
  <c r="J458" i="4"/>
  <c r="G458" i="4"/>
  <c r="J457" i="4"/>
  <c r="G457" i="4"/>
  <c r="J456" i="4"/>
  <c r="G456" i="4"/>
  <c r="J455" i="4"/>
  <c r="G455" i="4"/>
  <c r="J454" i="4"/>
  <c r="G454" i="4"/>
  <c r="J453" i="4"/>
  <c r="G453" i="4"/>
  <c r="J452" i="4"/>
  <c r="G452" i="4"/>
  <c r="J451" i="4"/>
  <c r="G451" i="4"/>
  <c r="J450" i="4"/>
  <c r="G450" i="4"/>
  <c r="J449" i="4"/>
  <c r="G449" i="4"/>
  <c r="J448" i="4"/>
  <c r="G448" i="4"/>
  <c r="J447" i="4"/>
  <c r="G447" i="4"/>
  <c r="J480" i="4"/>
  <c r="G480" i="4"/>
  <c r="J479" i="4"/>
  <c r="G479" i="4"/>
  <c r="J478" i="4"/>
  <c r="G478" i="4"/>
  <c r="J477" i="4"/>
  <c r="G477" i="4"/>
  <c r="J476" i="4"/>
  <c r="G476" i="4"/>
  <c r="J475" i="4"/>
  <c r="G475" i="4"/>
  <c r="J474" i="4"/>
  <c r="G474" i="4"/>
  <c r="J473" i="4"/>
  <c r="G473" i="4"/>
  <c r="J472" i="4"/>
  <c r="G472" i="4"/>
  <c r="J471" i="4"/>
  <c r="G471" i="4"/>
  <c r="J470" i="4"/>
  <c r="G470" i="4"/>
  <c r="J469" i="4"/>
  <c r="G469" i="4"/>
  <c r="J468" i="4"/>
  <c r="G468" i="4"/>
  <c r="J467" i="4"/>
  <c r="G467" i="4"/>
  <c r="J466" i="4"/>
  <c r="G466" i="4"/>
  <c r="J465" i="4"/>
  <c r="G465" i="4"/>
  <c r="J498" i="4"/>
  <c r="G498" i="4"/>
  <c r="J497" i="4"/>
  <c r="G497" i="4"/>
  <c r="J496" i="4"/>
  <c r="G496" i="4"/>
  <c r="J495" i="4"/>
  <c r="G495" i="4"/>
  <c r="J494" i="4"/>
  <c r="G494" i="4"/>
  <c r="J493" i="4"/>
  <c r="G493" i="4"/>
  <c r="J492" i="4"/>
  <c r="G492" i="4"/>
  <c r="J491" i="4"/>
  <c r="G491" i="4"/>
  <c r="J490" i="4"/>
  <c r="G490" i="4"/>
  <c r="J489" i="4"/>
  <c r="G489" i="4"/>
  <c r="J488" i="4"/>
  <c r="G488" i="4"/>
  <c r="J487" i="4"/>
  <c r="G487" i="4"/>
  <c r="J486" i="4"/>
  <c r="G486" i="4"/>
  <c r="J485" i="4"/>
  <c r="G485" i="4"/>
  <c r="J484" i="4"/>
  <c r="G484" i="4"/>
  <c r="J483" i="4"/>
  <c r="G483" i="4"/>
  <c r="J516" i="4"/>
  <c r="G516" i="4"/>
  <c r="J515" i="4"/>
  <c r="G515" i="4"/>
  <c r="J514" i="4"/>
  <c r="G514" i="4"/>
  <c r="J513" i="4"/>
  <c r="G513" i="4"/>
  <c r="J512" i="4"/>
  <c r="G512" i="4"/>
  <c r="J511" i="4"/>
  <c r="G511" i="4"/>
  <c r="J510" i="4"/>
  <c r="G510" i="4"/>
  <c r="J509" i="4"/>
  <c r="G509" i="4"/>
  <c r="J508" i="4"/>
  <c r="G508" i="4"/>
  <c r="J507" i="4"/>
  <c r="G507" i="4"/>
  <c r="J506" i="4"/>
  <c r="G506" i="4"/>
  <c r="J505" i="4"/>
  <c r="G505" i="4"/>
  <c r="J504" i="4"/>
  <c r="G504" i="4"/>
  <c r="J503" i="4"/>
  <c r="G503" i="4"/>
  <c r="J502" i="4"/>
  <c r="G502" i="4"/>
  <c r="J501" i="4"/>
  <c r="G501" i="4"/>
  <c r="J534" i="4"/>
  <c r="G534" i="4"/>
  <c r="J533" i="4"/>
  <c r="G533" i="4"/>
  <c r="J532" i="4"/>
  <c r="G532" i="4"/>
  <c r="J531" i="4"/>
  <c r="G531" i="4"/>
  <c r="J530" i="4"/>
  <c r="G530" i="4"/>
  <c r="J529" i="4"/>
  <c r="G529" i="4"/>
  <c r="J528" i="4"/>
  <c r="G528" i="4"/>
  <c r="J527" i="4"/>
  <c r="G527" i="4"/>
  <c r="J526" i="4"/>
  <c r="G526" i="4"/>
  <c r="J525" i="4"/>
  <c r="G525" i="4"/>
  <c r="J524" i="4"/>
  <c r="G524" i="4"/>
  <c r="J523" i="4"/>
  <c r="G523" i="4"/>
  <c r="J522" i="4"/>
  <c r="G522" i="4"/>
  <c r="J521" i="4"/>
  <c r="G521" i="4"/>
  <c r="J520" i="4"/>
  <c r="G520" i="4"/>
  <c r="J519" i="4"/>
  <c r="G519" i="4"/>
  <c r="J552" i="4"/>
  <c r="G552" i="4"/>
  <c r="J551" i="4"/>
  <c r="G551" i="4"/>
  <c r="J550" i="4"/>
  <c r="G550" i="4"/>
  <c r="J549" i="4"/>
  <c r="G549" i="4"/>
  <c r="J548" i="4"/>
  <c r="G548" i="4"/>
  <c r="J547" i="4"/>
  <c r="G547" i="4"/>
  <c r="J546" i="4"/>
  <c r="G546" i="4"/>
  <c r="J545" i="4"/>
  <c r="G545" i="4"/>
  <c r="J544" i="4"/>
  <c r="G544" i="4"/>
  <c r="J543" i="4"/>
  <c r="G543" i="4"/>
  <c r="J542" i="4"/>
  <c r="G542" i="4"/>
  <c r="J541" i="4"/>
  <c r="G541" i="4"/>
  <c r="J540" i="4"/>
  <c r="G540" i="4"/>
  <c r="J539" i="4"/>
  <c r="G539" i="4"/>
  <c r="J538" i="4"/>
  <c r="G538" i="4"/>
  <c r="J537" i="4"/>
  <c r="G537" i="4"/>
  <c r="J570" i="4"/>
  <c r="G570" i="4"/>
  <c r="J569" i="4"/>
  <c r="G569" i="4"/>
  <c r="J568" i="4"/>
  <c r="G568" i="4"/>
  <c r="J567" i="4"/>
  <c r="G567" i="4"/>
  <c r="J566" i="4"/>
  <c r="G566" i="4"/>
  <c r="J565" i="4"/>
  <c r="G565" i="4"/>
  <c r="J564" i="4"/>
  <c r="G564" i="4"/>
  <c r="J563" i="4"/>
  <c r="G563" i="4"/>
  <c r="J562" i="4"/>
  <c r="G562" i="4"/>
  <c r="J561" i="4"/>
  <c r="G561" i="4"/>
  <c r="J560" i="4"/>
  <c r="G560" i="4"/>
  <c r="J559" i="4"/>
  <c r="G559" i="4"/>
  <c r="J558" i="4"/>
  <c r="G558" i="4"/>
  <c r="J557" i="4"/>
  <c r="G557" i="4"/>
  <c r="J556" i="4"/>
  <c r="G556" i="4"/>
  <c r="J555" i="4"/>
  <c r="G555" i="4"/>
  <c r="J588" i="4"/>
  <c r="G588" i="4"/>
  <c r="J587" i="4"/>
  <c r="G587" i="4"/>
  <c r="J586" i="4"/>
  <c r="G586" i="4"/>
  <c r="J585" i="4"/>
  <c r="G585" i="4"/>
  <c r="J584" i="4"/>
  <c r="G584" i="4"/>
  <c r="J583" i="4"/>
  <c r="G583" i="4"/>
  <c r="J582" i="4"/>
  <c r="G582" i="4"/>
  <c r="J581" i="4"/>
  <c r="G581" i="4"/>
  <c r="J580" i="4"/>
  <c r="G580" i="4"/>
  <c r="J579" i="4"/>
  <c r="G579" i="4"/>
  <c r="J578" i="4"/>
  <c r="G578" i="4"/>
  <c r="J577" i="4"/>
  <c r="G577" i="4"/>
  <c r="J576" i="4"/>
  <c r="G576" i="4"/>
  <c r="J575" i="4"/>
  <c r="G575" i="4"/>
  <c r="J574" i="4"/>
  <c r="G574" i="4"/>
  <c r="J573" i="4"/>
  <c r="G573" i="4"/>
  <c r="J606" i="4"/>
  <c r="G606" i="4"/>
  <c r="J605" i="4"/>
  <c r="G605" i="4"/>
  <c r="J604" i="4"/>
  <c r="G604" i="4"/>
  <c r="J603" i="4"/>
  <c r="G603" i="4"/>
  <c r="J602" i="4"/>
  <c r="G602" i="4"/>
  <c r="J601" i="4"/>
  <c r="G601" i="4"/>
  <c r="J600" i="4"/>
  <c r="G600" i="4"/>
  <c r="J599" i="4"/>
  <c r="G599" i="4"/>
  <c r="J598" i="4"/>
  <c r="G598" i="4"/>
  <c r="J597" i="4"/>
  <c r="G597" i="4"/>
  <c r="J596" i="4"/>
  <c r="G596" i="4"/>
  <c r="J595" i="4"/>
  <c r="G595" i="4"/>
  <c r="J594" i="4"/>
  <c r="G594" i="4"/>
  <c r="J593" i="4"/>
  <c r="G593" i="4"/>
  <c r="J592" i="4"/>
  <c r="G592" i="4"/>
  <c r="J591" i="4"/>
  <c r="G591" i="4"/>
  <c r="J624" i="4"/>
  <c r="G624" i="4"/>
  <c r="J623" i="4"/>
  <c r="G623" i="4"/>
  <c r="J622" i="4"/>
  <c r="G622" i="4"/>
  <c r="J621" i="4"/>
  <c r="G621" i="4"/>
  <c r="J620" i="4"/>
  <c r="G620" i="4"/>
  <c r="J619" i="4"/>
  <c r="G619" i="4"/>
  <c r="J618" i="4"/>
  <c r="G618" i="4"/>
  <c r="J617" i="4"/>
  <c r="G617" i="4"/>
  <c r="J616" i="4"/>
  <c r="G616" i="4"/>
  <c r="J615" i="4"/>
  <c r="G615" i="4"/>
  <c r="J614" i="4"/>
  <c r="G614" i="4"/>
  <c r="J613" i="4"/>
  <c r="G613" i="4"/>
  <c r="J612" i="4"/>
  <c r="G612" i="4"/>
  <c r="J611" i="4"/>
  <c r="G611" i="4"/>
  <c r="J610" i="4"/>
  <c r="G610" i="4"/>
  <c r="J609" i="4"/>
  <c r="G609" i="4"/>
  <c r="J642" i="4"/>
  <c r="G642" i="4"/>
  <c r="J641" i="4"/>
  <c r="G641" i="4"/>
  <c r="J640" i="4"/>
  <c r="G640" i="4"/>
  <c r="J639" i="4"/>
  <c r="G639" i="4"/>
  <c r="J638" i="4"/>
  <c r="G638" i="4"/>
  <c r="J637" i="4"/>
  <c r="G637" i="4"/>
  <c r="J636" i="4"/>
  <c r="G636" i="4"/>
  <c r="J635" i="4"/>
  <c r="G635" i="4"/>
  <c r="J634" i="4"/>
  <c r="G634" i="4"/>
  <c r="J633" i="4"/>
  <c r="G633" i="4"/>
  <c r="J632" i="4"/>
  <c r="G632" i="4"/>
  <c r="J631" i="4"/>
  <c r="G631" i="4"/>
  <c r="J630" i="4"/>
  <c r="G630" i="4"/>
  <c r="J629" i="4"/>
  <c r="G629" i="4"/>
  <c r="J628" i="4"/>
  <c r="G628" i="4"/>
  <c r="J627" i="4"/>
  <c r="G627" i="4"/>
  <c r="J660" i="4"/>
  <c r="G660" i="4"/>
  <c r="J659" i="4"/>
  <c r="G659" i="4"/>
  <c r="J658" i="4"/>
  <c r="G658" i="4"/>
  <c r="J657" i="4"/>
  <c r="G657" i="4"/>
  <c r="J656" i="4"/>
  <c r="G656" i="4"/>
  <c r="J655" i="4"/>
  <c r="G655" i="4"/>
  <c r="J654" i="4"/>
  <c r="G654" i="4"/>
  <c r="J653" i="4"/>
  <c r="G653" i="4"/>
  <c r="J652" i="4"/>
  <c r="G652" i="4"/>
  <c r="J651" i="4"/>
  <c r="G651" i="4"/>
  <c r="J650" i="4"/>
  <c r="G650" i="4"/>
  <c r="J649" i="4"/>
  <c r="G649" i="4"/>
  <c r="J648" i="4"/>
  <c r="G648" i="4"/>
  <c r="J647" i="4"/>
  <c r="G647" i="4"/>
  <c r="J646" i="4"/>
  <c r="G646" i="4"/>
  <c r="J645" i="4"/>
  <c r="G645" i="4"/>
  <c r="J678" i="4"/>
  <c r="G678" i="4"/>
  <c r="J677" i="4"/>
  <c r="G677" i="4"/>
  <c r="J676" i="4"/>
  <c r="G676" i="4"/>
  <c r="J675" i="4"/>
  <c r="G675" i="4"/>
  <c r="J674" i="4"/>
  <c r="G674" i="4"/>
  <c r="J673" i="4"/>
  <c r="G673" i="4"/>
  <c r="J672" i="4"/>
  <c r="G672" i="4"/>
  <c r="J671" i="4"/>
  <c r="G671" i="4"/>
  <c r="J670" i="4"/>
  <c r="G670" i="4"/>
  <c r="J669" i="4"/>
  <c r="G669" i="4"/>
  <c r="J668" i="4"/>
  <c r="G668" i="4"/>
  <c r="J667" i="4"/>
  <c r="G667" i="4"/>
  <c r="J666" i="4"/>
  <c r="G666" i="4"/>
  <c r="J665" i="4"/>
  <c r="G665" i="4"/>
  <c r="J664" i="4"/>
  <c r="G664" i="4"/>
  <c r="J663" i="4"/>
  <c r="G663" i="4"/>
  <c r="J696" i="4"/>
  <c r="G696" i="4"/>
  <c r="J695" i="4"/>
  <c r="G695" i="4"/>
  <c r="J694" i="4"/>
  <c r="G694" i="4"/>
  <c r="J693" i="4"/>
  <c r="G693" i="4"/>
  <c r="J692" i="4"/>
  <c r="G692" i="4"/>
  <c r="J691" i="4"/>
  <c r="G691" i="4"/>
  <c r="J690" i="4"/>
  <c r="G690" i="4"/>
  <c r="J689" i="4"/>
  <c r="G689" i="4"/>
  <c r="J688" i="4"/>
  <c r="G688" i="4"/>
  <c r="J687" i="4"/>
  <c r="G687" i="4"/>
  <c r="J686" i="4"/>
  <c r="G686" i="4"/>
  <c r="J685" i="4"/>
  <c r="G685" i="4"/>
  <c r="J684" i="4"/>
  <c r="G684" i="4"/>
  <c r="J683" i="4"/>
  <c r="G683" i="4"/>
  <c r="J682" i="4"/>
  <c r="G682" i="4"/>
  <c r="J681" i="4"/>
  <c r="G681" i="4"/>
  <c r="J714" i="4"/>
  <c r="G714" i="4"/>
  <c r="J713" i="4"/>
  <c r="G713" i="4"/>
  <c r="J712" i="4"/>
  <c r="G712" i="4"/>
  <c r="J711" i="4"/>
  <c r="G711" i="4"/>
  <c r="J710" i="4"/>
  <c r="G710" i="4"/>
  <c r="J709" i="4"/>
  <c r="G709" i="4"/>
  <c r="J708" i="4"/>
  <c r="G708" i="4"/>
  <c r="J707" i="4"/>
  <c r="G707" i="4"/>
  <c r="J706" i="4"/>
  <c r="G706" i="4"/>
  <c r="J705" i="4"/>
  <c r="G705" i="4"/>
  <c r="J704" i="4"/>
  <c r="G704" i="4"/>
  <c r="J703" i="4"/>
  <c r="G703" i="4"/>
  <c r="J702" i="4"/>
  <c r="G702" i="4"/>
  <c r="J701" i="4"/>
  <c r="G701" i="4"/>
  <c r="J700" i="4"/>
  <c r="G700" i="4"/>
  <c r="J699" i="4"/>
  <c r="G699" i="4"/>
  <c r="J732" i="4"/>
  <c r="G732" i="4"/>
  <c r="J731" i="4"/>
  <c r="G731" i="4"/>
  <c r="J730" i="4"/>
  <c r="G730" i="4"/>
  <c r="J729" i="4"/>
  <c r="G729" i="4"/>
  <c r="J728" i="4"/>
  <c r="G728" i="4"/>
  <c r="J727" i="4"/>
  <c r="G727" i="4"/>
  <c r="J726" i="4"/>
  <c r="G726" i="4"/>
  <c r="J725" i="4"/>
  <c r="G725" i="4"/>
  <c r="J724" i="4"/>
  <c r="G724" i="4"/>
  <c r="J723" i="4"/>
  <c r="G723" i="4"/>
  <c r="J722" i="4"/>
  <c r="G722" i="4"/>
  <c r="J721" i="4"/>
  <c r="G721" i="4"/>
  <c r="J720" i="4"/>
  <c r="G720" i="4"/>
  <c r="J719" i="4"/>
  <c r="G719" i="4"/>
  <c r="J718" i="4"/>
  <c r="G718" i="4"/>
  <c r="J717" i="4"/>
  <c r="G717" i="4"/>
  <c r="J750" i="4"/>
  <c r="G750" i="4"/>
  <c r="J749" i="4"/>
  <c r="G749" i="4"/>
  <c r="J748" i="4"/>
  <c r="G748" i="4"/>
  <c r="J747" i="4"/>
  <c r="G747" i="4"/>
  <c r="J746" i="4"/>
  <c r="G746" i="4"/>
  <c r="J745" i="4"/>
  <c r="G745" i="4"/>
  <c r="J744" i="4"/>
  <c r="G744" i="4"/>
  <c r="J743" i="4"/>
  <c r="G743" i="4"/>
  <c r="J742" i="4"/>
  <c r="G742" i="4"/>
  <c r="J741" i="4"/>
  <c r="G741" i="4"/>
  <c r="J740" i="4"/>
  <c r="G740" i="4"/>
  <c r="J739" i="4"/>
  <c r="G739" i="4"/>
  <c r="J738" i="4"/>
  <c r="G738" i="4"/>
  <c r="J737" i="4"/>
  <c r="G737" i="4"/>
  <c r="J736" i="4"/>
  <c r="G736" i="4"/>
  <c r="J735" i="4"/>
  <c r="G735" i="4"/>
  <c r="J768" i="4"/>
  <c r="D768" i="4"/>
  <c r="J767" i="4"/>
  <c r="D767" i="4"/>
  <c r="J766" i="4"/>
  <c r="D766" i="4"/>
  <c r="J765" i="4"/>
  <c r="D765" i="4"/>
  <c r="J764" i="4"/>
  <c r="D764" i="4"/>
  <c r="J763" i="4"/>
  <c r="D763" i="4"/>
  <c r="J762" i="4"/>
  <c r="D762" i="4"/>
  <c r="J761" i="4"/>
  <c r="D761" i="4"/>
  <c r="J760" i="4"/>
  <c r="D760" i="4"/>
  <c r="J759" i="4"/>
  <c r="D759" i="4"/>
  <c r="J758" i="4"/>
  <c r="D758" i="4"/>
  <c r="J757" i="4"/>
  <c r="D757" i="4"/>
  <c r="J756" i="4"/>
  <c r="D756" i="4"/>
  <c r="J755" i="4"/>
  <c r="D755" i="4"/>
  <c r="J754" i="4"/>
  <c r="D754" i="4"/>
  <c r="J753" i="4"/>
  <c r="D753" i="4"/>
  <c r="J786" i="4"/>
  <c r="D786" i="4"/>
  <c r="J785" i="4"/>
  <c r="D785" i="4"/>
  <c r="J784" i="4"/>
  <c r="D784" i="4"/>
  <c r="J783" i="4"/>
  <c r="D783" i="4"/>
  <c r="J782" i="4"/>
  <c r="D782" i="4"/>
  <c r="J781" i="4"/>
  <c r="D781" i="4"/>
  <c r="J780" i="4"/>
  <c r="D780" i="4"/>
  <c r="J779" i="4"/>
  <c r="D779" i="4"/>
  <c r="J778" i="4"/>
  <c r="D778" i="4"/>
  <c r="J777" i="4"/>
  <c r="D777" i="4"/>
  <c r="J776" i="4"/>
  <c r="D776" i="4"/>
  <c r="J775" i="4"/>
  <c r="D775" i="4"/>
  <c r="J774" i="4"/>
  <c r="D774" i="4"/>
  <c r="J773" i="4"/>
  <c r="D773" i="4"/>
  <c r="J772" i="4"/>
  <c r="D772" i="4"/>
  <c r="J771" i="4"/>
  <c r="D771" i="4"/>
  <c r="J804" i="4"/>
  <c r="D804" i="4"/>
  <c r="J803" i="4"/>
  <c r="D803" i="4"/>
  <c r="J802" i="4"/>
  <c r="D802" i="4"/>
  <c r="J801" i="4"/>
  <c r="D801" i="4"/>
  <c r="J800" i="4"/>
  <c r="D800" i="4"/>
  <c r="J799" i="4"/>
  <c r="D799" i="4"/>
  <c r="J798" i="4"/>
  <c r="D798" i="4"/>
  <c r="J797" i="4"/>
  <c r="D797" i="4"/>
  <c r="J796" i="4"/>
  <c r="D796" i="4"/>
  <c r="J795" i="4"/>
  <c r="D795" i="4"/>
  <c r="J794" i="4"/>
  <c r="D794" i="4"/>
  <c r="J793" i="4"/>
  <c r="D793" i="4"/>
  <c r="J792" i="4"/>
  <c r="D792" i="4"/>
  <c r="J791" i="4"/>
  <c r="D791" i="4"/>
  <c r="J790" i="4"/>
  <c r="D790" i="4"/>
  <c r="J789" i="4"/>
  <c r="D789" i="4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K405" i="1"/>
  <c r="K406" i="1"/>
  <c r="K407" i="1"/>
  <c r="K408" i="1"/>
  <c r="K409" i="1"/>
  <c r="K410" i="1"/>
  <c r="K411" i="1"/>
  <c r="K412" i="1"/>
  <c r="K413" i="1"/>
  <c r="K404" i="1"/>
  <c r="K403" i="1"/>
  <c r="K402" i="1"/>
  <c r="K401" i="1"/>
  <c r="K400" i="1"/>
  <c r="K399" i="1"/>
  <c r="K398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6" i="1"/>
  <c r="K417" i="1"/>
  <c r="K418" i="1"/>
  <c r="K419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G362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5" i="4" l="1"/>
  <c r="D25" i="4"/>
  <c r="J76" i="4"/>
  <c r="J75" i="4"/>
  <c r="J96" i="4"/>
  <c r="J94" i="4"/>
  <c r="J90" i="4"/>
  <c r="J85" i="4"/>
  <c r="J80" i="4"/>
  <c r="J73" i="4"/>
  <c r="J35" i="4"/>
  <c r="J67" i="4"/>
  <c r="J64" i="4"/>
  <c r="J62" i="4"/>
  <c r="J56" i="4"/>
  <c r="J51" i="4"/>
  <c r="J42" i="4"/>
  <c r="J38" i="4"/>
  <c r="J30" i="4"/>
  <c r="J27" i="4"/>
  <c r="I76" i="4"/>
  <c r="I75" i="4"/>
  <c r="I96" i="4"/>
  <c r="I94" i="4"/>
  <c r="I90" i="4"/>
  <c r="I85" i="4"/>
  <c r="I80" i="4"/>
  <c r="I73" i="4"/>
  <c r="I35" i="4"/>
  <c r="I67" i="4"/>
  <c r="I64" i="4"/>
  <c r="I62" i="4"/>
  <c r="I56" i="4"/>
  <c r="I51" i="4"/>
  <c r="I42" i="4"/>
  <c r="I38" i="4"/>
  <c r="I30" i="4"/>
  <c r="I27" i="4"/>
  <c r="H76" i="4"/>
  <c r="H75" i="4"/>
  <c r="H96" i="4"/>
  <c r="H94" i="4"/>
  <c r="H90" i="4"/>
  <c r="H85" i="4"/>
  <c r="J86" i="4"/>
  <c r="J57" i="4"/>
  <c r="J98" i="4"/>
  <c r="J43" i="4"/>
  <c r="J89" i="4"/>
  <c r="J84" i="4"/>
  <c r="J79" i="4"/>
  <c r="J71" i="4"/>
  <c r="J68" i="4"/>
  <c r="J66" i="4"/>
  <c r="J63" i="4"/>
  <c r="J61" i="4"/>
  <c r="J54" i="4"/>
  <c r="J48" i="4"/>
  <c r="J31" i="4"/>
  <c r="J34" i="4"/>
  <c r="J33" i="4"/>
  <c r="J29" i="4"/>
  <c r="I86" i="4"/>
  <c r="I57" i="4"/>
  <c r="I98" i="4"/>
  <c r="I43" i="4"/>
  <c r="I89" i="4"/>
  <c r="I84" i="4"/>
  <c r="I79" i="4"/>
  <c r="I71" i="4"/>
  <c r="I68" i="4"/>
  <c r="I66" i="4"/>
  <c r="I63" i="4"/>
  <c r="I61" i="4"/>
  <c r="I54" i="4"/>
  <c r="I48" i="4"/>
  <c r="I31" i="4"/>
  <c r="I34" i="4"/>
  <c r="I33" i="4"/>
  <c r="I29" i="4"/>
  <c r="H86" i="4"/>
  <c r="H57" i="4"/>
  <c r="H98" i="4"/>
  <c r="H43" i="4"/>
  <c r="H87" i="4"/>
  <c r="H80" i="4"/>
  <c r="H73" i="4"/>
  <c r="H35" i="4"/>
  <c r="H67" i="4"/>
  <c r="H64" i="4"/>
  <c r="H62" i="4"/>
  <c r="H56" i="4"/>
  <c r="H51" i="4"/>
  <c r="H42" i="4"/>
  <c r="H38" i="4"/>
  <c r="H30" i="4"/>
  <c r="H27" i="4"/>
  <c r="G76" i="4"/>
  <c r="G75" i="4"/>
  <c r="G96" i="4"/>
  <c r="G94" i="4"/>
  <c r="G90" i="4"/>
  <c r="G85" i="4"/>
  <c r="G80" i="4"/>
  <c r="G73" i="4"/>
  <c r="G35" i="4"/>
  <c r="G67" i="4"/>
  <c r="G64" i="4"/>
  <c r="G62" i="4"/>
  <c r="G56" i="4"/>
  <c r="G51" i="4"/>
  <c r="G42" i="4"/>
  <c r="G38" i="4"/>
  <c r="G30" i="4"/>
  <c r="G27" i="4"/>
  <c r="F76" i="4"/>
  <c r="F75" i="4"/>
  <c r="F96" i="4"/>
  <c r="F94" i="4"/>
  <c r="F90" i="4"/>
  <c r="F85" i="4"/>
  <c r="F80" i="4"/>
  <c r="F73" i="4"/>
  <c r="F35" i="4"/>
  <c r="F67" i="4"/>
  <c r="F64" i="4"/>
  <c r="F62" i="4"/>
  <c r="F56" i="4"/>
  <c r="F51" i="4"/>
  <c r="H89" i="4"/>
  <c r="H59" i="4"/>
  <c r="H74" i="4"/>
  <c r="H69" i="4"/>
  <c r="H55" i="4"/>
  <c r="H53" i="4"/>
  <c r="H46" i="4"/>
  <c r="H50" i="4"/>
  <c r="H52" i="4"/>
  <c r="H44" i="4"/>
  <c r="H39" i="4"/>
  <c r="H37" i="4"/>
  <c r="H28" i="4"/>
  <c r="G83" i="4"/>
  <c r="G72" i="4"/>
  <c r="G81" i="4"/>
  <c r="G95" i="4"/>
  <c r="G92" i="4"/>
  <c r="G87" i="4"/>
  <c r="G59" i="4"/>
  <c r="G74" i="4"/>
  <c r="G69" i="4"/>
  <c r="G55" i="4"/>
  <c r="G53" i="4"/>
  <c r="G46" i="4"/>
  <c r="G50" i="4"/>
  <c r="G52" i="4"/>
  <c r="G44" i="4"/>
  <c r="G39" i="4"/>
  <c r="G37" i="4"/>
  <c r="G28" i="4"/>
  <c r="F83" i="4"/>
  <c r="F72" i="4"/>
  <c r="F81" i="4"/>
  <c r="F95" i="4"/>
  <c r="F92" i="4"/>
  <c r="F87" i="4"/>
  <c r="F59" i="4"/>
  <c r="F74" i="4"/>
  <c r="F69" i="4"/>
  <c r="F55" i="4"/>
  <c r="F53" i="4"/>
  <c r="J91" i="4"/>
  <c r="J78" i="4"/>
  <c r="J97" i="4"/>
  <c r="J47" i="4"/>
  <c r="J93" i="4"/>
  <c r="J88" i="4"/>
  <c r="J82" i="4"/>
  <c r="J77" i="4"/>
  <c r="J70" i="4"/>
  <c r="J40" i="4"/>
  <c r="J65" i="4"/>
  <c r="J60" i="4"/>
  <c r="J58" i="4"/>
  <c r="J49" i="4"/>
  <c r="J45" i="4"/>
  <c r="J41" i="4"/>
  <c r="J36" i="4"/>
  <c r="I91" i="4"/>
  <c r="I78" i="4"/>
  <c r="I97" i="4"/>
  <c r="I47" i="4"/>
  <c r="I93" i="4"/>
  <c r="I88" i="4"/>
  <c r="I82" i="4"/>
  <c r="I77" i="4"/>
  <c r="I70" i="4"/>
  <c r="I40" i="4"/>
  <c r="I65" i="4"/>
  <c r="I60" i="4"/>
  <c r="I58" i="4"/>
  <c r="I49" i="4"/>
  <c r="I45" i="4"/>
  <c r="I41" i="4"/>
  <c r="I36" i="4"/>
  <c r="I32" i="4"/>
  <c r="H91" i="4"/>
  <c r="H78" i="4"/>
  <c r="H97" i="4"/>
  <c r="H47" i="4"/>
  <c r="H93" i="4"/>
  <c r="H88" i="4"/>
  <c r="J83" i="4"/>
  <c r="J72" i="4"/>
  <c r="J81" i="4"/>
  <c r="J95" i="4"/>
  <c r="J92" i="4"/>
  <c r="J87" i="4"/>
  <c r="J59" i="4"/>
  <c r="J74" i="4"/>
  <c r="J69" i="4"/>
  <c r="J55" i="4"/>
  <c r="J53" i="4"/>
  <c r="J46" i="4"/>
  <c r="J50" i="4"/>
  <c r="J52" i="4"/>
  <c r="J44" i="4"/>
  <c r="J39" i="4"/>
  <c r="J37" i="4"/>
  <c r="J28" i="4"/>
  <c r="I83" i="4"/>
  <c r="I72" i="4"/>
  <c r="I81" i="4"/>
  <c r="I95" i="4"/>
  <c r="I92" i="4"/>
  <c r="I87" i="4"/>
  <c r="I59" i="4"/>
  <c r="I74" i="4"/>
  <c r="I69" i="4"/>
  <c r="I55" i="4"/>
  <c r="I53" i="4"/>
  <c r="I46" i="4"/>
  <c r="I50" i="4"/>
  <c r="I52" i="4"/>
  <c r="I44" i="4"/>
  <c r="I39" i="4"/>
  <c r="I37" i="4"/>
  <c r="I28" i="4"/>
  <c r="H83" i="4"/>
  <c r="H72" i="4"/>
  <c r="H81" i="4"/>
  <c r="H95" i="4"/>
  <c r="H92" i="4"/>
  <c r="H82" i="4"/>
  <c r="H77" i="4"/>
  <c r="H70" i="4"/>
  <c r="H40" i="4"/>
  <c r="H65" i="4"/>
  <c r="H60" i="4"/>
  <c r="H58" i="4"/>
  <c r="H49" i="4"/>
  <c r="H45" i="4"/>
  <c r="H41" i="4"/>
  <c r="H36" i="4"/>
  <c r="H32" i="4"/>
  <c r="G91" i="4"/>
  <c r="G78" i="4"/>
  <c r="G97" i="4"/>
  <c r="G47" i="4"/>
  <c r="G93" i="4"/>
  <c r="G88" i="4"/>
  <c r="G82" i="4"/>
  <c r="G77" i="4"/>
  <c r="G70" i="4"/>
  <c r="G40" i="4"/>
  <c r="G65" i="4"/>
  <c r="G60" i="4"/>
  <c r="G58" i="4"/>
  <c r="G49" i="4"/>
  <c r="G45" i="4"/>
  <c r="G41" i="4"/>
  <c r="G36" i="4"/>
  <c r="G32" i="4"/>
  <c r="F91" i="4"/>
  <c r="F78" i="4"/>
  <c r="F97" i="4"/>
  <c r="F47" i="4"/>
  <c r="F93" i="4"/>
  <c r="F88" i="4"/>
  <c r="F82" i="4"/>
  <c r="F77" i="4"/>
  <c r="F70" i="4"/>
  <c r="F40" i="4"/>
  <c r="F65" i="4"/>
  <c r="F60" i="4"/>
  <c r="F58" i="4"/>
  <c r="F49" i="4"/>
  <c r="F45" i="4"/>
  <c r="H84" i="4"/>
  <c r="H79" i="4"/>
  <c r="H71" i="4"/>
  <c r="H68" i="4"/>
  <c r="H66" i="4"/>
  <c r="H61" i="4"/>
  <c r="H48" i="4"/>
  <c r="H34" i="4"/>
  <c r="H29" i="4"/>
  <c r="G57" i="4"/>
  <c r="G43" i="4"/>
  <c r="G84" i="4"/>
  <c r="G71" i="4"/>
  <c r="G66" i="4"/>
  <c r="G61" i="4"/>
  <c r="G48" i="4"/>
  <c r="G34" i="4"/>
  <c r="G29" i="4"/>
  <c r="F57" i="4"/>
  <c r="F43" i="4"/>
  <c r="F84" i="4"/>
  <c r="F71" i="4"/>
  <c r="F66" i="4"/>
  <c r="F46" i="4"/>
  <c r="D26" i="4"/>
  <c r="D27" i="4"/>
  <c r="D36" i="4"/>
  <c r="D41" i="4"/>
  <c r="D45" i="4"/>
  <c r="D49" i="4"/>
  <c r="D58" i="4"/>
  <c r="D60" i="4"/>
  <c r="D65" i="4"/>
  <c r="D40" i="4"/>
  <c r="D70" i="4"/>
  <c r="D77" i="4"/>
  <c r="D82" i="4"/>
  <c r="D88" i="4"/>
  <c r="D93" i="4"/>
  <c r="D47" i="4"/>
  <c r="K47" i="4" s="1"/>
  <c r="D97" i="4"/>
  <c r="D78" i="4"/>
  <c r="D91" i="4"/>
  <c r="E32" i="4"/>
  <c r="E36" i="4"/>
  <c r="E41" i="4"/>
  <c r="E45" i="4"/>
  <c r="E49" i="4"/>
  <c r="E58" i="4"/>
  <c r="E60" i="4"/>
  <c r="E65" i="4"/>
  <c r="E40" i="4"/>
  <c r="E70" i="4"/>
  <c r="E77" i="4"/>
  <c r="E82" i="4"/>
  <c r="E88" i="4"/>
  <c r="E93" i="4"/>
  <c r="E47" i="4"/>
  <c r="E97" i="4"/>
  <c r="E78" i="4"/>
  <c r="E91" i="4"/>
  <c r="F32" i="4"/>
  <c r="F36" i="4"/>
  <c r="F41" i="4"/>
  <c r="F48" i="4"/>
  <c r="F61" i="4"/>
  <c r="F26" i="4"/>
  <c r="D32" i="4"/>
  <c r="H25" i="4"/>
  <c r="E26" i="4"/>
  <c r="I26" i="4"/>
  <c r="D28" i="4"/>
  <c r="D37" i="4"/>
  <c r="D39" i="4"/>
  <c r="D44" i="4"/>
  <c r="D52" i="4"/>
  <c r="D50" i="4"/>
  <c r="D46" i="4"/>
  <c r="D53" i="4"/>
  <c r="D55" i="4"/>
  <c r="D69" i="4"/>
  <c r="D74" i="4"/>
  <c r="K74" i="4" s="1"/>
  <c r="D59" i="4"/>
  <c r="D87" i="4"/>
  <c r="D92" i="4"/>
  <c r="D95" i="4"/>
  <c r="D81" i="4"/>
  <c r="D72" i="4"/>
  <c r="D83" i="4"/>
  <c r="E28" i="4"/>
  <c r="E37" i="4"/>
  <c r="E39" i="4"/>
  <c r="E44" i="4"/>
  <c r="E52" i="4"/>
  <c r="E50" i="4"/>
  <c r="E46" i="4"/>
  <c r="E53" i="4"/>
  <c r="E55" i="4"/>
  <c r="E69" i="4"/>
  <c r="E74" i="4"/>
  <c r="E59" i="4"/>
  <c r="E87" i="4"/>
  <c r="E92" i="4"/>
  <c r="E95" i="4"/>
  <c r="E81" i="4"/>
  <c r="E72" i="4"/>
  <c r="E83" i="4"/>
  <c r="F28" i="4"/>
  <c r="F37" i="4"/>
  <c r="F39" i="4"/>
  <c r="F44" i="4"/>
  <c r="F50" i="4"/>
  <c r="E86" i="4"/>
  <c r="F33" i="4"/>
  <c r="F31" i="4"/>
  <c r="H63" i="4"/>
  <c r="H54" i="4"/>
  <c r="H31" i="4"/>
  <c r="H33" i="4"/>
  <c r="G86" i="4"/>
  <c r="G98" i="4"/>
  <c r="G89" i="4"/>
  <c r="G79" i="4"/>
  <c r="G68" i="4"/>
  <c r="G63" i="4"/>
  <c r="G54" i="4"/>
  <c r="G31" i="4"/>
  <c r="G33" i="4"/>
  <c r="F86" i="4"/>
  <c r="F98" i="4"/>
  <c r="F89" i="4"/>
  <c r="F79" i="4"/>
  <c r="F68" i="4"/>
  <c r="F63" i="4"/>
  <c r="G25" i="4"/>
  <c r="H26" i="4"/>
  <c r="D30" i="4"/>
  <c r="D38" i="4"/>
  <c r="D42" i="4"/>
  <c r="D51" i="4"/>
  <c r="K51" i="4" s="1"/>
  <c r="D56" i="4"/>
  <c r="D62" i="4"/>
  <c r="K62" i="4" s="1"/>
  <c r="D64" i="4"/>
  <c r="D67" i="4"/>
  <c r="D35" i="4"/>
  <c r="D73" i="4"/>
  <c r="D80" i="4"/>
  <c r="D85" i="4"/>
  <c r="D90" i="4"/>
  <c r="D94" i="4"/>
  <c r="D96" i="4"/>
  <c r="D75" i="4"/>
  <c r="D76" i="4"/>
  <c r="E27" i="4"/>
  <c r="E30" i="4"/>
  <c r="E38" i="4"/>
  <c r="E42" i="4"/>
  <c r="E51" i="4"/>
  <c r="E56" i="4"/>
  <c r="E62" i="4"/>
  <c r="E64" i="4"/>
  <c r="E67" i="4"/>
  <c r="E35" i="4"/>
  <c r="E73" i="4"/>
  <c r="E80" i="4"/>
  <c r="E85" i="4"/>
  <c r="E90" i="4"/>
  <c r="E94" i="4"/>
  <c r="E96" i="4"/>
  <c r="E75" i="4"/>
  <c r="E76" i="4"/>
  <c r="F27" i="4"/>
  <c r="F30" i="4"/>
  <c r="F38" i="4"/>
  <c r="F42" i="4"/>
  <c r="F54" i="4"/>
  <c r="I25" i="4"/>
  <c r="J26" i="4"/>
  <c r="F25" i="4"/>
  <c r="J25" i="4"/>
  <c r="G26" i="4"/>
  <c r="D29" i="4"/>
  <c r="D33" i="4"/>
  <c r="D34" i="4"/>
  <c r="D31" i="4"/>
  <c r="D48" i="4"/>
  <c r="D54" i="4"/>
  <c r="D61" i="4"/>
  <c r="D63" i="4"/>
  <c r="D66" i="4"/>
  <c r="K66" i="4" s="1"/>
  <c r="D68" i="4"/>
  <c r="D71" i="4"/>
  <c r="D79" i="4"/>
  <c r="D84" i="4"/>
  <c r="D89" i="4"/>
  <c r="D43" i="4"/>
  <c r="D98" i="4"/>
  <c r="D57" i="4"/>
  <c r="D86" i="4"/>
  <c r="E29" i="4"/>
  <c r="E33" i="4"/>
  <c r="E34" i="4"/>
  <c r="E31" i="4"/>
  <c r="E48" i="4"/>
  <c r="E54" i="4"/>
  <c r="E61" i="4"/>
  <c r="E63" i="4"/>
  <c r="E66" i="4"/>
  <c r="E68" i="4"/>
  <c r="E71" i="4"/>
  <c r="E79" i="4"/>
  <c r="E84" i="4"/>
  <c r="E89" i="4"/>
  <c r="E43" i="4"/>
  <c r="E98" i="4"/>
  <c r="E57" i="4"/>
  <c r="F29" i="4"/>
  <c r="F34" i="4"/>
  <c r="F52" i="4"/>
  <c r="J32" i="4"/>
  <c r="K58" i="4"/>
  <c r="K37" i="4"/>
  <c r="K91" i="4" l="1"/>
  <c r="N91" i="4"/>
  <c r="L91" i="4"/>
  <c r="M91" i="4"/>
  <c r="L86" i="4"/>
  <c r="M86" i="4"/>
  <c r="K86" i="4"/>
  <c r="N83" i="4"/>
  <c r="L83" i="4"/>
  <c r="M83" i="4"/>
  <c r="K83" i="4"/>
  <c r="L78" i="4"/>
  <c r="M78" i="4"/>
  <c r="K78" i="4"/>
  <c r="N76" i="4"/>
  <c r="L76" i="4"/>
  <c r="M76" i="4"/>
  <c r="K76" i="4"/>
  <c r="L72" i="4"/>
  <c r="K72" i="4"/>
  <c r="M72" i="4"/>
  <c r="N86" i="4"/>
  <c r="M97" i="4"/>
  <c r="K97" i="4"/>
  <c r="K50" i="4"/>
  <c r="M29" i="4"/>
  <c r="K93" i="4"/>
  <c r="M47" i="4"/>
  <c r="K85" i="4"/>
  <c r="N78" i="4"/>
  <c r="N72" i="4"/>
  <c r="K75" i="4"/>
  <c r="K57" i="4"/>
  <c r="M75" i="4"/>
  <c r="N75" i="4"/>
  <c r="L75" i="4"/>
  <c r="L97" i="4"/>
  <c r="N97" i="4"/>
  <c r="N57" i="4"/>
  <c r="L57" i="4"/>
  <c r="M57" i="4"/>
  <c r="M40" i="4"/>
  <c r="K40" i="4"/>
  <c r="K81" i="4"/>
  <c r="M81" i="4"/>
  <c r="K88" i="4"/>
  <c r="L81" i="4"/>
  <c r="K43" i="4"/>
  <c r="N81" i="4"/>
  <c r="N43" i="4"/>
  <c r="L43" i="4"/>
  <c r="L96" i="4"/>
  <c r="N96" i="4"/>
  <c r="M43" i="4"/>
  <c r="M96" i="4"/>
  <c r="M98" i="4"/>
  <c r="N40" i="4"/>
  <c r="L40" i="4"/>
  <c r="K35" i="4"/>
  <c r="L47" i="4"/>
  <c r="N47" i="4"/>
  <c r="K96" i="4"/>
  <c r="K98" i="4"/>
  <c r="L35" i="4"/>
  <c r="N35" i="4"/>
  <c r="N98" i="4"/>
  <c r="L98" i="4"/>
  <c r="M35" i="4"/>
  <c r="K59" i="4"/>
  <c r="K54" i="4"/>
  <c r="K53" i="4"/>
  <c r="K71" i="4"/>
  <c r="K46" i="4"/>
  <c r="K39" i="4"/>
  <c r="K63" i="4"/>
  <c r="K69" i="4"/>
  <c r="K90" i="4"/>
  <c r="K32" i="4"/>
  <c r="K29" i="4"/>
  <c r="N25" i="4"/>
  <c r="L25" i="4"/>
  <c r="N37" i="4"/>
  <c r="L37" i="4"/>
  <c r="N51" i="4"/>
  <c r="L51" i="4"/>
  <c r="N62" i="4"/>
  <c r="L62" i="4"/>
  <c r="N50" i="4"/>
  <c r="L50" i="4"/>
  <c r="N60" i="4"/>
  <c r="L60" i="4"/>
  <c r="N88" i="4"/>
  <c r="L88" i="4"/>
  <c r="N59" i="4"/>
  <c r="L59" i="4"/>
  <c r="M32" i="4"/>
  <c r="M45" i="4"/>
  <c r="M61" i="4"/>
  <c r="M67" i="4"/>
  <c r="M77" i="4"/>
  <c r="M87" i="4"/>
  <c r="M55" i="4"/>
  <c r="K38" i="4"/>
  <c r="K48" i="4"/>
  <c r="K94" i="4"/>
  <c r="L38" i="4"/>
  <c r="N38" i="4"/>
  <c r="L48" i="4"/>
  <c r="N48" i="4"/>
  <c r="L58" i="4"/>
  <c r="N58" i="4"/>
  <c r="N66" i="4"/>
  <c r="L66" i="4"/>
  <c r="N74" i="4"/>
  <c r="L74" i="4"/>
  <c r="N85" i="4"/>
  <c r="L85" i="4"/>
  <c r="L94" i="4"/>
  <c r="N94" i="4"/>
  <c r="M28" i="4"/>
  <c r="M42" i="4"/>
  <c r="M56" i="4"/>
  <c r="M65" i="4"/>
  <c r="M73" i="4"/>
  <c r="M84" i="4"/>
  <c r="M95" i="4"/>
  <c r="K36" i="4"/>
  <c r="K44" i="4"/>
  <c r="N26" i="4"/>
  <c r="L26" i="4"/>
  <c r="N28" i="4"/>
  <c r="L28" i="4"/>
  <c r="N41" i="4"/>
  <c r="L41" i="4"/>
  <c r="L42" i="4"/>
  <c r="N42" i="4"/>
  <c r="N31" i="4"/>
  <c r="L31" i="4"/>
  <c r="N56" i="4"/>
  <c r="L56" i="4"/>
  <c r="L34" i="4"/>
  <c r="N34" i="4"/>
  <c r="N65" i="4"/>
  <c r="L65" i="4"/>
  <c r="N68" i="4"/>
  <c r="L68" i="4"/>
  <c r="N73" i="4"/>
  <c r="L73" i="4"/>
  <c r="N79" i="4"/>
  <c r="L79" i="4"/>
  <c r="N84" i="4"/>
  <c r="L84" i="4"/>
  <c r="N89" i="4"/>
  <c r="L89" i="4"/>
  <c r="N95" i="4"/>
  <c r="L95" i="4"/>
  <c r="M25" i="4"/>
  <c r="M36" i="4"/>
  <c r="M37" i="4"/>
  <c r="M44" i="4"/>
  <c r="M51" i="4"/>
  <c r="M54" i="4"/>
  <c r="M62" i="4"/>
  <c r="M53" i="4"/>
  <c r="M50" i="4"/>
  <c r="M71" i="4"/>
  <c r="M60" i="4"/>
  <c r="M46" i="4"/>
  <c r="M88" i="4"/>
  <c r="M93" i="4"/>
  <c r="M59" i="4"/>
  <c r="K33" i="4"/>
  <c r="K41" i="4"/>
  <c r="K42" i="4"/>
  <c r="K31" i="4"/>
  <c r="K56" i="4"/>
  <c r="K34" i="4"/>
  <c r="K65" i="4"/>
  <c r="K68" i="4"/>
  <c r="K73" i="4"/>
  <c r="K79" i="4"/>
  <c r="K84" i="4"/>
  <c r="K89" i="4"/>
  <c r="K95" i="4"/>
  <c r="L29" i="4"/>
  <c r="N29" i="4"/>
  <c r="N36" i="4"/>
  <c r="L36" i="4"/>
  <c r="N44" i="4"/>
  <c r="L44" i="4"/>
  <c r="N54" i="4"/>
  <c r="L54" i="4"/>
  <c r="N53" i="4"/>
  <c r="L53" i="4"/>
  <c r="N71" i="4"/>
  <c r="L71" i="4"/>
  <c r="N46" i="4"/>
  <c r="L46" i="4"/>
  <c r="N93" i="4"/>
  <c r="L93" i="4"/>
  <c r="M33" i="4"/>
  <c r="M30" i="4"/>
  <c r="M49" i="4"/>
  <c r="M64" i="4"/>
  <c r="M70" i="4"/>
  <c r="M82" i="4"/>
  <c r="M92" i="4"/>
  <c r="K27" i="4"/>
  <c r="K52" i="4"/>
  <c r="K80" i="4"/>
  <c r="N27" i="4"/>
  <c r="L27" i="4"/>
  <c r="N39" i="4"/>
  <c r="L39" i="4"/>
  <c r="N52" i="4"/>
  <c r="L52" i="4"/>
  <c r="N63" i="4"/>
  <c r="L63" i="4"/>
  <c r="N69" i="4"/>
  <c r="L69" i="4"/>
  <c r="L80" i="4"/>
  <c r="N80" i="4"/>
  <c r="N90" i="4"/>
  <c r="L90" i="4"/>
  <c r="M26" i="4"/>
  <c r="M41" i="4"/>
  <c r="M31" i="4"/>
  <c r="M34" i="4"/>
  <c r="M68" i="4"/>
  <c r="M79" i="4"/>
  <c r="M89" i="4"/>
  <c r="K25" i="4"/>
  <c r="K60" i="4"/>
  <c r="L33" i="4"/>
  <c r="N33" i="4"/>
  <c r="N32" i="4"/>
  <c r="L32" i="4"/>
  <c r="N30" i="4"/>
  <c r="L30" i="4"/>
  <c r="N45" i="4"/>
  <c r="L45" i="4"/>
  <c r="N49" i="4"/>
  <c r="L49" i="4"/>
  <c r="N61" i="4"/>
  <c r="L61" i="4"/>
  <c r="L64" i="4"/>
  <c r="N64" i="4"/>
  <c r="L67" i="4"/>
  <c r="N67" i="4"/>
  <c r="L70" i="4"/>
  <c r="N70" i="4"/>
  <c r="L77" i="4"/>
  <c r="N77" i="4"/>
  <c r="N82" i="4"/>
  <c r="L82" i="4"/>
  <c r="L87" i="4"/>
  <c r="N87" i="4"/>
  <c r="N92" i="4"/>
  <c r="L92" i="4"/>
  <c r="L55" i="4"/>
  <c r="N55" i="4"/>
  <c r="M27" i="4"/>
  <c r="M38" i="4"/>
  <c r="M39" i="4"/>
  <c r="M48" i="4"/>
  <c r="M52" i="4"/>
  <c r="M58" i="4"/>
  <c r="M63" i="4"/>
  <c r="M66" i="4"/>
  <c r="M69" i="4"/>
  <c r="M74" i="4"/>
  <c r="M80" i="4"/>
  <c r="M85" i="4"/>
  <c r="M90" i="4"/>
  <c r="M94" i="4"/>
  <c r="K26" i="4"/>
  <c r="K28" i="4"/>
  <c r="K30" i="4"/>
  <c r="K45" i="4"/>
  <c r="K49" i="4"/>
  <c r="K61" i="4"/>
  <c r="K64" i="4"/>
  <c r="K67" i="4"/>
  <c r="K70" i="4"/>
  <c r="K77" i="4"/>
  <c r="K82" i="4"/>
  <c r="K87" i="4"/>
  <c r="K92" i="4"/>
  <c r="K55" i="4"/>
</calcChain>
</file>

<file path=xl/sharedStrings.xml><?xml version="1.0" encoding="utf-8"?>
<sst xmlns="http://schemas.openxmlformats.org/spreadsheetml/2006/main" count="1771" uniqueCount="203">
  <si>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</si>
  <si>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</si>
  <si>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</si>
  <si>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</si>
  <si>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</si>
  <si>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</si>
  <si>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</si>
  <si>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</si>
  <si>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</si>
  <si>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</si>
  <si>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</si>
  <si>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</si>
  <si>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</si>
  <si>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</si>
  <si>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</si>
  <si>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</si>
  <si>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</si>
  <si>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</si>
  <si>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</si>
  <si>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</si>
  <si>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</si>
  <si>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</si>
  <si>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</si>
  <si>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</si>
  <si>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</si>
  <si>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</si>
  <si>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</si>
  <si>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</si>
  <si>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</si>
  <si>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</si>
  <si>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</si>
  <si>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</si>
  <si>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</si>
  <si>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</si>
  <si>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</si>
  <si>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</si>
  <si>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</si>
  <si>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</si>
  <si>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</si>
  <si>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</si>
  <si>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</si>
  <si>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</si>
  <si>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</si>
  <si>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</si>
  <si>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</si>
  <si>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</si>
  <si>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</si>
  <si>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</si>
  <si>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</si>
  <si>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</si>
  <si>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</si>
  <si>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</si>
  <si>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</si>
  <si>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</si>
  <si>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</si>
  <si>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</si>
  <si>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</si>
  <si>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</si>
  <si>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</si>
  <si>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</si>
  <si>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</si>
  <si>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</si>
  <si>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</si>
  <si>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</si>
  <si>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</si>
  <si>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</si>
  <si>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</si>
  <si>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</si>
  <si>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</si>
  <si>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</si>
  <si>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</si>
  <si>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</si>
  <si>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1.FC Zdislavice Crew</t>
  </si>
  <si>
    <t>fc jiskra burani</t>
  </si>
  <si>
    <t>22. sezona</t>
  </si>
  <si>
    <t>23. sezona</t>
  </si>
  <si>
    <t>FC Independiente West Vroutek</t>
  </si>
  <si>
    <t>24. sezona</t>
  </si>
  <si>
    <t>I. Liga</t>
  </si>
  <si>
    <t>nejvíce zápasů</t>
  </si>
  <si>
    <t>nejvíce remíz</t>
  </si>
  <si>
    <t>nejvíce proher</t>
  </si>
  <si>
    <t>nejvíce výher</t>
  </si>
  <si>
    <t>nejvíce daných branek</t>
  </si>
  <si>
    <t>nejvíce obdržených branek</t>
  </si>
  <si>
    <t>nejvíce bodů</t>
  </si>
  <si>
    <t>procento úspěšnosti výhry</t>
  </si>
  <si>
    <t>nejvyšší průměr daných</t>
  </si>
  <si>
    <t>nejnižší průměr obdržených</t>
  </si>
  <si>
    <t>největší brankový rozdíl</t>
  </si>
  <si>
    <t>nejmenší brankový rozdíl</t>
  </si>
  <si>
    <t>25. sezona</t>
  </si>
  <si>
    <t>Zdislavice Crew</t>
  </si>
  <si>
    <t>MGK Telapet of the world</t>
  </si>
  <si>
    <t>26. sezona</t>
  </si>
  <si>
    <t>River Plate Vysoká FK</t>
  </si>
  <si>
    <t>kolikrát mistr</t>
  </si>
  <si>
    <t>nejvíc výher za sezonu</t>
  </si>
  <si>
    <t>nejvíc vstřelených za sezonu</t>
  </si>
  <si>
    <t>nejméně obdržených za sezonu</t>
  </si>
  <si>
    <t>nejvíc bodů za sezonu</t>
  </si>
  <si>
    <t>bedna 1-2-3</t>
  </si>
  <si>
    <t>mistři</t>
  </si>
  <si>
    <t>18. sezona FC Boca Pupíci 28</t>
  </si>
  <si>
    <t>vstřelené branky</t>
  </si>
  <si>
    <t>výhry</t>
  </si>
  <si>
    <t>16. sezona SK Berani Senomaty 163</t>
  </si>
  <si>
    <t>obdržené branky</t>
  </si>
  <si>
    <t>14. sezona FC Velenovy 8</t>
  </si>
  <si>
    <t>dosažené body</t>
  </si>
  <si>
    <t>18. sezona FC Boca Pupíci 85</t>
  </si>
  <si>
    <t>27. sezona</t>
  </si>
  <si>
    <t>Tatran Smiřice</t>
  </si>
  <si>
    <t>28. sezona</t>
  </si>
  <si>
    <t>C.A. All Boys Vršovice</t>
  </si>
  <si>
    <t>CA Koudy Sarsfield</t>
  </si>
  <si>
    <t>tým</t>
  </si>
  <si>
    <t>pg</t>
  </si>
  <si>
    <t>w</t>
  </si>
  <si>
    <t>t</t>
  </si>
  <si>
    <t>l</t>
  </si>
  <si>
    <t>gs</t>
  </si>
  <si>
    <t>ga</t>
  </si>
  <si>
    <t>pts</t>
  </si>
  <si>
    <t>perc</t>
  </si>
  <si>
    <t>gaavg</t>
  </si>
  <si>
    <t>gsavg</t>
  </si>
  <si>
    <t>diff</t>
  </si>
  <si>
    <t>Buldoci United</t>
  </si>
  <si>
    <t>29. sezona</t>
  </si>
  <si>
    <t>FK Dubnice</t>
  </si>
  <si>
    <t>SouthCity United</t>
  </si>
  <si>
    <t>30. sezona</t>
  </si>
  <si>
    <t>_TBM River Plate Vysoká FK</t>
  </si>
  <si>
    <t>31. sezona</t>
  </si>
  <si>
    <t>273 Pamplona</t>
  </si>
  <si>
    <t>3,13 SK Berani Senomaty</t>
  </si>
  <si>
    <t>pozice</t>
  </si>
  <si>
    <t>zlato</t>
  </si>
  <si>
    <t>stříbro</t>
  </si>
  <si>
    <t>bronz</t>
  </si>
  <si>
    <t>FC Petrůvka*</t>
  </si>
  <si>
    <t>FC Boca Pupíci*</t>
  </si>
  <si>
    <t>Colón de Santa Fe*</t>
  </si>
  <si>
    <t>rozdil umisteni</t>
  </si>
  <si>
    <t>32. sezona</t>
  </si>
  <si>
    <t>FC Buenos Aires 2011</t>
  </si>
  <si>
    <t>Union Oslov</t>
  </si>
  <si>
    <t>Boca</t>
  </si>
  <si>
    <t>33. sezona</t>
  </si>
  <si>
    <t>ARG club de Barcelona C.F.</t>
  </si>
  <si>
    <t>S.C. EI Chorrillo Scorpions</t>
  </si>
  <si>
    <t>34. sezona</t>
  </si>
  <si>
    <t>ACS Zewlteam</t>
  </si>
  <si>
    <t>Punta de Los Llanos Bombers</t>
  </si>
  <si>
    <t>35. sezona</t>
  </si>
  <si>
    <t>La Batalla</t>
  </si>
  <si>
    <t>36. sezona</t>
  </si>
  <si>
    <t>FC Jameson Buenos Aires</t>
  </si>
  <si>
    <t>37. sezona</t>
  </si>
  <si>
    <t>Bulldogs Chomutov</t>
  </si>
  <si>
    <t>ggg ostrovani b</t>
  </si>
  <si>
    <t>38. sezona</t>
  </si>
  <si>
    <t>Rosario Central</t>
  </si>
  <si>
    <t>39. sezona</t>
  </si>
  <si>
    <t>Jaguares de C.A. Independiente</t>
  </si>
  <si>
    <t>Newels Old Boys</t>
  </si>
  <si>
    <t>40. sezona</t>
  </si>
  <si>
    <t>TJ Agro Milotice</t>
  </si>
  <si>
    <t>FC Buenods Aires 2011</t>
  </si>
  <si>
    <t>FC Jameson Buenso Aires</t>
  </si>
  <si>
    <t>41. sezona</t>
  </si>
  <si>
    <t>1020 FC Petrůvka</t>
  </si>
  <si>
    <t>674 FC Petrůvka</t>
  </si>
  <si>
    <t>131 FC Petrůvka</t>
  </si>
  <si>
    <t>2813 FC Petrůvka</t>
  </si>
  <si>
    <t>1315 Lazceteam</t>
  </si>
  <si>
    <t>2152 FC Petrůvka</t>
  </si>
  <si>
    <t>73,3 % San Lorenzo</t>
  </si>
  <si>
    <t>0,84 Colón de Santa Fe</t>
  </si>
  <si>
    <t>1835 FC Petrůvka</t>
  </si>
  <si>
    <t>minus 897 Lazceteam</t>
  </si>
  <si>
    <t>42. sezona</t>
  </si>
  <si>
    <t>43. sezona</t>
  </si>
  <si>
    <t>Buenos Aires 2011</t>
  </si>
  <si>
    <t>po 41. sezone</t>
  </si>
  <si>
    <t>37. sezona Colón de Santa Fe 28</t>
  </si>
  <si>
    <t>37. sezona Colón de Santa Fe 25</t>
  </si>
  <si>
    <t>utkání</t>
  </si>
  <si>
    <t>remízy</t>
  </si>
  <si>
    <t>prohry</t>
  </si>
  <si>
    <t>vstřelené</t>
  </si>
  <si>
    <t>obdržené</t>
  </si>
  <si>
    <t>body</t>
  </si>
  <si>
    <t>úspěšnost</t>
  </si>
  <si>
    <t>wins</t>
  </si>
  <si>
    <t>lost</t>
  </si>
  <si>
    <t>att</t>
  </si>
  <si>
    <t>Cacciatore da Newells F.C</t>
  </si>
  <si>
    <t>River Plate</t>
  </si>
  <si>
    <t>CF Artilero</t>
  </si>
  <si>
    <t>Rangers</t>
  </si>
  <si>
    <t>NP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</si>
</sst>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3E3E3E"/>
      <name val="Tahoma"/>
      <family val="2"/>
      <charset val="238"/>
    </font>
    <font>
      <sz val="11"/>
      <color rgb="FF222222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2" fillId="0" borderId="0" xfId="0" applyNumberFormat="1" applyFont="1"/>
    <xf numFmtId="2" fontId="0" fillId="0" borderId="0" xfId="0" applyNumberFormat="1" applyFill="1"/>
    <xf numFmtId="2" fontId="1" fillId="0" borderId="0" xfId="0" applyNumberFormat="1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ont="1" applyFill="1"/>
    <xf numFmtId="0" fontId="2" fillId="0" borderId="0" xfId="0" applyFont="1" applyFill="1"/>
    <xf numFmtId="0" fontId="0" fillId="0" borderId="0" xfId="0" applyNumberFormat="1" applyFont="1" applyFill="1"/>
    <xf numFmtId="0" fontId="7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zapas_zapas&amp;zapas=590897" TargetMode="External"/><Relationship Id="rId3" Type="http://schemas.openxmlformats.org/officeDocument/2006/relationships/hyperlink" Target="http://www.brejk.cz/index.php?p=zapas_zapas&amp;zapas=590894" TargetMode="External"/><Relationship Id="rId7" Type="http://schemas.openxmlformats.org/officeDocument/2006/relationships/image" Target="../media/image3.gif"/><Relationship Id="rId2" Type="http://schemas.openxmlformats.org/officeDocument/2006/relationships/image" Target="../media/image1.gif"/><Relationship Id="rId1" Type="http://schemas.openxmlformats.org/officeDocument/2006/relationships/hyperlink" Target="http://www.brejk.cz/index.php?p=zapas_zapas&amp;zapas=590893" TargetMode="External"/><Relationship Id="rId6" Type="http://schemas.openxmlformats.org/officeDocument/2006/relationships/image" Target="../media/image2.gif"/><Relationship Id="rId5" Type="http://schemas.openxmlformats.org/officeDocument/2006/relationships/hyperlink" Target="http://www.brejk.cz/index.php?p=zapas_zapas&amp;zapas=590896" TargetMode="External"/><Relationship Id="rId4" Type="http://schemas.openxmlformats.org/officeDocument/2006/relationships/hyperlink" Target="http://www.brejk.cz/index.php?p=zapas_zapas&amp;zapas=59089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2" name="Picture 8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3" name="Picture 8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4" name="Picture 8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5" name="Picture 8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6" name="Picture 85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7" name="Picture 8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8" name="Picture 8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9" name="Picture 8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0" name="Picture 8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1" name="Picture 90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2" name="Picture 9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3" name="Picture 9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4" name="Picture 9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5" name="Picture 94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6" name="Picture 95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7" name="Picture 9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8" name="Picture 9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9" name="Picture 9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0" name="Picture 9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1" name="Picture 10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2" name="Picture 10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3" name="Picture 102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4" name="Picture 10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5" name="Picture 104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6" name="Picture 10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7" name="Picture 10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8" name="Picture 10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9" name="Picture 10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0" name="Picture 109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1" name="Picture 11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2" name="Picture 11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3" name="Picture 112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4" name="Picture 11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5" name="Picture 11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6" name="Picture 11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7" name="Picture 11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8" name="Picture 11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9" name="Picture 11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0" name="Picture 11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1" name="Picture 120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2" name="Picture 121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3" name="Picture 12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4" name="Picture 12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5" name="Picture 12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6" name="Picture 12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7" name="Picture 126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8" name="Picture 12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9" name="Picture 12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0" name="Picture 129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1" name="Picture 13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2" name="Picture 13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3" name="Picture 13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4" name="Picture 13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5" name="Picture 13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6" name="Picture 13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7" name="Picture 13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8" name="Picture 13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9" name="Picture 13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0" name="Picture 13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1" name="Picture 14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2" name="Picture 14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3" name="Picture 14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4" name="Picture 143" descr="http://www.brejk.cz/images/stavW_small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5" name="Picture 14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6" name="Picture 14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7" name="Picture 14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8" name="Picture 14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9" name="Picture 14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0" name="Picture 14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1" name="Picture 150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2" name="Picture 15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3" name="Picture 15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4" name="Picture 15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5" name="Picture 15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6" name="Picture 15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7" name="Picture 15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8" name="Picture 15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9" name="Picture 15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0" name="Picture 15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1" name="Picture 160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11343" TargetMode="External"/><Relationship Id="rId13" Type="http://schemas.openxmlformats.org/officeDocument/2006/relationships/hyperlink" Target="http://www.brejk.cz/index.php?p=info_tym&amp;tym=58747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www.brejk.cz/index.php?p=info_tym&amp;tym=28627" TargetMode="External"/><Relationship Id="rId7" Type="http://schemas.openxmlformats.org/officeDocument/2006/relationships/hyperlink" Target="http://www.brejk.cz/index.php?p=info_tym&amp;tym=26357" TargetMode="External"/><Relationship Id="rId12" Type="http://schemas.openxmlformats.org/officeDocument/2006/relationships/hyperlink" Target="http://www.brejk.cz/index.php?p=info_tym&amp;tym=1037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brejk.cz/index.php?p=info_tym&amp;tym=8698" TargetMode="External"/><Relationship Id="rId16" Type="http://schemas.openxmlformats.org/officeDocument/2006/relationships/hyperlink" Target="http://www.brejk.cz/index.php?p=info_tym&amp;tym=30073" TargetMode="External"/><Relationship Id="rId1" Type="http://schemas.openxmlformats.org/officeDocument/2006/relationships/hyperlink" Target="http://www.brejk.cz/index.php?p=info_tym&amp;tym=37319" TargetMode="External"/><Relationship Id="rId6" Type="http://schemas.openxmlformats.org/officeDocument/2006/relationships/hyperlink" Target="http://www.brejk.cz/index.php?p=info_tym&amp;tym=16197" TargetMode="External"/><Relationship Id="rId11" Type="http://schemas.openxmlformats.org/officeDocument/2006/relationships/hyperlink" Target="http://www.brejk.cz/index.php?p=info_tym&amp;tym=23549" TargetMode="External"/><Relationship Id="rId5" Type="http://schemas.openxmlformats.org/officeDocument/2006/relationships/hyperlink" Target="http://www.brejk.cz/index.php?p=info_tym&amp;tym=9741" TargetMode="External"/><Relationship Id="rId15" Type="http://schemas.openxmlformats.org/officeDocument/2006/relationships/hyperlink" Target="http://www.brejk.cz/index.php?p=info_tym&amp;tym=49193" TargetMode="External"/><Relationship Id="rId10" Type="http://schemas.openxmlformats.org/officeDocument/2006/relationships/hyperlink" Target="http://www.brejk.cz/index.php?p=info_tym&amp;tym=58587" TargetMode="External"/><Relationship Id="rId4" Type="http://schemas.openxmlformats.org/officeDocument/2006/relationships/hyperlink" Target="http://www.brejk.cz/index.php?p=info_tym&amp;tym=26787" TargetMode="External"/><Relationship Id="rId9" Type="http://schemas.openxmlformats.org/officeDocument/2006/relationships/hyperlink" Target="http://www.brejk.cz/index.php?p=info_tym&amp;tym=18813" TargetMode="External"/><Relationship Id="rId14" Type="http://schemas.openxmlformats.org/officeDocument/2006/relationships/hyperlink" Target="http://www.brejk.cz/index.php?p=info_tym&amp;tym=586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1"/>
  <sheetViews>
    <sheetView topLeftCell="A585" workbookViewId="0">
      <selection activeCell="J628" sqref="J628"/>
    </sheetView>
  </sheetViews>
  <sheetFormatPr defaultRowHeight="15" x14ac:dyDescent="0.25"/>
  <cols>
    <col min="2" max="2" width="3" bestFit="1" customWidth="1"/>
    <col min="3" max="3" width="30.7109375" bestFit="1" customWidth="1"/>
    <col min="10" max="10" width="9.140625" style="1"/>
    <col min="11" max="13" width="5.85546875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</cols>
  <sheetData>
    <row r="1" spans="2:10" x14ac:dyDescent="0.25">
      <c r="B1" s="52" t="s">
        <v>15</v>
      </c>
      <c r="C1" s="52"/>
      <c r="D1" s="52"/>
      <c r="E1" s="52"/>
      <c r="F1" s="52"/>
      <c r="G1" s="52"/>
      <c r="H1" s="52"/>
      <c r="I1" s="52"/>
      <c r="J1" s="52"/>
    </row>
    <row r="2" spans="2:10" x14ac:dyDescent="0.25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 x14ac:dyDescent="0.25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 x14ac:dyDescent="0.25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 x14ac:dyDescent="0.25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 x14ac:dyDescent="0.25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 x14ac:dyDescent="0.25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 x14ac:dyDescent="0.25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 x14ac:dyDescent="0.25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 x14ac:dyDescent="0.25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 x14ac:dyDescent="0.25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 x14ac:dyDescent="0.25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 x14ac:dyDescent="0.25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 x14ac:dyDescent="0.25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 x14ac:dyDescent="0.25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 x14ac:dyDescent="0.25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 x14ac:dyDescent="0.25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 x14ac:dyDescent="0.25">
      <c r="B19" s="52" t="s">
        <v>16</v>
      </c>
      <c r="C19" s="52"/>
      <c r="D19" s="52"/>
      <c r="E19" s="52"/>
      <c r="F19" s="52"/>
      <c r="G19" s="52"/>
      <c r="H19" s="52"/>
      <c r="I19" s="52"/>
      <c r="J19" s="52"/>
    </row>
    <row r="20" spans="2:10" x14ac:dyDescent="0.25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 x14ac:dyDescent="0.25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 x14ac:dyDescent="0.25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 x14ac:dyDescent="0.25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 x14ac:dyDescent="0.25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 x14ac:dyDescent="0.25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 x14ac:dyDescent="0.25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 x14ac:dyDescent="0.25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 x14ac:dyDescent="0.25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 x14ac:dyDescent="0.25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 x14ac:dyDescent="0.25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 x14ac:dyDescent="0.25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 x14ac:dyDescent="0.25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 x14ac:dyDescent="0.25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 x14ac:dyDescent="0.25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 x14ac:dyDescent="0.25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 x14ac:dyDescent="0.25">
      <c r="B37" s="52" t="s">
        <v>22</v>
      </c>
      <c r="C37" s="52"/>
      <c r="D37" s="52"/>
      <c r="E37" s="52"/>
      <c r="F37" s="52"/>
      <c r="G37" s="52"/>
      <c r="H37" s="52"/>
      <c r="I37" s="52"/>
      <c r="J37" s="52"/>
    </row>
    <row r="38" spans="2:12" x14ac:dyDescent="0.25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 x14ac:dyDescent="0.25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 x14ac:dyDescent="0.25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 x14ac:dyDescent="0.25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 x14ac:dyDescent="0.25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 x14ac:dyDescent="0.25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 x14ac:dyDescent="0.25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 x14ac:dyDescent="0.25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 x14ac:dyDescent="0.25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 x14ac:dyDescent="0.25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 x14ac:dyDescent="0.25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 x14ac:dyDescent="0.25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 x14ac:dyDescent="0.25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 x14ac:dyDescent="0.25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 x14ac:dyDescent="0.25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 x14ac:dyDescent="0.25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 x14ac:dyDescent="0.25">
      <c r="B55" s="52" t="s">
        <v>26</v>
      </c>
      <c r="C55" s="52"/>
      <c r="D55" s="52"/>
      <c r="E55" s="52"/>
      <c r="F55" s="52"/>
      <c r="G55" s="52"/>
      <c r="H55" s="52"/>
      <c r="I55" s="52"/>
      <c r="J55" s="52"/>
    </row>
    <row r="56" spans="2:10" x14ac:dyDescent="0.25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 x14ac:dyDescent="0.25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 x14ac:dyDescent="0.25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 x14ac:dyDescent="0.25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 x14ac:dyDescent="0.25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 x14ac:dyDescent="0.25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 x14ac:dyDescent="0.25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 x14ac:dyDescent="0.25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 x14ac:dyDescent="0.25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 x14ac:dyDescent="0.25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 x14ac:dyDescent="0.25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 x14ac:dyDescent="0.25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 x14ac:dyDescent="0.25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 x14ac:dyDescent="0.25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 x14ac:dyDescent="0.25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 x14ac:dyDescent="0.25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 x14ac:dyDescent="0.25">
      <c r="B73" s="52" t="s">
        <v>29</v>
      </c>
      <c r="C73" s="52"/>
      <c r="D73" s="52"/>
      <c r="E73" s="52"/>
      <c r="F73" s="52"/>
      <c r="G73" s="52"/>
      <c r="H73" s="52"/>
      <c r="I73" s="52"/>
      <c r="J73" s="52"/>
    </row>
    <row r="74" spans="2:10" x14ac:dyDescent="0.25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 x14ac:dyDescent="0.25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 x14ac:dyDescent="0.25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 x14ac:dyDescent="0.25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 x14ac:dyDescent="0.25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 x14ac:dyDescent="0.25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 x14ac:dyDescent="0.25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 x14ac:dyDescent="0.25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 x14ac:dyDescent="0.25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 x14ac:dyDescent="0.25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 x14ac:dyDescent="0.25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 x14ac:dyDescent="0.25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 x14ac:dyDescent="0.25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 x14ac:dyDescent="0.25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 x14ac:dyDescent="0.25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 x14ac:dyDescent="0.25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 x14ac:dyDescent="0.25">
      <c r="B91" s="52" t="s">
        <v>31</v>
      </c>
      <c r="C91" s="52"/>
      <c r="D91" s="52"/>
      <c r="E91" s="52"/>
      <c r="F91" s="52"/>
      <c r="G91" s="52"/>
      <c r="H91" s="52"/>
      <c r="I91" s="52"/>
      <c r="J91" s="52"/>
    </row>
    <row r="92" spans="2:10" x14ac:dyDescent="0.25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 x14ac:dyDescent="0.25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 x14ac:dyDescent="0.25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 x14ac:dyDescent="0.25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 x14ac:dyDescent="0.25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 x14ac:dyDescent="0.25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 x14ac:dyDescent="0.25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 x14ac:dyDescent="0.25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 x14ac:dyDescent="0.25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 x14ac:dyDescent="0.25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 x14ac:dyDescent="0.25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 x14ac:dyDescent="0.25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 x14ac:dyDescent="0.25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 x14ac:dyDescent="0.25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 x14ac:dyDescent="0.25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 x14ac:dyDescent="0.25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 x14ac:dyDescent="0.25">
      <c r="B109" s="52" t="s">
        <v>35</v>
      </c>
      <c r="C109" s="52"/>
      <c r="D109" s="52"/>
      <c r="E109" s="52"/>
      <c r="F109" s="52"/>
      <c r="G109" s="52"/>
      <c r="H109" s="52"/>
      <c r="I109" s="52"/>
      <c r="J109" s="52"/>
    </row>
    <row r="110" spans="2:10" x14ac:dyDescent="0.25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 x14ac:dyDescent="0.25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 x14ac:dyDescent="0.25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 x14ac:dyDescent="0.25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 x14ac:dyDescent="0.25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 x14ac:dyDescent="0.25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 x14ac:dyDescent="0.25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 x14ac:dyDescent="0.25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 x14ac:dyDescent="0.25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 x14ac:dyDescent="0.25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 x14ac:dyDescent="0.25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 x14ac:dyDescent="0.25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 x14ac:dyDescent="0.25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 x14ac:dyDescent="0.25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 x14ac:dyDescent="0.25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 x14ac:dyDescent="0.25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 x14ac:dyDescent="0.25">
      <c r="B127" s="52" t="s">
        <v>37</v>
      </c>
      <c r="C127" s="52"/>
      <c r="D127" s="52"/>
      <c r="E127" s="52"/>
      <c r="F127" s="52"/>
      <c r="G127" s="52"/>
      <c r="H127" s="52"/>
      <c r="I127" s="52"/>
      <c r="J127" s="52"/>
    </row>
    <row r="128" spans="2:10" x14ac:dyDescent="0.25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 x14ac:dyDescent="0.25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 x14ac:dyDescent="0.25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 x14ac:dyDescent="0.25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 x14ac:dyDescent="0.25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 x14ac:dyDescent="0.25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 x14ac:dyDescent="0.25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 x14ac:dyDescent="0.25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 x14ac:dyDescent="0.25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 x14ac:dyDescent="0.25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 x14ac:dyDescent="0.25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 x14ac:dyDescent="0.25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 x14ac:dyDescent="0.25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 x14ac:dyDescent="0.25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 x14ac:dyDescent="0.25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 x14ac:dyDescent="0.25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 x14ac:dyDescent="0.25">
      <c r="B145" s="52" t="s">
        <v>40</v>
      </c>
      <c r="C145" s="52"/>
      <c r="D145" s="52"/>
      <c r="E145" s="52"/>
      <c r="F145" s="52"/>
      <c r="G145" s="52"/>
      <c r="H145" s="52"/>
      <c r="I145" s="52"/>
      <c r="J145" s="52"/>
    </row>
    <row r="146" spans="2:10" x14ac:dyDescent="0.25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 x14ac:dyDescent="0.25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 x14ac:dyDescent="0.25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 x14ac:dyDescent="0.25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 x14ac:dyDescent="0.25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 x14ac:dyDescent="0.25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 x14ac:dyDescent="0.25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 x14ac:dyDescent="0.25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 x14ac:dyDescent="0.25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 x14ac:dyDescent="0.25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 x14ac:dyDescent="0.25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 x14ac:dyDescent="0.25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 x14ac:dyDescent="0.25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 x14ac:dyDescent="0.25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 x14ac:dyDescent="0.25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 x14ac:dyDescent="0.25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 x14ac:dyDescent="0.25">
      <c r="B163" s="52" t="s">
        <v>42</v>
      </c>
      <c r="C163" s="52"/>
      <c r="D163" s="52"/>
      <c r="E163" s="52"/>
      <c r="F163" s="52"/>
      <c r="G163" s="52"/>
      <c r="H163" s="52"/>
      <c r="I163" s="52"/>
      <c r="J163" s="52"/>
    </row>
    <row r="164" spans="2:10" x14ac:dyDescent="0.25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 x14ac:dyDescent="0.25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 x14ac:dyDescent="0.25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 x14ac:dyDescent="0.25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 x14ac:dyDescent="0.25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 x14ac:dyDescent="0.25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 x14ac:dyDescent="0.25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 x14ac:dyDescent="0.25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 x14ac:dyDescent="0.25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 x14ac:dyDescent="0.25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 x14ac:dyDescent="0.25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 x14ac:dyDescent="0.25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 x14ac:dyDescent="0.25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 x14ac:dyDescent="0.25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 x14ac:dyDescent="0.25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 x14ac:dyDescent="0.25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 x14ac:dyDescent="0.25">
      <c r="B181" s="52" t="s">
        <v>44</v>
      </c>
      <c r="C181" s="52"/>
      <c r="D181" s="52"/>
      <c r="E181" s="52"/>
      <c r="F181" s="52"/>
      <c r="G181" s="52"/>
      <c r="H181" s="52"/>
      <c r="I181" s="52"/>
      <c r="J181" s="52"/>
    </row>
    <row r="182" spans="2:10" x14ac:dyDescent="0.25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 x14ac:dyDescent="0.25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 x14ac:dyDescent="0.25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 x14ac:dyDescent="0.25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 x14ac:dyDescent="0.25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 x14ac:dyDescent="0.25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 x14ac:dyDescent="0.25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 x14ac:dyDescent="0.25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 x14ac:dyDescent="0.25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 x14ac:dyDescent="0.25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 x14ac:dyDescent="0.25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 x14ac:dyDescent="0.25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 x14ac:dyDescent="0.25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 x14ac:dyDescent="0.25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 x14ac:dyDescent="0.25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 x14ac:dyDescent="0.25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 x14ac:dyDescent="0.25">
      <c r="B199" s="52" t="s">
        <v>46</v>
      </c>
      <c r="C199" s="52"/>
      <c r="D199" s="52"/>
      <c r="E199" s="52"/>
      <c r="F199" s="52"/>
      <c r="G199" s="52"/>
      <c r="H199" s="52"/>
      <c r="I199" s="52"/>
      <c r="J199" s="52"/>
    </row>
    <row r="200" spans="2:10" x14ac:dyDescent="0.25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 x14ac:dyDescent="0.25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 x14ac:dyDescent="0.25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 x14ac:dyDescent="0.25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 x14ac:dyDescent="0.25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 x14ac:dyDescent="0.25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 x14ac:dyDescent="0.25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 x14ac:dyDescent="0.25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 x14ac:dyDescent="0.25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 x14ac:dyDescent="0.25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 x14ac:dyDescent="0.25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 x14ac:dyDescent="0.25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 x14ac:dyDescent="0.25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 x14ac:dyDescent="0.25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 x14ac:dyDescent="0.25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 x14ac:dyDescent="0.25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 x14ac:dyDescent="0.25">
      <c r="B217" s="52" t="s">
        <v>49</v>
      </c>
      <c r="C217" s="52"/>
      <c r="D217" s="52"/>
      <c r="E217" s="52"/>
      <c r="F217" s="52"/>
      <c r="G217" s="52"/>
      <c r="H217" s="52"/>
      <c r="I217" s="52"/>
      <c r="J217" s="52"/>
    </row>
    <row r="218" spans="2:10" x14ac:dyDescent="0.25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 x14ac:dyDescent="0.25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 x14ac:dyDescent="0.25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 x14ac:dyDescent="0.25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 x14ac:dyDescent="0.25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 x14ac:dyDescent="0.25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 x14ac:dyDescent="0.25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 x14ac:dyDescent="0.25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 x14ac:dyDescent="0.25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 x14ac:dyDescent="0.25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 x14ac:dyDescent="0.25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 x14ac:dyDescent="0.25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 x14ac:dyDescent="0.25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 x14ac:dyDescent="0.25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 x14ac:dyDescent="0.25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 x14ac:dyDescent="0.25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 x14ac:dyDescent="0.25">
      <c r="B235" s="52" t="s">
        <v>54</v>
      </c>
      <c r="C235" s="52"/>
      <c r="D235" s="52"/>
      <c r="E235" s="52"/>
      <c r="F235" s="52"/>
      <c r="G235" s="52"/>
      <c r="H235" s="52"/>
      <c r="I235" s="52"/>
      <c r="J235" s="52"/>
    </row>
    <row r="236" spans="2:10" x14ac:dyDescent="0.25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 x14ac:dyDescent="0.25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 x14ac:dyDescent="0.25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 x14ac:dyDescent="0.25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 x14ac:dyDescent="0.25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 x14ac:dyDescent="0.25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 x14ac:dyDescent="0.25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 x14ac:dyDescent="0.25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 x14ac:dyDescent="0.25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 x14ac:dyDescent="0.25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 x14ac:dyDescent="0.25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 x14ac:dyDescent="0.25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 x14ac:dyDescent="0.25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 x14ac:dyDescent="0.25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 x14ac:dyDescent="0.25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 x14ac:dyDescent="0.25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 x14ac:dyDescent="0.25">
      <c r="B253" s="52" t="s">
        <v>57</v>
      </c>
      <c r="C253" s="52"/>
      <c r="D253" s="52"/>
      <c r="E253" s="52"/>
      <c r="F253" s="52"/>
      <c r="G253" s="52"/>
      <c r="H253" s="52"/>
      <c r="I253" s="52"/>
      <c r="J253" s="52"/>
    </row>
    <row r="254" spans="2:10" x14ac:dyDescent="0.25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 x14ac:dyDescent="0.25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 x14ac:dyDescent="0.25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 x14ac:dyDescent="0.25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 x14ac:dyDescent="0.25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 x14ac:dyDescent="0.25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 x14ac:dyDescent="0.25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 x14ac:dyDescent="0.25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 x14ac:dyDescent="0.25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 x14ac:dyDescent="0.25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 x14ac:dyDescent="0.25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 x14ac:dyDescent="0.25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 x14ac:dyDescent="0.25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 x14ac:dyDescent="0.25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 x14ac:dyDescent="0.25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 x14ac:dyDescent="0.25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 x14ac:dyDescent="0.25">
      <c r="B271" s="52" t="s">
        <v>60</v>
      </c>
      <c r="C271" s="52"/>
      <c r="D271" s="52"/>
      <c r="E271" s="52"/>
      <c r="F271" s="52"/>
      <c r="G271" s="52"/>
      <c r="H271" s="52"/>
      <c r="I271" s="52"/>
      <c r="J271" s="52"/>
    </row>
    <row r="272" spans="2:10" x14ac:dyDescent="0.25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 x14ac:dyDescent="0.25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 x14ac:dyDescent="0.25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 x14ac:dyDescent="0.25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 x14ac:dyDescent="0.25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 x14ac:dyDescent="0.25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 x14ac:dyDescent="0.25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 x14ac:dyDescent="0.25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 x14ac:dyDescent="0.25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 x14ac:dyDescent="0.25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 x14ac:dyDescent="0.25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 x14ac:dyDescent="0.25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 x14ac:dyDescent="0.25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 x14ac:dyDescent="0.25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 x14ac:dyDescent="0.25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 x14ac:dyDescent="0.25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 x14ac:dyDescent="0.25">
      <c r="B289" s="52" t="s">
        <v>63</v>
      </c>
      <c r="C289" s="52"/>
      <c r="D289" s="52"/>
      <c r="E289" s="52"/>
      <c r="F289" s="52"/>
      <c r="G289" s="52"/>
      <c r="H289" s="52"/>
      <c r="I289" s="52"/>
      <c r="J289" s="52"/>
    </row>
    <row r="290" spans="2:10" x14ac:dyDescent="0.25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 x14ac:dyDescent="0.25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 x14ac:dyDescent="0.25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 x14ac:dyDescent="0.25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 x14ac:dyDescent="0.25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 x14ac:dyDescent="0.25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 x14ac:dyDescent="0.25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 x14ac:dyDescent="0.25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 x14ac:dyDescent="0.25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 x14ac:dyDescent="0.25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 x14ac:dyDescent="0.25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 x14ac:dyDescent="0.25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 x14ac:dyDescent="0.25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 x14ac:dyDescent="0.25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 x14ac:dyDescent="0.25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 x14ac:dyDescent="0.25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 x14ac:dyDescent="0.25">
      <c r="B307" s="52" t="s">
        <v>66</v>
      </c>
      <c r="C307" s="52"/>
      <c r="D307" s="52"/>
      <c r="E307" s="52"/>
      <c r="F307" s="52"/>
      <c r="G307" s="52"/>
      <c r="H307" s="52"/>
      <c r="I307" s="52"/>
      <c r="J307" s="52"/>
    </row>
    <row r="308" spans="2:10" x14ac:dyDescent="0.25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 x14ac:dyDescent="0.25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 x14ac:dyDescent="0.25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 x14ac:dyDescent="0.25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 x14ac:dyDescent="0.25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 x14ac:dyDescent="0.25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 x14ac:dyDescent="0.25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 x14ac:dyDescent="0.25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 x14ac:dyDescent="0.25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 x14ac:dyDescent="0.25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 x14ac:dyDescent="0.25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 x14ac:dyDescent="0.25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 x14ac:dyDescent="0.25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 x14ac:dyDescent="0.25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 x14ac:dyDescent="0.25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 x14ac:dyDescent="0.25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 x14ac:dyDescent="0.25">
      <c r="B325" s="52" t="s">
        <v>69</v>
      </c>
      <c r="C325" s="52"/>
      <c r="D325" s="52"/>
      <c r="E325" s="52"/>
      <c r="F325" s="52"/>
      <c r="G325" s="52"/>
      <c r="H325" s="52"/>
      <c r="I325" s="52"/>
      <c r="J325" s="52"/>
    </row>
    <row r="326" spans="2:10" x14ac:dyDescent="0.25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 x14ac:dyDescent="0.25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 x14ac:dyDescent="0.25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 x14ac:dyDescent="0.25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 x14ac:dyDescent="0.25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 x14ac:dyDescent="0.25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 x14ac:dyDescent="0.25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 x14ac:dyDescent="0.25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 x14ac:dyDescent="0.25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 x14ac:dyDescent="0.25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 x14ac:dyDescent="0.25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 x14ac:dyDescent="0.25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 x14ac:dyDescent="0.25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 x14ac:dyDescent="0.25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 x14ac:dyDescent="0.25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 x14ac:dyDescent="0.25">
      <c r="B341">
        <v>16</v>
      </c>
      <c r="C341" t="s">
        <v>34</v>
      </c>
      <c r="D341">
        <v>0</v>
      </c>
      <c r="E341">
        <v>0</v>
      </c>
      <c r="F341">
        <v>0</v>
      </c>
      <c r="G341">
        <f t="shared" si="36"/>
        <v>0</v>
      </c>
      <c r="H341">
        <v>0</v>
      </c>
      <c r="I341">
        <v>0</v>
      </c>
      <c r="J341" s="1">
        <f t="shared" si="37"/>
        <v>0</v>
      </c>
    </row>
    <row r="343" spans="2:10" x14ac:dyDescent="0.25">
      <c r="B343" s="52" t="s">
        <v>74</v>
      </c>
      <c r="C343" s="52"/>
      <c r="D343" s="52"/>
      <c r="E343" s="52"/>
      <c r="F343" s="52"/>
      <c r="G343" s="52"/>
      <c r="H343" s="52"/>
      <c r="I343" s="52"/>
      <c r="J343" s="52"/>
    </row>
    <row r="344" spans="2:10" x14ac:dyDescent="0.25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121</v>
      </c>
      <c r="I344" s="2">
        <v>12</v>
      </c>
      <c r="J344" s="3">
        <f>E344*3+F344*1</f>
        <v>83</v>
      </c>
    </row>
    <row r="345" spans="2:10" x14ac:dyDescent="0.25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115</v>
      </c>
      <c r="I345" s="2">
        <v>16</v>
      </c>
      <c r="J345" s="3">
        <f t="shared" ref="J345:J359" si="39">E345*3+F345*1</f>
        <v>78</v>
      </c>
    </row>
    <row r="346" spans="2:10" x14ac:dyDescent="0.25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91</v>
      </c>
      <c r="I346" s="2">
        <v>21</v>
      </c>
      <c r="J346" s="3">
        <f t="shared" si="39"/>
        <v>66</v>
      </c>
    </row>
    <row r="347" spans="2:10" x14ac:dyDescent="0.25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78</v>
      </c>
      <c r="I347" s="2">
        <v>25</v>
      </c>
      <c r="J347" s="3">
        <f t="shared" si="39"/>
        <v>64</v>
      </c>
    </row>
    <row r="348" spans="2:10" x14ac:dyDescent="0.25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70</v>
      </c>
      <c r="I348" s="2">
        <v>23</v>
      </c>
      <c r="J348" s="3">
        <f t="shared" si="39"/>
        <v>61</v>
      </c>
    </row>
    <row r="349" spans="2:10" x14ac:dyDescent="0.25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65</v>
      </c>
      <c r="I349" s="2">
        <v>37</v>
      </c>
      <c r="J349" s="3">
        <f t="shared" si="39"/>
        <v>57</v>
      </c>
    </row>
    <row r="350" spans="2:10" x14ac:dyDescent="0.25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35</v>
      </c>
      <c r="I350" s="2">
        <v>37</v>
      </c>
      <c r="J350" s="3">
        <f t="shared" si="39"/>
        <v>56</v>
      </c>
    </row>
    <row r="351" spans="2:10" x14ac:dyDescent="0.25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34</v>
      </c>
      <c r="I351" s="2">
        <v>49</v>
      </c>
      <c r="J351" s="3">
        <f t="shared" si="39"/>
        <v>45</v>
      </c>
    </row>
    <row r="352" spans="2:10" x14ac:dyDescent="0.25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41</v>
      </c>
      <c r="I352" s="2">
        <v>45</v>
      </c>
      <c r="J352" s="3">
        <f t="shared" si="39"/>
        <v>43</v>
      </c>
    </row>
    <row r="353" spans="2:10" x14ac:dyDescent="0.25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35</v>
      </c>
      <c r="I353" s="2">
        <v>61</v>
      </c>
      <c r="J353" s="3">
        <f t="shared" si="39"/>
        <v>35</v>
      </c>
    </row>
    <row r="354" spans="2:10" x14ac:dyDescent="0.25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36</v>
      </c>
      <c r="I354" s="2">
        <v>68</v>
      </c>
      <c r="J354" s="3">
        <f t="shared" si="39"/>
        <v>29</v>
      </c>
    </row>
    <row r="355" spans="2:10" x14ac:dyDescent="0.25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16</v>
      </c>
      <c r="I355" s="2">
        <v>84</v>
      </c>
      <c r="J355" s="3">
        <f t="shared" si="39"/>
        <v>26</v>
      </c>
    </row>
    <row r="356" spans="2:10" x14ac:dyDescent="0.25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24</v>
      </c>
      <c r="I356" s="2">
        <v>89</v>
      </c>
      <c r="J356" s="3">
        <f t="shared" si="39"/>
        <v>25</v>
      </c>
    </row>
    <row r="357" spans="2:10" x14ac:dyDescent="0.25">
      <c r="B357">
        <v>14</v>
      </c>
      <c r="C357" s="2" t="s">
        <v>72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19</v>
      </c>
      <c r="I357" s="2">
        <v>79</v>
      </c>
      <c r="J357" s="3">
        <f t="shared" si="39"/>
        <v>15</v>
      </c>
    </row>
    <row r="358" spans="2:10" x14ac:dyDescent="0.25">
      <c r="B358">
        <v>15</v>
      </c>
      <c r="C358" s="2" t="s">
        <v>73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22</v>
      </c>
      <c r="I358" s="2">
        <v>69</v>
      </c>
      <c r="J358" s="3">
        <f t="shared" si="39"/>
        <v>14</v>
      </c>
    </row>
    <row r="359" spans="2:10" x14ac:dyDescent="0.25">
      <c r="B359">
        <v>16</v>
      </c>
      <c r="C359" s="4" t="s">
        <v>34</v>
      </c>
      <c r="D359" s="4">
        <v>21</v>
      </c>
      <c r="E359" s="4">
        <v>1</v>
      </c>
      <c r="F359" s="4">
        <v>0</v>
      </c>
      <c r="G359" s="4">
        <f t="shared" si="38"/>
        <v>20</v>
      </c>
      <c r="H359" s="4">
        <v>0</v>
      </c>
      <c r="I359" s="4">
        <v>0</v>
      </c>
      <c r="J359" s="5">
        <f t="shared" si="39"/>
        <v>3</v>
      </c>
    </row>
    <row r="361" spans="2:10" x14ac:dyDescent="0.25">
      <c r="B361" s="52" t="s">
        <v>75</v>
      </c>
      <c r="C361" s="52"/>
      <c r="D361" s="52"/>
      <c r="E361" s="52"/>
      <c r="F361" s="52"/>
      <c r="G361" s="52"/>
      <c r="H361" s="52"/>
      <c r="I361" s="52"/>
      <c r="J361" s="52"/>
    </row>
    <row r="362" spans="2:10" x14ac:dyDescent="0.25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f>D362-E362-F362</f>
        <v>0</v>
      </c>
      <c r="H362" s="2">
        <v>112</v>
      </c>
      <c r="I362" s="2">
        <v>14</v>
      </c>
      <c r="J362" s="3">
        <f>E362*3+F362*1</f>
        <v>84</v>
      </c>
    </row>
    <row r="363" spans="2:10" x14ac:dyDescent="0.25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f t="shared" ref="G363:G377" si="40">D363-E363-F363</f>
        <v>3</v>
      </c>
      <c r="H363" s="2">
        <v>119</v>
      </c>
      <c r="I363" s="2">
        <v>19</v>
      </c>
      <c r="J363" s="3">
        <f t="shared" ref="J363:J377" si="41">E363*3+F363*1</f>
        <v>81</v>
      </c>
    </row>
    <row r="364" spans="2:10" x14ac:dyDescent="0.25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f t="shared" si="40"/>
        <v>7</v>
      </c>
      <c r="H364" s="2">
        <v>71</v>
      </c>
      <c r="I364" s="2">
        <v>26</v>
      </c>
      <c r="J364" s="3">
        <f t="shared" si="41"/>
        <v>65</v>
      </c>
    </row>
    <row r="365" spans="2:10" x14ac:dyDescent="0.25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f t="shared" si="40"/>
        <v>5</v>
      </c>
      <c r="H365" s="2">
        <v>74</v>
      </c>
      <c r="I365" s="2">
        <v>28</v>
      </c>
      <c r="J365" s="3">
        <f t="shared" si="41"/>
        <v>63</v>
      </c>
    </row>
    <row r="366" spans="2:10" x14ac:dyDescent="0.25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f t="shared" si="40"/>
        <v>9</v>
      </c>
      <c r="H366" s="2">
        <v>69</v>
      </c>
      <c r="I366" s="2">
        <v>35</v>
      </c>
      <c r="J366" s="3">
        <f t="shared" si="41"/>
        <v>59</v>
      </c>
    </row>
    <row r="367" spans="2:10" x14ac:dyDescent="0.25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f t="shared" si="40"/>
        <v>9</v>
      </c>
      <c r="H367" s="2">
        <v>54</v>
      </c>
      <c r="I367" s="2">
        <v>50</v>
      </c>
      <c r="J367" s="3">
        <f t="shared" si="41"/>
        <v>57</v>
      </c>
    </row>
    <row r="368" spans="2:10" x14ac:dyDescent="0.25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f t="shared" si="40"/>
        <v>11</v>
      </c>
      <c r="H368" s="2">
        <v>52</v>
      </c>
      <c r="I368" s="2">
        <v>29</v>
      </c>
      <c r="J368" s="3">
        <f t="shared" si="41"/>
        <v>47</v>
      </c>
    </row>
    <row r="369" spans="2:10" x14ac:dyDescent="0.25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f t="shared" si="40"/>
        <v>13</v>
      </c>
      <c r="H369" s="2">
        <v>37</v>
      </c>
      <c r="I369" s="2">
        <v>41</v>
      </c>
      <c r="J369" s="3">
        <f t="shared" si="41"/>
        <v>37</v>
      </c>
    </row>
    <row r="370" spans="2:10" x14ac:dyDescent="0.25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f t="shared" si="40"/>
        <v>13</v>
      </c>
      <c r="H370" s="2">
        <v>35</v>
      </c>
      <c r="I370" s="2">
        <v>49</v>
      </c>
      <c r="J370" s="3">
        <f t="shared" si="41"/>
        <v>37</v>
      </c>
    </row>
    <row r="371" spans="2:10" x14ac:dyDescent="0.25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f t="shared" si="40"/>
        <v>14</v>
      </c>
      <c r="H371" s="2">
        <v>38</v>
      </c>
      <c r="I371" s="2">
        <v>59</v>
      </c>
      <c r="J371" s="3">
        <f t="shared" si="41"/>
        <v>34</v>
      </c>
    </row>
    <row r="372" spans="2:10" x14ac:dyDescent="0.25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f t="shared" si="40"/>
        <v>16</v>
      </c>
      <c r="H372" s="2">
        <v>36</v>
      </c>
      <c r="I372" s="2">
        <v>59</v>
      </c>
      <c r="J372" s="3">
        <f t="shared" si="41"/>
        <v>32</v>
      </c>
    </row>
    <row r="373" spans="2:10" x14ac:dyDescent="0.25">
      <c r="B373">
        <v>12</v>
      </c>
      <c r="C373" s="2" t="s">
        <v>72</v>
      </c>
      <c r="D373" s="2">
        <v>30</v>
      </c>
      <c r="E373" s="2">
        <v>7</v>
      </c>
      <c r="F373" s="2">
        <v>7</v>
      </c>
      <c r="G373" s="2">
        <f t="shared" si="40"/>
        <v>16</v>
      </c>
      <c r="H373" s="2">
        <v>33</v>
      </c>
      <c r="I373" s="2">
        <v>75</v>
      </c>
      <c r="J373" s="3">
        <f t="shared" si="41"/>
        <v>28</v>
      </c>
    </row>
    <row r="374" spans="2:10" x14ac:dyDescent="0.25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f t="shared" si="40"/>
        <v>19</v>
      </c>
      <c r="H374" s="2">
        <v>21</v>
      </c>
      <c r="I374" s="2">
        <v>68</v>
      </c>
      <c r="J374" s="3">
        <f t="shared" si="41"/>
        <v>19</v>
      </c>
    </row>
    <row r="375" spans="2:10" x14ac:dyDescent="0.25">
      <c r="B375">
        <v>14</v>
      </c>
      <c r="C375" s="2" t="s">
        <v>76</v>
      </c>
      <c r="D375" s="2">
        <v>30</v>
      </c>
      <c r="E375" s="2">
        <v>2</v>
      </c>
      <c r="F375" s="2">
        <v>6</v>
      </c>
      <c r="G375" s="2">
        <f t="shared" si="40"/>
        <v>22</v>
      </c>
      <c r="H375" s="2">
        <v>24</v>
      </c>
      <c r="I375" s="2">
        <v>84</v>
      </c>
      <c r="J375" s="3">
        <f t="shared" si="41"/>
        <v>12</v>
      </c>
    </row>
    <row r="376" spans="2:10" x14ac:dyDescent="0.25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f t="shared" si="40"/>
        <v>24</v>
      </c>
      <c r="H376" s="2">
        <v>18</v>
      </c>
      <c r="I376" s="2">
        <v>92</v>
      </c>
      <c r="J376" s="3">
        <f t="shared" si="41"/>
        <v>10</v>
      </c>
    </row>
    <row r="377" spans="2:10" x14ac:dyDescent="0.25">
      <c r="B377">
        <v>16</v>
      </c>
      <c r="C377" s="4" t="s">
        <v>34</v>
      </c>
      <c r="D377" s="4">
        <v>1</v>
      </c>
      <c r="E377" s="4">
        <v>0</v>
      </c>
      <c r="F377" s="4">
        <v>0</v>
      </c>
      <c r="G377" s="4">
        <f t="shared" si="40"/>
        <v>1</v>
      </c>
      <c r="H377" s="4">
        <v>0</v>
      </c>
      <c r="I377" s="4">
        <v>6</v>
      </c>
      <c r="J377" s="5">
        <f t="shared" si="41"/>
        <v>0</v>
      </c>
    </row>
    <row r="379" spans="2:10" x14ac:dyDescent="0.25">
      <c r="B379" s="51" t="s">
        <v>77</v>
      </c>
      <c r="C379" s="51"/>
      <c r="D379" s="51"/>
      <c r="E379" s="51"/>
      <c r="F379" s="51"/>
      <c r="G379" s="51"/>
      <c r="H379" s="51"/>
      <c r="I379" s="51"/>
      <c r="J379" s="51"/>
    </row>
    <row r="380" spans="2:10" x14ac:dyDescent="0.25">
      <c r="B380" s="4">
        <v>1</v>
      </c>
      <c r="C380" s="2" t="s">
        <v>64</v>
      </c>
      <c r="D380" s="2">
        <v>30</v>
      </c>
      <c r="E380" s="2">
        <v>26</v>
      </c>
      <c r="F380" s="2">
        <v>2</v>
      </c>
      <c r="G380" s="2">
        <f>D380-E380-F380</f>
        <v>2</v>
      </c>
      <c r="H380" s="2">
        <v>103</v>
      </c>
      <c r="I380" s="2">
        <v>16</v>
      </c>
      <c r="J380" s="3">
        <f>E380*3+F380*1</f>
        <v>80</v>
      </c>
    </row>
    <row r="381" spans="2:10" x14ac:dyDescent="0.25">
      <c r="B381" s="4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f t="shared" ref="G381:G395" si="42">D381-E381-F381</f>
        <v>2</v>
      </c>
      <c r="H381" s="2">
        <v>106</v>
      </c>
      <c r="I381" s="2">
        <v>19</v>
      </c>
      <c r="J381" s="3">
        <f t="shared" ref="J381:J395" si="43">E381*3+F381*1</f>
        <v>78</v>
      </c>
    </row>
    <row r="382" spans="2:10" x14ac:dyDescent="0.25">
      <c r="B382" s="4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f t="shared" si="42"/>
        <v>3</v>
      </c>
      <c r="H382" s="2">
        <v>81</v>
      </c>
      <c r="I382" s="2">
        <v>22</v>
      </c>
      <c r="J382" s="3">
        <f t="shared" si="43"/>
        <v>77</v>
      </c>
    </row>
    <row r="383" spans="2:10" x14ac:dyDescent="0.25">
      <c r="B383" s="4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f t="shared" si="42"/>
        <v>5</v>
      </c>
      <c r="H383" s="2">
        <v>96</v>
      </c>
      <c r="I383" s="2">
        <v>25</v>
      </c>
      <c r="J383" s="3">
        <f t="shared" si="43"/>
        <v>69</v>
      </c>
    </row>
    <row r="384" spans="2:10" x14ac:dyDescent="0.25">
      <c r="B384" s="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f t="shared" si="42"/>
        <v>6</v>
      </c>
      <c r="H384" s="2">
        <v>90</v>
      </c>
      <c r="I384" s="2">
        <v>34</v>
      </c>
      <c r="J384" s="3">
        <f t="shared" si="43"/>
        <v>64</v>
      </c>
    </row>
    <row r="385" spans="2:11" x14ac:dyDescent="0.25">
      <c r="B385" s="4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f t="shared" si="42"/>
        <v>12</v>
      </c>
      <c r="H385" s="2">
        <v>67</v>
      </c>
      <c r="I385" s="2">
        <v>37</v>
      </c>
      <c r="J385" s="3">
        <f t="shared" si="43"/>
        <v>50</v>
      </c>
    </row>
    <row r="386" spans="2:11" x14ac:dyDescent="0.25">
      <c r="B386" s="4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f t="shared" si="42"/>
        <v>16</v>
      </c>
      <c r="H386" s="2">
        <v>42</v>
      </c>
      <c r="I386" s="2">
        <v>55</v>
      </c>
      <c r="J386" s="3">
        <f t="shared" si="43"/>
        <v>36</v>
      </c>
    </row>
    <row r="387" spans="2:11" x14ac:dyDescent="0.25">
      <c r="B387" s="4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f t="shared" si="42"/>
        <v>16</v>
      </c>
      <c r="H387" s="2">
        <v>40</v>
      </c>
      <c r="I387" s="2">
        <v>56</v>
      </c>
      <c r="J387" s="3">
        <f t="shared" si="43"/>
        <v>36</v>
      </c>
    </row>
    <row r="388" spans="2:11" x14ac:dyDescent="0.25">
      <c r="B388" s="4">
        <v>9</v>
      </c>
      <c r="C388" s="2" t="s">
        <v>72</v>
      </c>
      <c r="D388" s="2">
        <v>30</v>
      </c>
      <c r="E388" s="2">
        <v>8</v>
      </c>
      <c r="F388" s="2">
        <v>4</v>
      </c>
      <c r="G388" s="2">
        <f t="shared" si="42"/>
        <v>18</v>
      </c>
      <c r="H388" s="2">
        <v>37</v>
      </c>
      <c r="I388" s="2">
        <v>65</v>
      </c>
      <c r="J388" s="3">
        <f t="shared" si="43"/>
        <v>28</v>
      </c>
    </row>
    <row r="389" spans="2:11" x14ac:dyDescent="0.25">
      <c r="B389" s="4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f t="shared" si="42"/>
        <v>18</v>
      </c>
      <c r="H389" s="2">
        <v>40</v>
      </c>
      <c r="I389" s="2">
        <v>85</v>
      </c>
      <c r="J389" s="3">
        <f t="shared" si="43"/>
        <v>28</v>
      </c>
    </row>
    <row r="390" spans="2:11" x14ac:dyDescent="0.25">
      <c r="B390" s="4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f t="shared" si="42"/>
        <v>19</v>
      </c>
      <c r="H390" s="2">
        <v>35</v>
      </c>
      <c r="I390" s="2">
        <v>86</v>
      </c>
      <c r="J390" s="3">
        <f t="shared" si="43"/>
        <v>27</v>
      </c>
    </row>
    <row r="391" spans="2:11" x14ac:dyDescent="0.25">
      <c r="B391" s="4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f t="shared" si="42"/>
        <v>20</v>
      </c>
      <c r="H391" s="2">
        <v>36</v>
      </c>
      <c r="I391" s="2">
        <v>79</v>
      </c>
      <c r="J391" s="3">
        <f t="shared" si="43"/>
        <v>24</v>
      </c>
    </row>
    <row r="392" spans="2:11" x14ac:dyDescent="0.25">
      <c r="B392" s="4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f t="shared" si="42"/>
        <v>18</v>
      </c>
      <c r="H392" s="2">
        <v>28</v>
      </c>
      <c r="I392" s="2">
        <v>68</v>
      </c>
      <c r="J392" s="3">
        <f t="shared" si="43"/>
        <v>22</v>
      </c>
    </row>
    <row r="393" spans="2:11" x14ac:dyDescent="0.25">
      <c r="B393" s="4">
        <v>14</v>
      </c>
      <c r="C393" s="2" t="s">
        <v>73</v>
      </c>
      <c r="D393" s="2">
        <v>30</v>
      </c>
      <c r="E393" s="2">
        <v>5</v>
      </c>
      <c r="F393" s="2">
        <v>4</v>
      </c>
      <c r="G393" s="2">
        <f t="shared" si="42"/>
        <v>21</v>
      </c>
      <c r="H393" s="2">
        <v>17</v>
      </c>
      <c r="I393" s="2">
        <v>85</v>
      </c>
      <c r="J393" s="3">
        <f t="shared" si="43"/>
        <v>19</v>
      </c>
    </row>
    <row r="394" spans="2:11" x14ac:dyDescent="0.25">
      <c r="B394" s="4">
        <v>15</v>
      </c>
      <c r="C394" s="2" t="s">
        <v>76</v>
      </c>
      <c r="D394" s="2">
        <v>30</v>
      </c>
      <c r="E394" s="2">
        <v>4</v>
      </c>
      <c r="F394" s="2">
        <v>3</v>
      </c>
      <c r="G394" s="2">
        <f t="shared" si="42"/>
        <v>23</v>
      </c>
      <c r="H394" s="2">
        <v>16</v>
      </c>
      <c r="I394" s="2">
        <v>91</v>
      </c>
      <c r="J394" s="3">
        <f t="shared" si="43"/>
        <v>15</v>
      </c>
    </row>
    <row r="395" spans="2:11" x14ac:dyDescent="0.25">
      <c r="B395" s="4">
        <v>16</v>
      </c>
      <c r="C395" s="4" t="s">
        <v>34</v>
      </c>
      <c r="D395" s="4">
        <v>5</v>
      </c>
      <c r="E395" s="4">
        <v>0</v>
      </c>
      <c r="F395" s="4">
        <v>0</v>
      </c>
      <c r="G395" s="4">
        <f t="shared" si="42"/>
        <v>5</v>
      </c>
      <c r="H395" s="4">
        <v>1</v>
      </c>
      <c r="I395" s="4">
        <v>32</v>
      </c>
      <c r="J395" s="5">
        <f t="shared" si="43"/>
        <v>0</v>
      </c>
    </row>
    <row r="397" spans="2:11" x14ac:dyDescent="0.25">
      <c r="B397" s="51" t="s">
        <v>91</v>
      </c>
      <c r="C397" s="51"/>
      <c r="D397" s="51"/>
      <c r="E397" s="51"/>
      <c r="F397" s="51"/>
      <c r="G397" s="51"/>
      <c r="H397" s="51"/>
      <c r="I397" s="51"/>
      <c r="J397" s="51"/>
    </row>
    <row r="398" spans="2:11" x14ac:dyDescent="0.25">
      <c r="B398" s="4">
        <v>1</v>
      </c>
      <c r="C398" s="2" t="s">
        <v>18</v>
      </c>
      <c r="D398" s="2">
        <v>30</v>
      </c>
      <c r="E398" s="2">
        <v>25</v>
      </c>
      <c r="F398" s="2">
        <v>2</v>
      </c>
      <c r="G398" s="2">
        <f>D398-E398-F398</f>
        <v>3</v>
      </c>
      <c r="H398" s="2">
        <v>97</v>
      </c>
      <c r="I398" s="2">
        <v>17</v>
      </c>
      <c r="J398" s="3">
        <f>E398*3+F398*1</f>
        <v>77</v>
      </c>
      <c r="K398">
        <f t="shared" ref="K398:K413" si="44">(E398*3+F398)/(D398*3)*100</f>
        <v>85.555555555555557</v>
      </c>
    </row>
    <row r="399" spans="2:11" x14ac:dyDescent="0.25">
      <c r="B399" s="4">
        <v>2</v>
      </c>
      <c r="C399" s="2" t="s">
        <v>32</v>
      </c>
      <c r="D399" s="2">
        <v>30</v>
      </c>
      <c r="E399" s="2">
        <v>25</v>
      </c>
      <c r="F399" s="2">
        <v>1</v>
      </c>
      <c r="G399" s="2">
        <f t="shared" ref="G399:G413" si="45">D399-E399-F399</f>
        <v>4</v>
      </c>
      <c r="H399" s="2">
        <v>109</v>
      </c>
      <c r="I399" s="2">
        <v>32</v>
      </c>
      <c r="J399" s="3">
        <f t="shared" ref="J399:J413" si="46">E399*3+F399*1</f>
        <v>76</v>
      </c>
      <c r="K399">
        <f t="shared" si="44"/>
        <v>84.444444444444443</v>
      </c>
    </row>
    <row r="400" spans="2:11" x14ac:dyDescent="0.25">
      <c r="B400" s="4">
        <v>3</v>
      </c>
      <c r="C400" s="2" t="s">
        <v>64</v>
      </c>
      <c r="D400" s="2">
        <v>30</v>
      </c>
      <c r="E400" s="2">
        <v>24</v>
      </c>
      <c r="F400" s="2">
        <v>2</v>
      </c>
      <c r="G400" s="2">
        <f t="shared" si="45"/>
        <v>4</v>
      </c>
      <c r="H400" s="2">
        <v>108</v>
      </c>
      <c r="I400" s="2">
        <v>25</v>
      </c>
      <c r="J400" s="3">
        <f t="shared" si="46"/>
        <v>74</v>
      </c>
      <c r="K400">
        <f t="shared" si="44"/>
        <v>82.222222222222214</v>
      </c>
    </row>
    <row r="401" spans="2:13" x14ac:dyDescent="0.25">
      <c r="B401" s="4">
        <v>4</v>
      </c>
      <c r="C401" s="2" t="s">
        <v>33</v>
      </c>
      <c r="D401" s="2">
        <v>30</v>
      </c>
      <c r="E401" s="2">
        <v>23</v>
      </c>
      <c r="F401" s="2">
        <v>2</v>
      </c>
      <c r="G401" s="2">
        <f t="shared" si="45"/>
        <v>5</v>
      </c>
      <c r="H401" s="2">
        <v>109</v>
      </c>
      <c r="I401" s="2">
        <v>20</v>
      </c>
      <c r="J401" s="3">
        <f t="shared" si="46"/>
        <v>71</v>
      </c>
      <c r="K401">
        <f t="shared" si="44"/>
        <v>78.888888888888886</v>
      </c>
    </row>
    <row r="402" spans="2:13" x14ac:dyDescent="0.25">
      <c r="B402" s="4">
        <v>5</v>
      </c>
      <c r="C402" s="2" t="s">
        <v>70</v>
      </c>
      <c r="D402" s="2">
        <v>30</v>
      </c>
      <c r="E402" s="2">
        <v>20</v>
      </c>
      <c r="F402" s="2">
        <v>6</v>
      </c>
      <c r="G402" s="2">
        <f t="shared" si="45"/>
        <v>4</v>
      </c>
      <c r="H402" s="2">
        <v>84</v>
      </c>
      <c r="I402" s="2">
        <v>31</v>
      </c>
      <c r="J402" s="3">
        <f t="shared" si="46"/>
        <v>66</v>
      </c>
      <c r="K402">
        <f t="shared" si="44"/>
        <v>73.333333333333329</v>
      </c>
    </row>
    <row r="403" spans="2:13" x14ac:dyDescent="0.25">
      <c r="B403" s="4">
        <v>6</v>
      </c>
      <c r="C403" s="2" t="s">
        <v>43</v>
      </c>
      <c r="D403" s="2">
        <v>30</v>
      </c>
      <c r="E403" s="2">
        <v>21</v>
      </c>
      <c r="F403" s="2">
        <v>2</v>
      </c>
      <c r="G403" s="2">
        <f t="shared" si="45"/>
        <v>7</v>
      </c>
      <c r="H403" s="2">
        <v>91</v>
      </c>
      <c r="I403" s="2">
        <v>27</v>
      </c>
      <c r="J403" s="3">
        <f t="shared" si="46"/>
        <v>65</v>
      </c>
      <c r="K403">
        <f t="shared" si="44"/>
        <v>72.222222222222214</v>
      </c>
    </row>
    <row r="404" spans="2:13" x14ac:dyDescent="0.25">
      <c r="B404" s="4">
        <v>7</v>
      </c>
      <c r="C404" s="2" t="s">
        <v>92</v>
      </c>
      <c r="D404" s="2">
        <v>30</v>
      </c>
      <c r="E404" s="2">
        <v>14</v>
      </c>
      <c r="F404" s="2">
        <v>1</v>
      </c>
      <c r="G404" s="2">
        <f t="shared" si="45"/>
        <v>15</v>
      </c>
      <c r="H404" s="2">
        <v>31</v>
      </c>
      <c r="I404" s="2">
        <v>47</v>
      </c>
      <c r="J404" s="3">
        <f t="shared" si="46"/>
        <v>43</v>
      </c>
      <c r="K404">
        <f t="shared" si="44"/>
        <v>47.777777777777779</v>
      </c>
    </row>
    <row r="405" spans="2:13" x14ac:dyDescent="0.25">
      <c r="B405" s="4">
        <v>8</v>
      </c>
      <c r="C405" s="2" t="s">
        <v>71</v>
      </c>
      <c r="D405" s="2">
        <v>30</v>
      </c>
      <c r="E405" s="2">
        <v>10</v>
      </c>
      <c r="F405" s="2">
        <v>4</v>
      </c>
      <c r="G405" s="2">
        <f t="shared" si="45"/>
        <v>16</v>
      </c>
      <c r="H405" s="2">
        <v>41</v>
      </c>
      <c r="I405" s="2">
        <v>56</v>
      </c>
      <c r="J405" s="3">
        <f t="shared" si="46"/>
        <v>34</v>
      </c>
      <c r="K405">
        <f t="shared" si="44"/>
        <v>37.777777777777779</v>
      </c>
    </row>
    <row r="406" spans="2:13" x14ac:dyDescent="0.25">
      <c r="B406" s="4">
        <v>9</v>
      </c>
      <c r="C406" s="2" t="s">
        <v>50</v>
      </c>
      <c r="D406" s="2">
        <v>30</v>
      </c>
      <c r="E406" s="2">
        <v>9</v>
      </c>
      <c r="F406" s="2">
        <v>6</v>
      </c>
      <c r="G406" s="2">
        <f t="shared" si="45"/>
        <v>15</v>
      </c>
      <c r="H406" s="2">
        <v>26</v>
      </c>
      <c r="I406" s="2">
        <v>50</v>
      </c>
      <c r="J406" s="3">
        <f t="shared" si="46"/>
        <v>33</v>
      </c>
      <c r="K406">
        <f t="shared" si="44"/>
        <v>36.666666666666664</v>
      </c>
    </row>
    <row r="407" spans="2:13" x14ac:dyDescent="0.25">
      <c r="B407" s="4">
        <v>10</v>
      </c>
      <c r="C407" s="2" t="s">
        <v>68</v>
      </c>
      <c r="D407" s="2">
        <v>30</v>
      </c>
      <c r="E407" s="2">
        <v>9</v>
      </c>
      <c r="F407" s="2">
        <v>4</v>
      </c>
      <c r="G407" s="2">
        <f t="shared" si="45"/>
        <v>17</v>
      </c>
      <c r="H407" s="2">
        <v>33</v>
      </c>
      <c r="I407" s="2">
        <v>72</v>
      </c>
      <c r="J407" s="3">
        <f t="shared" si="46"/>
        <v>31</v>
      </c>
      <c r="K407">
        <f t="shared" si="44"/>
        <v>34.444444444444443</v>
      </c>
    </row>
    <row r="408" spans="2:13" x14ac:dyDescent="0.25">
      <c r="B408" s="4">
        <v>11</v>
      </c>
      <c r="C408" s="2" t="s">
        <v>52</v>
      </c>
      <c r="D408" s="2">
        <v>30</v>
      </c>
      <c r="E408" s="2">
        <v>7</v>
      </c>
      <c r="F408" s="2">
        <v>5</v>
      </c>
      <c r="G408" s="2">
        <f t="shared" si="45"/>
        <v>18</v>
      </c>
      <c r="H408" s="2">
        <v>23</v>
      </c>
      <c r="I408" s="2">
        <v>67</v>
      </c>
      <c r="J408" s="3">
        <f t="shared" si="46"/>
        <v>26</v>
      </c>
      <c r="K408">
        <f t="shared" si="44"/>
        <v>28.888888888888886</v>
      </c>
    </row>
    <row r="409" spans="2:13" x14ac:dyDescent="0.25">
      <c r="B409" s="4">
        <v>12</v>
      </c>
      <c r="C409" s="2" t="s">
        <v>58</v>
      </c>
      <c r="D409" s="2">
        <v>30</v>
      </c>
      <c r="E409" s="2">
        <v>7</v>
      </c>
      <c r="F409" s="2">
        <v>4</v>
      </c>
      <c r="G409" s="2">
        <f t="shared" si="45"/>
        <v>19</v>
      </c>
      <c r="H409" s="2">
        <v>19</v>
      </c>
      <c r="I409" s="2">
        <v>80</v>
      </c>
      <c r="J409" s="3">
        <f t="shared" si="46"/>
        <v>25</v>
      </c>
      <c r="K409">
        <f t="shared" si="44"/>
        <v>27.777777777777779</v>
      </c>
    </row>
    <row r="410" spans="2:13" x14ac:dyDescent="0.25">
      <c r="B410" s="4">
        <v>13</v>
      </c>
      <c r="C410" s="2" t="s">
        <v>73</v>
      </c>
      <c r="D410" s="2">
        <v>30</v>
      </c>
      <c r="E410" s="2">
        <v>6</v>
      </c>
      <c r="F410" s="2">
        <v>5</v>
      </c>
      <c r="G410" s="2">
        <f t="shared" si="45"/>
        <v>19</v>
      </c>
      <c r="H410" s="2">
        <v>18</v>
      </c>
      <c r="I410" s="2">
        <v>78</v>
      </c>
      <c r="J410" s="3">
        <f t="shared" si="46"/>
        <v>23</v>
      </c>
      <c r="K410">
        <f t="shared" si="44"/>
        <v>25.555555555555554</v>
      </c>
    </row>
    <row r="411" spans="2:13" x14ac:dyDescent="0.25">
      <c r="B411" s="4">
        <v>14</v>
      </c>
      <c r="C411" s="2" t="s">
        <v>56</v>
      </c>
      <c r="D411" s="2">
        <v>30</v>
      </c>
      <c r="E411" s="2">
        <v>6</v>
      </c>
      <c r="F411" s="2">
        <v>2</v>
      </c>
      <c r="G411" s="2">
        <f t="shared" si="45"/>
        <v>22</v>
      </c>
      <c r="H411" s="2">
        <v>17</v>
      </c>
      <c r="I411" s="2">
        <v>62</v>
      </c>
      <c r="J411" s="3">
        <f t="shared" si="46"/>
        <v>20</v>
      </c>
      <c r="K411">
        <f t="shared" si="44"/>
        <v>22.222222222222221</v>
      </c>
    </row>
    <row r="412" spans="2:13" x14ac:dyDescent="0.25">
      <c r="B412" s="4">
        <v>15</v>
      </c>
      <c r="C412" s="2" t="s">
        <v>93</v>
      </c>
      <c r="D412" s="2">
        <v>30</v>
      </c>
      <c r="E412" s="2">
        <v>4</v>
      </c>
      <c r="F412" s="2">
        <v>5</v>
      </c>
      <c r="G412" s="2">
        <f t="shared" si="45"/>
        <v>21</v>
      </c>
      <c r="H412" s="2">
        <v>13</v>
      </c>
      <c r="I412" s="2">
        <v>71</v>
      </c>
      <c r="J412" s="3">
        <f t="shared" si="46"/>
        <v>17</v>
      </c>
      <c r="K412">
        <f t="shared" si="44"/>
        <v>18.888888888888889</v>
      </c>
    </row>
    <row r="413" spans="2:13" x14ac:dyDescent="0.25">
      <c r="B413" s="4">
        <v>16</v>
      </c>
      <c r="C413" s="4" t="s">
        <v>34</v>
      </c>
      <c r="D413" s="4">
        <v>5</v>
      </c>
      <c r="E413" s="4">
        <v>0</v>
      </c>
      <c r="F413" s="4">
        <v>0</v>
      </c>
      <c r="G413" s="4">
        <f t="shared" si="45"/>
        <v>5</v>
      </c>
      <c r="H413" s="4">
        <v>0</v>
      </c>
      <c r="I413" s="4">
        <v>28</v>
      </c>
      <c r="J413" s="5">
        <f t="shared" si="46"/>
        <v>0</v>
      </c>
      <c r="K413">
        <f t="shared" si="44"/>
        <v>0</v>
      </c>
    </row>
    <row r="415" spans="2:13" x14ac:dyDescent="0.25">
      <c r="B415" s="51" t="s">
        <v>94</v>
      </c>
      <c r="C415" s="51"/>
      <c r="D415" s="51"/>
      <c r="E415" s="51"/>
      <c r="F415" s="51"/>
      <c r="G415" s="51"/>
      <c r="H415" s="51"/>
      <c r="I415" s="51"/>
      <c r="J415" s="51"/>
    </row>
    <row r="416" spans="2:13" x14ac:dyDescent="0.25">
      <c r="B416" s="4">
        <v>1</v>
      </c>
      <c r="C416" s="2" t="s">
        <v>70</v>
      </c>
      <c r="D416" s="4">
        <v>30</v>
      </c>
      <c r="E416" s="4">
        <v>25</v>
      </c>
      <c r="F416" s="4">
        <v>0</v>
      </c>
      <c r="G416" s="4">
        <f>D416-E416-F416</f>
        <v>5</v>
      </c>
      <c r="H416" s="4">
        <v>118</v>
      </c>
      <c r="I416" s="4">
        <v>18</v>
      </c>
      <c r="J416" s="5">
        <f>E416*3+F416*1</f>
        <v>75</v>
      </c>
      <c r="K416">
        <f t="shared" ref="K416:K431" si="47">(E416*3+F416)/(D416*3)*100</f>
        <v>83.333333333333343</v>
      </c>
      <c r="L416">
        <f>H416/D416</f>
        <v>3.9333333333333331</v>
      </c>
      <c r="M416">
        <f>I416/D416</f>
        <v>0.6</v>
      </c>
    </row>
    <row r="417" spans="2:13" x14ac:dyDescent="0.25">
      <c r="B417" s="4">
        <v>2</v>
      </c>
      <c r="C417" s="2" t="s">
        <v>43</v>
      </c>
      <c r="D417" s="4">
        <v>30</v>
      </c>
      <c r="E417" s="4">
        <v>25</v>
      </c>
      <c r="F417" s="4">
        <v>0</v>
      </c>
      <c r="G417" s="4">
        <f t="shared" ref="G417:G431" si="48">D417-E417-F417</f>
        <v>5</v>
      </c>
      <c r="H417" s="4">
        <v>110</v>
      </c>
      <c r="I417" s="4">
        <v>20</v>
      </c>
      <c r="J417" s="5">
        <f t="shared" ref="J417:J431" si="49">E417*3+F417*1</f>
        <v>75</v>
      </c>
      <c r="K417" s="7">
        <f t="shared" si="47"/>
        <v>83.333333333333343</v>
      </c>
      <c r="L417">
        <f t="shared" ref="L417:L431" si="50">H417/D417</f>
        <v>3.6666666666666665</v>
      </c>
      <c r="M417" s="7">
        <f t="shared" ref="M417:M431" si="51">I417/D417</f>
        <v>0.66666666666666663</v>
      </c>
    </row>
    <row r="418" spans="2:13" x14ac:dyDescent="0.25">
      <c r="B418" s="4">
        <v>3</v>
      </c>
      <c r="C418" s="2" t="s">
        <v>64</v>
      </c>
      <c r="D418" s="4">
        <v>30</v>
      </c>
      <c r="E418" s="4">
        <v>24</v>
      </c>
      <c r="F418" s="4">
        <v>2</v>
      </c>
      <c r="G418" s="4">
        <f t="shared" si="48"/>
        <v>4</v>
      </c>
      <c r="H418" s="4">
        <v>138</v>
      </c>
      <c r="I418" s="4">
        <v>21</v>
      </c>
      <c r="J418" s="5">
        <f t="shared" si="49"/>
        <v>74</v>
      </c>
      <c r="K418">
        <f t="shared" si="47"/>
        <v>82.222222222222214</v>
      </c>
      <c r="L418" s="7">
        <f t="shared" si="50"/>
        <v>4.5999999999999996</v>
      </c>
      <c r="M418">
        <f t="shared" si="51"/>
        <v>0.7</v>
      </c>
    </row>
    <row r="419" spans="2:13" x14ac:dyDescent="0.25">
      <c r="B419" s="4">
        <v>4</v>
      </c>
      <c r="C419" s="2" t="s">
        <v>33</v>
      </c>
      <c r="D419" s="4">
        <v>30</v>
      </c>
      <c r="E419" s="4">
        <v>22</v>
      </c>
      <c r="F419" s="4">
        <v>5</v>
      </c>
      <c r="G419" s="4">
        <f t="shared" si="48"/>
        <v>3</v>
      </c>
      <c r="H419" s="4">
        <v>103</v>
      </c>
      <c r="I419" s="4">
        <v>21</v>
      </c>
      <c r="J419" s="5">
        <f t="shared" si="49"/>
        <v>71</v>
      </c>
      <c r="K419">
        <f t="shared" si="47"/>
        <v>78.888888888888886</v>
      </c>
      <c r="L419" s="8">
        <f t="shared" si="50"/>
        <v>3.4333333333333331</v>
      </c>
      <c r="M419">
        <f t="shared" si="51"/>
        <v>0.7</v>
      </c>
    </row>
    <row r="420" spans="2:13" x14ac:dyDescent="0.25">
      <c r="B420" s="4">
        <v>5</v>
      </c>
      <c r="C420" s="2" t="s">
        <v>32</v>
      </c>
      <c r="D420" s="4">
        <v>30</v>
      </c>
      <c r="E420" s="4">
        <v>19</v>
      </c>
      <c r="F420" s="4">
        <v>3</v>
      </c>
      <c r="G420" s="4">
        <f t="shared" si="48"/>
        <v>8</v>
      </c>
      <c r="H420" s="4">
        <v>76</v>
      </c>
      <c r="I420" s="4">
        <v>40</v>
      </c>
      <c r="J420" s="5">
        <f t="shared" si="49"/>
        <v>60</v>
      </c>
      <c r="K420">
        <f t="shared" si="47"/>
        <v>66.666666666666657</v>
      </c>
      <c r="L420">
        <f t="shared" si="50"/>
        <v>2.5333333333333332</v>
      </c>
      <c r="M420" s="7">
        <f t="shared" si="51"/>
        <v>1.3333333333333333</v>
      </c>
    </row>
    <row r="421" spans="2:13" x14ac:dyDescent="0.25">
      <c r="B421" s="4">
        <v>6</v>
      </c>
      <c r="C421" s="2" t="s">
        <v>18</v>
      </c>
      <c r="D421" s="4">
        <v>30</v>
      </c>
      <c r="E421" s="4">
        <v>18</v>
      </c>
      <c r="F421" s="4">
        <v>4</v>
      </c>
      <c r="G421" s="4">
        <f t="shared" si="48"/>
        <v>8</v>
      </c>
      <c r="H421" s="4">
        <v>77</v>
      </c>
      <c r="I421" s="4">
        <v>32</v>
      </c>
      <c r="J421" s="5">
        <f t="shared" si="49"/>
        <v>58</v>
      </c>
      <c r="K421">
        <f t="shared" si="47"/>
        <v>64.444444444444443</v>
      </c>
      <c r="L421">
        <f t="shared" si="50"/>
        <v>2.5666666666666669</v>
      </c>
      <c r="M421">
        <f t="shared" si="51"/>
        <v>1.0666666666666667</v>
      </c>
    </row>
    <row r="422" spans="2:13" x14ac:dyDescent="0.25">
      <c r="B422" s="4">
        <v>7</v>
      </c>
      <c r="C422" s="2" t="s">
        <v>71</v>
      </c>
      <c r="D422" s="4">
        <v>30</v>
      </c>
      <c r="E422" s="4">
        <v>13</v>
      </c>
      <c r="F422" s="4">
        <v>4</v>
      </c>
      <c r="G422" s="4">
        <f t="shared" si="48"/>
        <v>13</v>
      </c>
      <c r="H422" s="4">
        <v>65</v>
      </c>
      <c r="I422" s="4">
        <v>48</v>
      </c>
      <c r="J422" s="5">
        <f t="shared" si="49"/>
        <v>43</v>
      </c>
      <c r="K422">
        <f t="shared" si="47"/>
        <v>47.777777777777779</v>
      </c>
      <c r="L422">
        <f t="shared" si="50"/>
        <v>2.1666666666666665</v>
      </c>
      <c r="M422">
        <f t="shared" si="51"/>
        <v>1.6</v>
      </c>
    </row>
    <row r="423" spans="2:13" x14ac:dyDescent="0.25">
      <c r="B423" s="4">
        <v>8</v>
      </c>
      <c r="C423" s="2" t="s">
        <v>76</v>
      </c>
      <c r="D423" s="4">
        <v>30</v>
      </c>
      <c r="E423" s="4">
        <v>12</v>
      </c>
      <c r="F423" s="4">
        <v>3</v>
      </c>
      <c r="G423" s="4">
        <f t="shared" si="48"/>
        <v>15</v>
      </c>
      <c r="H423" s="4">
        <v>43</v>
      </c>
      <c r="I423" s="4">
        <v>63</v>
      </c>
      <c r="J423" s="5">
        <f t="shared" si="49"/>
        <v>39</v>
      </c>
      <c r="K423">
        <f t="shared" si="47"/>
        <v>43.333333333333336</v>
      </c>
      <c r="L423">
        <f t="shared" si="50"/>
        <v>1.4333333333333333</v>
      </c>
      <c r="M423">
        <f t="shared" si="51"/>
        <v>2.1</v>
      </c>
    </row>
    <row r="424" spans="2:13" x14ac:dyDescent="0.25">
      <c r="B424" s="4">
        <v>9</v>
      </c>
      <c r="C424" s="2" t="s">
        <v>58</v>
      </c>
      <c r="D424" s="4">
        <v>30</v>
      </c>
      <c r="E424" s="4">
        <v>11</v>
      </c>
      <c r="F424" s="4">
        <v>5</v>
      </c>
      <c r="G424" s="4">
        <f t="shared" si="48"/>
        <v>14</v>
      </c>
      <c r="H424" s="4">
        <v>31</v>
      </c>
      <c r="I424" s="4">
        <v>52</v>
      </c>
      <c r="J424" s="5">
        <f t="shared" si="49"/>
        <v>38</v>
      </c>
      <c r="K424">
        <f t="shared" si="47"/>
        <v>42.222222222222221</v>
      </c>
      <c r="L424">
        <f t="shared" si="50"/>
        <v>1.0333333333333334</v>
      </c>
      <c r="M424">
        <f t="shared" si="51"/>
        <v>1.7333333333333334</v>
      </c>
    </row>
    <row r="425" spans="2:13" x14ac:dyDescent="0.25">
      <c r="B425" s="4">
        <v>10</v>
      </c>
      <c r="C425" s="2" t="s">
        <v>92</v>
      </c>
      <c r="D425" s="4">
        <v>30</v>
      </c>
      <c r="E425" s="4">
        <v>10</v>
      </c>
      <c r="F425" s="4">
        <v>5</v>
      </c>
      <c r="G425" s="4">
        <f t="shared" si="48"/>
        <v>15</v>
      </c>
      <c r="H425" s="4">
        <v>42</v>
      </c>
      <c r="I425" s="4">
        <v>49</v>
      </c>
      <c r="J425" s="5">
        <f t="shared" si="49"/>
        <v>35</v>
      </c>
      <c r="K425">
        <f t="shared" si="47"/>
        <v>38.888888888888893</v>
      </c>
      <c r="L425">
        <f t="shared" si="50"/>
        <v>1.4</v>
      </c>
      <c r="M425">
        <f t="shared" si="51"/>
        <v>1.6333333333333333</v>
      </c>
    </row>
    <row r="426" spans="2:13" x14ac:dyDescent="0.25">
      <c r="B426" s="4">
        <v>11</v>
      </c>
      <c r="C426" s="2" t="s">
        <v>68</v>
      </c>
      <c r="D426" s="4">
        <v>30</v>
      </c>
      <c r="E426" s="4">
        <v>11</v>
      </c>
      <c r="F426" s="4">
        <v>1</v>
      </c>
      <c r="G426" s="4">
        <f t="shared" si="48"/>
        <v>18</v>
      </c>
      <c r="H426" s="4">
        <v>38</v>
      </c>
      <c r="I426" s="4">
        <v>81</v>
      </c>
      <c r="J426" s="5">
        <f t="shared" si="49"/>
        <v>34</v>
      </c>
      <c r="K426">
        <f t="shared" si="47"/>
        <v>37.777777777777779</v>
      </c>
      <c r="L426">
        <f t="shared" si="50"/>
        <v>1.2666666666666666</v>
      </c>
      <c r="M426">
        <f t="shared" si="51"/>
        <v>2.7</v>
      </c>
    </row>
    <row r="427" spans="2:13" x14ac:dyDescent="0.25">
      <c r="B427" s="4">
        <v>12</v>
      </c>
      <c r="C427" s="2" t="s">
        <v>95</v>
      </c>
      <c r="D427" s="4">
        <v>30</v>
      </c>
      <c r="E427" s="4">
        <v>10</v>
      </c>
      <c r="F427" s="4">
        <v>3</v>
      </c>
      <c r="G427" s="4">
        <f t="shared" si="48"/>
        <v>17</v>
      </c>
      <c r="H427" s="4">
        <v>41</v>
      </c>
      <c r="I427" s="4">
        <v>93</v>
      </c>
      <c r="J427" s="5">
        <f t="shared" si="49"/>
        <v>33</v>
      </c>
      <c r="K427">
        <f t="shared" si="47"/>
        <v>36.666666666666664</v>
      </c>
      <c r="L427">
        <f t="shared" si="50"/>
        <v>1.3666666666666667</v>
      </c>
      <c r="M427">
        <f t="shared" si="51"/>
        <v>3.1</v>
      </c>
    </row>
    <row r="428" spans="2:13" x14ac:dyDescent="0.25">
      <c r="B428" s="4">
        <v>13</v>
      </c>
      <c r="C428" s="2" t="s">
        <v>52</v>
      </c>
      <c r="D428" s="4">
        <v>30</v>
      </c>
      <c r="E428" s="4">
        <v>5</v>
      </c>
      <c r="F428" s="4">
        <v>6</v>
      </c>
      <c r="G428" s="4">
        <f t="shared" si="48"/>
        <v>19</v>
      </c>
      <c r="H428" s="4">
        <v>26</v>
      </c>
      <c r="I428" s="4">
        <v>102</v>
      </c>
      <c r="J428" s="5">
        <f t="shared" si="49"/>
        <v>21</v>
      </c>
      <c r="K428">
        <f t="shared" si="47"/>
        <v>23.333333333333332</v>
      </c>
      <c r="L428">
        <f t="shared" si="50"/>
        <v>0.8666666666666667</v>
      </c>
      <c r="M428">
        <f t="shared" si="51"/>
        <v>3.4</v>
      </c>
    </row>
    <row r="429" spans="2:13" x14ac:dyDescent="0.25">
      <c r="B429" s="4">
        <v>14</v>
      </c>
      <c r="C429" s="2" t="s">
        <v>56</v>
      </c>
      <c r="D429" s="4">
        <v>30</v>
      </c>
      <c r="E429" s="4">
        <v>5</v>
      </c>
      <c r="F429" s="4">
        <v>2</v>
      </c>
      <c r="G429" s="4">
        <f t="shared" si="48"/>
        <v>23</v>
      </c>
      <c r="H429" s="4">
        <v>13</v>
      </c>
      <c r="I429" s="4">
        <v>93</v>
      </c>
      <c r="J429" s="5">
        <f t="shared" si="49"/>
        <v>17</v>
      </c>
      <c r="K429">
        <f t="shared" si="47"/>
        <v>18.888888888888889</v>
      </c>
      <c r="L429" s="2">
        <f t="shared" si="50"/>
        <v>0.43333333333333335</v>
      </c>
      <c r="M429">
        <f t="shared" si="51"/>
        <v>3.1</v>
      </c>
    </row>
    <row r="430" spans="2:13" x14ac:dyDescent="0.25">
      <c r="B430" s="4">
        <v>15</v>
      </c>
      <c r="C430" s="2" t="s">
        <v>50</v>
      </c>
      <c r="D430" s="4">
        <v>30</v>
      </c>
      <c r="E430" s="4">
        <v>3</v>
      </c>
      <c r="F430" s="4">
        <v>6</v>
      </c>
      <c r="G430" s="4">
        <f t="shared" si="48"/>
        <v>21</v>
      </c>
      <c r="H430" s="4">
        <v>16</v>
      </c>
      <c r="I430" s="4">
        <v>69</v>
      </c>
      <c r="J430" s="5">
        <f t="shared" si="49"/>
        <v>15</v>
      </c>
      <c r="K430">
        <f t="shared" si="47"/>
        <v>16.666666666666664</v>
      </c>
      <c r="L430">
        <f t="shared" si="50"/>
        <v>0.53333333333333333</v>
      </c>
      <c r="M430">
        <f t="shared" si="51"/>
        <v>2.2999999999999998</v>
      </c>
    </row>
    <row r="431" spans="2:13" x14ac:dyDescent="0.25">
      <c r="B431" s="4">
        <v>16</v>
      </c>
      <c r="C431" s="2" t="s">
        <v>73</v>
      </c>
      <c r="D431" s="4">
        <v>30</v>
      </c>
      <c r="E431" s="4">
        <v>2</v>
      </c>
      <c r="F431" s="4">
        <v>1</v>
      </c>
      <c r="G431" s="4">
        <f t="shared" si="48"/>
        <v>27</v>
      </c>
      <c r="H431" s="4">
        <v>13</v>
      </c>
      <c r="I431" s="4">
        <v>148</v>
      </c>
      <c r="J431" s="5">
        <f t="shared" si="49"/>
        <v>7</v>
      </c>
      <c r="K431" s="2">
        <f t="shared" si="47"/>
        <v>7.7777777777777777</v>
      </c>
      <c r="L431">
        <f t="shared" si="50"/>
        <v>0.43333333333333335</v>
      </c>
      <c r="M431" s="2">
        <f t="shared" si="51"/>
        <v>4.9333333333333336</v>
      </c>
    </row>
    <row r="432" spans="2:13" x14ac:dyDescent="0.25">
      <c r="C432" s="4"/>
    </row>
    <row r="433" spans="2:13" x14ac:dyDescent="0.25">
      <c r="B433" s="51" t="s">
        <v>111</v>
      </c>
      <c r="C433" s="51"/>
      <c r="D433" s="51"/>
      <c r="E433" s="51"/>
      <c r="F433" s="51"/>
      <c r="G433" s="51"/>
      <c r="H433" s="51"/>
      <c r="I433" s="51"/>
      <c r="J433" s="51"/>
    </row>
    <row r="434" spans="2:13" x14ac:dyDescent="0.25">
      <c r="B434" s="4">
        <v>1</v>
      </c>
      <c r="C434" s="2" t="s">
        <v>70</v>
      </c>
      <c r="D434" s="4">
        <v>30</v>
      </c>
      <c r="E434" s="4">
        <v>27</v>
      </c>
      <c r="F434" s="4">
        <v>1</v>
      </c>
      <c r="G434" s="4">
        <f>D434-E434-F434</f>
        <v>2</v>
      </c>
      <c r="H434" s="4">
        <v>114</v>
      </c>
      <c r="I434" s="4">
        <v>19</v>
      </c>
      <c r="J434" s="5">
        <f>E434*3+F434*1</f>
        <v>82</v>
      </c>
      <c r="K434" s="7">
        <f t="shared" ref="K434:K449" si="52">(E434*3+F434)/(D434*3)*100</f>
        <v>91.111111111111114</v>
      </c>
      <c r="L434">
        <f>H434/D434</f>
        <v>3.8</v>
      </c>
      <c r="M434">
        <f>I434/D434</f>
        <v>0.6333333333333333</v>
      </c>
    </row>
    <row r="435" spans="2:13" x14ac:dyDescent="0.25">
      <c r="B435" s="4">
        <v>2</v>
      </c>
      <c r="C435" s="2" t="s">
        <v>33</v>
      </c>
      <c r="D435" s="4">
        <v>30</v>
      </c>
      <c r="E435" s="4">
        <v>26</v>
      </c>
      <c r="F435" s="4">
        <v>2</v>
      </c>
      <c r="G435" s="4">
        <f t="shared" ref="G435:G449" si="53">D435-E435-F435</f>
        <v>2</v>
      </c>
      <c r="H435" s="4">
        <v>118</v>
      </c>
      <c r="I435" s="4">
        <v>14</v>
      </c>
      <c r="J435" s="5">
        <f t="shared" ref="J435:J449" si="54">E435*3+F435*1</f>
        <v>80</v>
      </c>
      <c r="K435" s="8">
        <f t="shared" si="52"/>
        <v>88.888888888888886</v>
      </c>
      <c r="L435" s="7">
        <f t="shared" ref="L435:L449" si="55">H435/D435</f>
        <v>3.9333333333333331</v>
      </c>
      <c r="M435" s="7">
        <f t="shared" ref="M435:M449" si="56">I435/D435</f>
        <v>0.46666666666666667</v>
      </c>
    </row>
    <row r="436" spans="2:13" x14ac:dyDescent="0.25">
      <c r="B436" s="4">
        <v>3</v>
      </c>
      <c r="C436" s="2" t="s">
        <v>64</v>
      </c>
      <c r="D436" s="4">
        <v>30</v>
      </c>
      <c r="E436" s="4">
        <v>23</v>
      </c>
      <c r="F436" s="4">
        <v>1</v>
      </c>
      <c r="G436" s="4">
        <f t="shared" si="53"/>
        <v>6</v>
      </c>
      <c r="H436" s="4">
        <v>119</v>
      </c>
      <c r="I436" s="4">
        <v>17</v>
      </c>
      <c r="J436" s="5">
        <f t="shared" si="54"/>
        <v>70</v>
      </c>
      <c r="K436">
        <f t="shared" si="52"/>
        <v>77.777777777777786</v>
      </c>
      <c r="L436">
        <f t="shared" si="55"/>
        <v>3.9666666666666668</v>
      </c>
      <c r="M436">
        <f t="shared" si="56"/>
        <v>0.56666666666666665</v>
      </c>
    </row>
    <row r="437" spans="2:13" x14ac:dyDescent="0.25">
      <c r="B437" s="4">
        <v>4</v>
      </c>
      <c r="C437" s="2" t="s">
        <v>43</v>
      </c>
      <c r="D437" s="4">
        <v>30</v>
      </c>
      <c r="E437" s="4">
        <v>22</v>
      </c>
      <c r="F437" s="4">
        <v>2</v>
      </c>
      <c r="G437" s="4">
        <f t="shared" si="53"/>
        <v>6</v>
      </c>
      <c r="H437" s="4">
        <v>83</v>
      </c>
      <c r="I437" s="4">
        <v>26</v>
      </c>
      <c r="J437" s="5">
        <f t="shared" si="54"/>
        <v>68</v>
      </c>
      <c r="K437">
        <f t="shared" si="52"/>
        <v>75.555555555555557</v>
      </c>
      <c r="L437" s="8">
        <f t="shared" si="55"/>
        <v>2.7666666666666666</v>
      </c>
      <c r="M437">
        <f t="shared" si="56"/>
        <v>0.8666666666666667</v>
      </c>
    </row>
    <row r="438" spans="2:13" x14ac:dyDescent="0.25">
      <c r="B438" s="4">
        <v>5</v>
      </c>
      <c r="C438" s="2" t="s">
        <v>92</v>
      </c>
      <c r="D438" s="4">
        <v>30</v>
      </c>
      <c r="E438" s="4">
        <v>18</v>
      </c>
      <c r="F438" s="4">
        <v>5</v>
      </c>
      <c r="G438" s="4">
        <f t="shared" si="53"/>
        <v>7</v>
      </c>
      <c r="H438" s="4">
        <v>65</v>
      </c>
      <c r="I438" s="4">
        <v>31</v>
      </c>
      <c r="J438" s="5">
        <f t="shared" si="54"/>
        <v>59</v>
      </c>
      <c r="K438">
        <f t="shared" si="52"/>
        <v>65.555555555555557</v>
      </c>
      <c r="L438">
        <f t="shared" si="55"/>
        <v>2.1666666666666665</v>
      </c>
      <c r="M438" s="8">
        <f t="shared" si="56"/>
        <v>1.0333333333333334</v>
      </c>
    </row>
    <row r="439" spans="2:13" x14ac:dyDescent="0.25">
      <c r="B439" s="4">
        <v>6</v>
      </c>
      <c r="C439" s="2" t="s">
        <v>58</v>
      </c>
      <c r="D439" s="4">
        <v>30</v>
      </c>
      <c r="E439" s="4">
        <v>19</v>
      </c>
      <c r="F439" s="4">
        <v>2</v>
      </c>
      <c r="G439" s="4">
        <f t="shared" si="53"/>
        <v>9</v>
      </c>
      <c r="H439" s="4">
        <v>70</v>
      </c>
      <c r="I439" s="4">
        <v>41</v>
      </c>
      <c r="J439" s="5">
        <f t="shared" si="54"/>
        <v>59</v>
      </c>
      <c r="K439">
        <f t="shared" si="52"/>
        <v>65.555555555555557</v>
      </c>
      <c r="L439">
        <f t="shared" si="55"/>
        <v>2.3333333333333335</v>
      </c>
      <c r="M439">
        <f t="shared" si="56"/>
        <v>1.3666666666666667</v>
      </c>
    </row>
    <row r="440" spans="2:13" x14ac:dyDescent="0.25">
      <c r="B440" s="4">
        <v>7</v>
      </c>
      <c r="C440" s="2" t="s">
        <v>71</v>
      </c>
      <c r="D440" s="4">
        <v>30</v>
      </c>
      <c r="E440" s="4">
        <v>18</v>
      </c>
      <c r="F440" s="4">
        <v>1</v>
      </c>
      <c r="G440" s="4">
        <f t="shared" si="53"/>
        <v>11</v>
      </c>
      <c r="H440" s="4">
        <v>79</v>
      </c>
      <c r="I440" s="4">
        <v>38</v>
      </c>
      <c r="J440" s="5">
        <f t="shared" si="54"/>
        <v>55</v>
      </c>
      <c r="K440">
        <f t="shared" si="52"/>
        <v>61.111111111111114</v>
      </c>
      <c r="L440">
        <f t="shared" si="55"/>
        <v>2.6333333333333333</v>
      </c>
      <c r="M440">
        <f t="shared" si="56"/>
        <v>1.2666666666666666</v>
      </c>
    </row>
    <row r="441" spans="2:13" x14ac:dyDescent="0.25">
      <c r="B441" s="4">
        <v>8</v>
      </c>
      <c r="C441" s="2" t="s">
        <v>32</v>
      </c>
      <c r="D441" s="4">
        <v>30</v>
      </c>
      <c r="E441" s="4">
        <v>17</v>
      </c>
      <c r="F441" s="4">
        <v>2</v>
      </c>
      <c r="G441" s="4">
        <f t="shared" si="53"/>
        <v>11</v>
      </c>
      <c r="H441" s="4">
        <v>73</v>
      </c>
      <c r="I441" s="4">
        <v>48</v>
      </c>
      <c r="J441" s="5">
        <f t="shared" si="54"/>
        <v>53</v>
      </c>
      <c r="K441">
        <f t="shared" si="52"/>
        <v>58.888888888888893</v>
      </c>
      <c r="L441">
        <f t="shared" si="55"/>
        <v>2.4333333333333331</v>
      </c>
      <c r="M441">
        <f t="shared" si="56"/>
        <v>1.6</v>
      </c>
    </row>
    <row r="442" spans="2:13" x14ac:dyDescent="0.25">
      <c r="B442" s="4">
        <v>9</v>
      </c>
      <c r="C442" s="2" t="s">
        <v>112</v>
      </c>
      <c r="D442" s="4">
        <v>30</v>
      </c>
      <c r="E442" s="4">
        <v>13</v>
      </c>
      <c r="F442" s="4">
        <v>2</v>
      </c>
      <c r="G442" s="4">
        <f t="shared" si="53"/>
        <v>15</v>
      </c>
      <c r="H442" s="4">
        <v>53</v>
      </c>
      <c r="I442" s="4">
        <v>40</v>
      </c>
      <c r="J442" s="5">
        <f t="shared" si="54"/>
        <v>41</v>
      </c>
      <c r="K442">
        <f t="shared" si="52"/>
        <v>45.555555555555557</v>
      </c>
      <c r="L442">
        <f t="shared" si="55"/>
        <v>1.7666666666666666</v>
      </c>
      <c r="M442">
        <f t="shared" si="56"/>
        <v>1.3333333333333333</v>
      </c>
    </row>
    <row r="443" spans="2:13" x14ac:dyDescent="0.25">
      <c r="B443" s="4">
        <v>10</v>
      </c>
      <c r="C443" s="2" t="s">
        <v>56</v>
      </c>
      <c r="D443" s="4">
        <v>30</v>
      </c>
      <c r="E443" s="4">
        <v>9</v>
      </c>
      <c r="F443" s="4">
        <v>2</v>
      </c>
      <c r="G443" s="4">
        <f t="shared" si="53"/>
        <v>19</v>
      </c>
      <c r="H443" s="4">
        <v>37</v>
      </c>
      <c r="I443" s="4">
        <v>72</v>
      </c>
      <c r="J443" s="5">
        <f t="shared" si="54"/>
        <v>29</v>
      </c>
      <c r="K443">
        <f t="shared" si="52"/>
        <v>32.222222222222221</v>
      </c>
      <c r="L443">
        <f t="shared" si="55"/>
        <v>1.2333333333333334</v>
      </c>
      <c r="M443">
        <f t="shared" si="56"/>
        <v>2.4</v>
      </c>
    </row>
    <row r="444" spans="2:13" x14ac:dyDescent="0.25">
      <c r="B444" s="4">
        <v>11</v>
      </c>
      <c r="C444" s="2" t="s">
        <v>95</v>
      </c>
      <c r="D444" s="4">
        <v>30</v>
      </c>
      <c r="E444" s="4">
        <v>10</v>
      </c>
      <c r="F444" s="4">
        <v>1</v>
      </c>
      <c r="G444" s="4">
        <f t="shared" si="53"/>
        <v>19</v>
      </c>
      <c r="H444" s="4">
        <v>42</v>
      </c>
      <c r="I444" s="4">
        <v>79</v>
      </c>
      <c r="J444" s="5">
        <f t="shared" si="54"/>
        <v>31</v>
      </c>
      <c r="K444">
        <f t="shared" si="52"/>
        <v>34.444444444444443</v>
      </c>
      <c r="L444">
        <f t="shared" si="55"/>
        <v>1.4</v>
      </c>
      <c r="M444">
        <f t="shared" si="56"/>
        <v>2.6333333333333333</v>
      </c>
    </row>
    <row r="445" spans="2:13" x14ac:dyDescent="0.25">
      <c r="B445" s="4">
        <v>12</v>
      </c>
      <c r="C445" s="2" t="s">
        <v>76</v>
      </c>
      <c r="D445" s="4">
        <v>30</v>
      </c>
      <c r="E445" s="4">
        <v>7</v>
      </c>
      <c r="F445" s="4">
        <v>5</v>
      </c>
      <c r="G445" s="4">
        <f t="shared" si="53"/>
        <v>18</v>
      </c>
      <c r="H445" s="4">
        <v>51</v>
      </c>
      <c r="I445" s="4">
        <v>67</v>
      </c>
      <c r="J445" s="5">
        <f t="shared" si="54"/>
        <v>26</v>
      </c>
      <c r="K445">
        <f t="shared" si="52"/>
        <v>28.888888888888886</v>
      </c>
      <c r="L445">
        <f t="shared" si="55"/>
        <v>1.7</v>
      </c>
      <c r="M445">
        <f t="shared" si="56"/>
        <v>2.2333333333333334</v>
      </c>
    </row>
    <row r="446" spans="2:13" x14ac:dyDescent="0.25">
      <c r="B446" s="4">
        <v>13</v>
      </c>
      <c r="C446" s="2" t="s">
        <v>68</v>
      </c>
      <c r="D446" s="4">
        <v>30</v>
      </c>
      <c r="E446" s="4">
        <v>8</v>
      </c>
      <c r="F446" s="4">
        <v>2</v>
      </c>
      <c r="G446" s="4">
        <f t="shared" si="53"/>
        <v>20</v>
      </c>
      <c r="H446" s="4">
        <v>47</v>
      </c>
      <c r="I446" s="4">
        <v>74</v>
      </c>
      <c r="J446" s="5">
        <f t="shared" si="54"/>
        <v>26</v>
      </c>
      <c r="K446">
        <f t="shared" si="52"/>
        <v>28.888888888888886</v>
      </c>
      <c r="L446">
        <f t="shared" si="55"/>
        <v>1.5666666666666667</v>
      </c>
      <c r="M446">
        <f t="shared" si="56"/>
        <v>2.4666666666666668</v>
      </c>
    </row>
    <row r="447" spans="2:13" x14ac:dyDescent="0.25">
      <c r="B447" s="4">
        <v>14</v>
      </c>
      <c r="C447" s="2" t="s">
        <v>52</v>
      </c>
      <c r="D447" s="4">
        <v>30</v>
      </c>
      <c r="E447" s="4">
        <v>6</v>
      </c>
      <c r="F447" s="4">
        <v>2</v>
      </c>
      <c r="G447" s="4">
        <f t="shared" si="53"/>
        <v>22</v>
      </c>
      <c r="H447" s="4">
        <v>34</v>
      </c>
      <c r="I447" s="4">
        <v>116</v>
      </c>
      <c r="J447" s="5">
        <f t="shared" si="54"/>
        <v>20</v>
      </c>
      <c r="K447">
        <f t="shared" si="52"/>
        <v>22.222222222222221</v>
      </c>
      <c r="L447" s="4">
        <f t="shared" si="55"/>
        <v>1.1333333333333333</v>
      </c>
      <c r="M447">
        <f t="shared" si="56"/>
        <v>3.8666666666666667</v>
      </c>
    </row>
    <row r="448" spans="2:13" x14ac:dyDescent="0.25">
      <c r="B448" s="4">
        <v>15</v>
      </c>
      <c r="C448" s="4" t="s">
        <v>34</v>
      </c>
      <c r="D448" s="4">
        <v>30</v>
      </c>
      <c r="E448" s="4">
        <v>2</v>
      </c>
      <c r="F448" s="4">
        <v>0</v>
      </c>
      <c r="G448" s="4">
        <f t="shared" si="53"/>
        <v>28</v>
      </c>
      <c r="H448" s="4">
        <v>9</v>
      </c>
      <c r="I448" s="4">
        <v>162</v>
      </c>
      <c r="J448" s="5">
        <f t="shared" si="54"/>
        <v>6</v>
      </c>
      <c r="K448">
        <f t="shared" si="52"/>
        <v>6.666666666666667</v>
      </c>
      <c r="L448">
        <f t="shared" si="55"/>
        <v>0.3</v>
      </c>
      <c r="M448" s="2">
        <f t="shared" si="56"/>
        <v>5.4</v>
      </c>
    </row>
    <row r="449" spans="1:13" x14ac:dyDescent="0.25">
      <c r="B449" s="4">
        <v>16</v>
      </c>
      <c r="C449" s="4" t="s">
        <v>34</v>
      </c>
      <c r="D449" s="4">
        <v>30</v>
      </c>
      <c r="E449" s="4">
        <v>0</v>
      </c>
      <c r="F449" s="4">
        <v>0</v>
      </c>
      <c r="G449" s="4">
        <f t="shared" si="53"/>
        <v>30</v>
      </c>
      <c r="H449" s="4">
        <v>3</v>
      </c>
      <c r="I449" s="4">
        <v>138</v>
      </c>
      <c r="J449" s="5">
        <f t="shared" si="54"/>
        <v>0</v>
      </c>
      <c r="K449" s="2">
        <f t="shared" si="52"/>
        <v>0</v>
      </c>
      <c r="L449" s="2">
        <f t="shared" si="55"/>
        <v>0.1</v>
      </c>
      <c r="M449" s="4">
        <f t="shared" si="56"/>
        <v>4.5999999999999996</v>
      </c>
    </row>
    <row r="451" spans="1:13" x14ac:dyDescent="0.25">
      <c r="B451" s="51" t="s">
        <v>113</v>
      </c>
      <c r="C451" s="51"/>
      <c r="D451" s="51"/>
      <c r="E451" s="51"/>
      <c r="F451" s="51"/>
      <c r="G451" s="51"/>
      <c r="H451" s="51"/>
      <c r="I451" s="51"/>
      <c r="J451" s="51"/>
    </row>
    <row r="452" spans="1:13" x14ac:dyDescent="0.25">
      <c r="A452" s="15"/>
      <c r="B452" s="15">
        <v>1</v>
      </c>
      <c r="C452" t="s">
        <v>70</v>
      </c>
      <c r="D452" s="16">
        <v>30</v>
      </c>
      <c r="E452" s="16">
        <v>24</v>
      </c>
      <c r="F452" s="16">
        <v>1</v>
      </c>
      <c r="G452" s="16">
        <v>5</v>
      </c>
      <c r="H452" s="17">
        <v>126</v>
      </c>
      <c r="I452" s="17">
        <v>27</v>
      </c>
      <c r="J452" s="18">
        <v>73</v>
      </c>
      <c r="K452" s="12">
        <f t="shared" ref="K452:K467" si="57">(E452*3+F452)/(D452*3)*100</f>
        <v>81.111111111111114</v>
      </c>
      <c r="L452" s="11">
        <f>H452/D452</f>
        <v>4.2</v>
      </c>
      <c r="M452" s="11">
        <f>I452/D452</f>
        <v>0.9</v>
      </c>
    </row>
    <row r="453" spans="1:13" x14ac:dyDescent="0.25">
      <c r="A453" s="15"/>
      <c r="B453" s="15">
        <v>2</v>
      </c>
      <c r="C453" t="s">
        <v>33</v>
      </c>
      <c r="D453" s="16">
        <v>30</v>
      </c>
      <c r="E453" s="16">
        <v>23</v>
      </c>
      <c r="F453" s="16">
        <v>2</v>
      </c>
      <c r="G453" s="16">
        <v>5</v>
      </c>
      <c r="H453" s="17">
        <v>106</v>
      </c>
      <c r="I453" s="17">
        <v>23</v>
      </c>
      <c r="J453" s="18">
        <v>71</v>
      </c>
      <c r="K453" s="19">
        <f t="shared" si="57"/>
        <v>78.888888888888886</v>
      </c>
      <c r="L453" s="11">
        <f t="shared" ref="L453:L467" si="58">H453/D453</f>
        <v>3.5333333333333332</v>
      </c>
      <c r="M453" s="11">
        <f t="shared" ref="M453:M467" si="59">I453/D453</f>
        <v>0.76666666666666672</v>
      </c>
    </row>
    <row r="454" spans="1:13" x14ac:dyDescent="0.25">
      <c r="A454" s="15"/>
      <c r="B454" s="15">
        <v>3</v>
      </c>
      <c r="C454" t="s">
        <v>64</v>
      </c>
      <c r="D454" s="16">
        <v>30</v>
      </c>
      <c r="E454" s="16">
        <v>21</v>
      </c>
      <c r="F454" s="16">
        <v>6</v>
      </c>
      <c r="G454" s="16">
        <v>3</v>
      </c>
      <c r="H454" s="17">
        <v>130</v>
      </c>
      <c r="I454" s="17">
        <v>24</v>
      </c>
      <c r="J454" s="18">
        <v>69</v>
      </c>
      <c r="K454" s="19">
        <f t="shared" si="57"/>
        <v>76.666666666666671</v>
      </c>
      <c r="L454" s="12">
        <f t="shared" si="58"/>
        <v>4.333333333333333</v>
      </c>
      <c r="M454" s="11">
        <f t="shared" si="59"/>
        <v>0.8</v>
      </c>
    </row>
    <row r="455" spans="1:13" x14ac:dyDescent="0.25">
      <c r="A455" s="15"/>
      <c r="B455" s="15">
        <v>4</v>
      </c>
      <c r="C455" t="s">
        <v>92</v>
      </c>
      <c r="D455" s="16">
        <v>30</v>
      </c>
      <c r="E455" s="16">
        <v>21</v>
      </c>
      <c r="F455" s="16">
        <v>5</v>
      </c>
      <c r="G455" s="16">
        <v>4</v>
      </c>
      <c r="H455" s="17">
        <v>89</v>
      </c>
      <c r="I455" s="17">
        <v>20</v>
      </c>
      <c r="J455" s="18">
        <v>68</v>
      </c>
      <c r="K455" s="19">
        <f t="shared" si="57"/>
        <v>75.555555555555557</v>
      </c>
      <c r="L455" s="11">
        <f t="shared" si="58"/>
        <v>2.9666666666666668</v>
      </c>
      <c r="M455" s="12">
        <f t="shared" si="59"/>
        <v>0.66666666666666663</v>
      </c>
    </row>
    <row r="456" spans="1:13" x14ac:dyDescent="0.25">
      <c r="A456" s="15"/>
      <c r="B456" s="15">
        <v>5</v>
      </c>
      <c r="C456" t="s">
        <v>58</v>
      </c>
      <c r="D456" s="16">
        <v>30</v>
      </c>
      <c r="E456" s="16">
        <v>20</v>
      </c>
      <c r="F456" s="16">
        <v>5</v>
      </c>
      <c r="G456" s="16">
        <v>5</v>
      </c>
      <c r="H456" s="17">
        <v>75</v>
      </c>
      <c r="I456" s="17">
        <v>34</v>
      </c>
      <c r="J456" s="18">
        <v>65</v>
      </c>
      <c r="K456" s="19">
        <f t="shared" si="57"/>
        <v>72.222222222222214</v>
      </c>
      <c r="L456" s="11">
        <f t="shared" si="58"/>
        <v>2.5</v>
      </c>
      <c r="M456" s="11">
        <f t="shared" si="59"/>
        <v>1.1333333333333333</v>
      </c>
    </row>
    <row r="457" spans="1:13" x14ac:dyDescent="0.25">
      <c r="A457" s="15"/>
      <c r="B457" s="15">
        <v>6</v>
      </c>
      <c r="C457" t="s">
        <v>43</v>
      </c>
      <c r="D457" s="16">
        <v>30</v>
      </c>
      <c r="E457" s="16">
        <v>17</v>
      </c>
      <c r="F457" s="16">
        <v>4</v>
      </c>
      <c r="G457" s="16">
        <v>9</v>
      </c>
      <c r="H457" s="17">
        <v>86</v>
      </c>
      <c r="I457" s="17">
        <v>37</v>
      </c>
      <c r="J457" s="18">
        <v>55</v>
      </c>
      <c r="K457" s="19">
        <f t="shared" si="57"/>
        <v>61.111111111111114</v>
      </c>
      <c r="L457" s="11">
        <f t="shared" si="58"/>
        <v>2.8666666666666667</v>
      </c>
      <c r="M457" s="11">
        <f t="shared" si="59"/>
        <v>1.2333333333333334</v>
      </c>
    </row>
    <row r="458" spans="1:13" x14ac:dyDescent="0.25">
      <c r="A458" s="15"/>
      <c r="B458" s="15">
        <v>7</v>
      </c>
      <c r="C458" t="s">
        <v>71</v>
      </c>
      <c r="D458" s="16">
        <v>30</v>
      </c>
      <c r="E458" s="16">
        <v>15</v>
      </c>
      <c r="F458" s="16">
        <v>7</v>
      </c>
      <c r="G458" s="16">
        <v>8</v>
      </c>
      <c r="H458" s="17">
        <v>68</v>
      </c>
      <c r="I458" s="17">
        <v>37</v>
      </c>
      <c r="J458" s="18">
        <v>52</v>
      </c>
      <c r="K458" s="19">
        <f t="shared" si="57"/>
        <v>57.777777777777771</v>
      </c>
      <c r="L458" s="11">
        <f t="shared" si="58"/>
        <v>2.2666666666666666</v>
      </c>
      <c r="M458" s="11">
        <f t="shared" si="59"/>
        <v>1.2333333333333334</v>
      </c>
    </row>
    <row r="459" spans="1:13" x14ac:dyDescent="0.25">
      <c r="A459" s="15"/>
      <c r="B459" s="15">
        <v>8</v>
      </c>
      <c r="C459" t="s">
        <v>32</v>
      </c>
      <c r="D459" s="16">
        <v>30</v>
      </c>
      <c r="E459" s="16">
        <v>15</v>
      </c>
      <c r="F459" s="16">
        <v>5</v>
      </c>
      <c r="G459" s="16">
        <v>10</v>
      </c>
      <c r="H459" s="17">
        <v>60</v>
      </c>
      <c r="I459" s="17">
        <v>58</v>
      </c>
      <c r="J459" s="18">
        <v>50</v>
      </c>
      <c r="K459" s="19">
        <f t="shared" si="57"/>
        <v>55.555555555555557</v>
      </c>
      <c r="L459" s="11">
        <f t="shared" si="58"/>
        <v>2</v>
      </c>
      <c r="M459" s="11">
        <f t="shared" si="59"/>
        <v>1.9333333333333333</v>
      </c>
    </row>
    <row r="460" spans="1:13" x14ac:dyDescent="0.25">
      <c r="A460" s="15"/>
      <c r="B460" s="15">
        <v>9</v>
      </c>
      <c r="C460" t="s">
        <v>76</v>
      </c>
      <c r="D460" s="16">
        <v>30</v>
      </c>
      <c r="E460" s="16">
        <v>8</v>
      </c>
      <c r="F460" s="16">
        <v>6</v>
      </c>
      <c r="G460" s="16">
        <v>16</v>
      </c>
      <c r="H460" s="17">
        <v>53</v>
      </c>
      <c r="I460" s="17">
        <v>64</v>
      </c>
      <c r="J460" s="18">
        <v>30</v>
      </c>
      <c r="K460" s="19">
        <f t="shared" si="57"/>
        <v>33.333333333333329</v>
      </c>
      <c r="L460" s="11">
        <f t="shared" si="58"/>
        <v>1.7666666666666666</v>
      </c>
      <c r="M460" s="11">
        <f t="shared" si="59"/>
        <v>2.1333333333333333</v>
      </c>
    </row>
    <row r="461" spans="1:13" x14ac:dyDescent="0.25">
      <c r="A461" s="15"/>
      <c r="B461" s="15">
        <v>10</v>
      </c>
      <c r="C461" t="s">
        <v>115</v>
      </c>
      <c r="D461" s="16">
        <v>30</v>
      </c>
      <c r="E461" s="16">
        <v>7</v>
      </c>
      <c r="F461" s="16">
        <v>9</v>
      </c>
      <c r="G461" s="16">
        <v>14</v>
      </c>
      <c r="H461" s="17">
        <v>21</v>
      </c>
      <c r="I461" s="17">
        <v>51</v>
      </c>
      <c r="J461" s="18">
        <v>30</v>
      </c>
      <c r="K461" s="19">
        <f t="shared" si="57"/>
        <v>33.333333333333329</v>
      </c>
      <c r="L461" s="11">
        <f t="shared" si="58"/>
        <v>0.7</v>
      </c>
      <c r="M461" s="11">
        <f t="shared" si="59"/>
        <v>1.7</v>
      </c>
    </row>
    <row r="462" spans="1:13" x14ac:dyDescent="0.25">
      <c r="A462" s="15"/>
      <c r="B462" s="15">
        <v>11</v>
      </c>
      <c r="C462" t="s">
        <v>68</v>
      </c>
      <c r="D462" s="16">
        <v>30</v>
      </c>
      <c r="E462" s="16">
        <v>8</v>
      </c>
      <c r="F462" s="16">
        <v>3</v>
      </c>
      <c r="G462" s="16">
        <v>19</v>
      </c>
      <c r="H462" s="17">
        <v>37</v>
      </c>
      <c r="I462" s="17">
        <v>76</v>
      </c>
      <c r="J462" s="18">
        <v>27</v>
      </c>
      <c r="K462" s="19">
        <f t="shared" si="57"/>
        <v>30</v>
      </c>
      <c r="L462" s="11">
        <f t="shared" si="58"/>
        <v>1.2333333333333334</v>
      </c>
      <c r="M462" s="11">
        <f t="shared" si="59"/>
        <v>2.5333333333333332</v>
      </c>
    </row>
    <row r="463" spans="1:13" x14ac:dyDescent="0.25">
      <c r="A463" s="15"/>
      <c r="B463" s="15">
        <v>12</v>
      </c>
      <c r="C463" t="s">
        <v>56</v>
      </c>
      <c r="D463" s="16">
        <v>30</v>
      </c>
      <c r="E463" s="16">
        <v>7</v>
      </c>
      <c r="F463" s="16">
        <v>6</v>
      </c>
      <c r="G463" s="16">
        <v>17</v>
      </c>
      <c r="H463" s="17">
        <v>25</v>
      </c>
      <c r="I463" s="17">
        <v>81</v>
      </c>
      <c r="J463" s="18">
        <v>27</v>
      </c>
      <c r="K463" s="19">
        <f t="shared" si="57"/>
        <v>30</v>
      </c>
      <c r="L463" s="11">
        <f t="shared" si="58"/>
        <v>0.83333333333333337</v>
      </c>
      <c r="M463" s="11">
        <f t="shared" si="59"/>
        <v>2.7</v>
      </c>
    </row>
    <row r="464" spans="1:13" x14ac:dyDescent="0.25">
      <c r="A464" s="15"/>
      <c r="B464" s="15">
        <v>13</v>
      </c>
      <c r="C464" t="s">
        <v>112</v>
      </c>
      <c r="D464" s="16">
        <v>30</v>
      </c>
      <c r="E464" s="16">
        <v>7</v>
      </c>
      <c r="F464" s="16">
        <v>4</v>
      </c>
      <c r="G464" s="16">
        <v>19</v>
      </c>
      <c r="H464" s="17">
        <v>41</v>
      </c>
      <c r="I464" s="17">
        <v>74</v>
      </c>
      <c r="J464" s="18">
        <v>25</v>
      </c>
      <c r="K464" s="19">
        <f t="shared" si="57"/>
        <v>27.777777777777779</v>
      </c>
      <c r="L464" s="11">
        <f t="shared" si="58"/>
        <v>1.3666666666666667</v>
      </c>
      <c r="M464" s="11">
        <f t="shared" si="59"/>
        <v>2.4666666666666668</v>
      </c>
    </row>
    <row r="465" spans="1:13" x14ac:dyDescent="0.25">
      <c r="A465" s="15"/>
      <c r="B465" s="15">
        <v>14</v>
      </c>
      <c r="C465" t="s">
        <v>114</v>
      </c>
      <c r="D465" s="16">
        <v>30</v>
      </c>
      <c r="E465" s="16">
        <v>7</v>
      </c>
      <c r="F465" s="16">
        <v>3</v>
      </c>
      <c r="G465" s="16">
        <v>20</v>
      </c>
      <c r="H465" s="17">
        <v>27</v>
      </c>
      <c r="I465" s="17">
        <v>87</v>
      </c>
      <c r="J465" s="18">
        <v>24</v>
      </c>
      <c r="K465" s="19">
        <f t="shared" si="57"/>
        <v>26.666666666666668</v>
      </c>
      <c r="L465" s="11">
        <f t="shared" si="58"/>
        <v>0.9</v>
      </c>
      <c r="M465" s="11">
        <f t="shared" si="59"/>
        <v>2.9</v>
      </c>
    </row>
    <row r="466" spans="1:13" x14ac:dyDescent="0.25">
      <c r="A466" s="15"/>
      <c r="B466" s="15">
        <v>15</v>
      </c>
      <c r="C466" t="s">
        <v>95</v>
      </c>
      <c r="D466" s="16">
        <v>30</v>
      </c>
      <c r="E466" s="16">
        <v>6</v>
      </c>
      <c r="F466" s="16">
        <v>2</v>
      </c>
      <c r="G466" s="16">
        <v>22</v>
      </c>
      <c r="H466" s="17">
        <v>36</v>
      </c>
      <c r="I466" s="17">
        <v>91</v>
      </c>
      <c r="J466" s="18">
        <v>20</v>
      </c>
      <c r="K466" s="19">
        <f t="shared" si="57"/>
        <v>22.222222222222221</v>
      </c>
      <c r="L466" s="11">
        <f t="shared" si="58"/>
        <v>1.2</v>
      </c>
      <c r="M466" s="11">
        <f t="shared" si="59"/>
        <v>3.0333333333333332</v>
      </c>
    </row>
    <row r="467" spans="1:13" x14ac:dyDescent="0.25">
      <c r="A467" s="15"/>
      <c r="B467" s="15">
        <v>16</v>
      </c>
      <c r="C467" t="s">
        <v>52</v>
      </c>
      <c r="D467" s="16">
        <v>30</v>
      </c>
      <c r="E467" s="16">
        <v>0</v>
      </c>
      <c r="F467" s="16">
        <v>0</v>
      </c>
      <c r="G467" s="16">
        <v>30</v>
      </c>
      <c r="H467" s="17">
        <v>0</v>
      </c>
      <c r="I467" s="17">
        <v>196</v>
      </c>
      <c r="J467" s="18">
        <v>0</v>
      </c>
      <c r="K467" s="20">
        <f t="shared" si="57"/>
        <v>0</v>
      </c>
      <c r="L467" s="13">
        <f t="shared" si="58"/>
        <v>0</v>
      </c>
      <c r="M467" s="13">
        <f t="shared" si="59"/>
        <v>6.5333333333333332</v>
      </c>
    </row>
    <row r="469" spans="1:13" x14ac:dyDescent="0.25">
      <c r="B469" s="50" t="s">
        <v>129</v>
      </c>
      <c r="C469" s="50"/>
      <c r="D469" s="50"/>
      <c r="E469" s="50"/>
      <c r="F469" s="50"/>
      <c r="G469" s="50"/>
      <c r="H469" s="50"/>
      <c r="I469" s="50"/>
      <c r="J469" s="50"/>
    </row>
    <row r="470" spans="1:13" x14ac:dyDescent="0.25">
      <c r="B470">
        <v>1</v>
      </c>
      <c r="C470" t="s">
        <v>43</v>
      </c>
      <c r="D470">
        <v>30</v>
      </c>
      <c r="E470">
        <v>24</v>
      </c>
      <c r="F470">
        <v>4</v>
      </c>
      <c r="G470">
        <v>2</v>
      </c>
      <c r="H470">
        <v>90</v>
      </c>
      <c r="I470">
        <v>18</v>
      </c>
      <c r="J470">
        <v>76</v>
      </c>
      <c r="K470" s="19">
        <f t="shared" ref="K470" si="60">(E470*3+F470)/(D470*3)*100</f>
        <v>84.444444444444443</v>
      </c>
      <c r="L470" s="11">
        <f t="shared" ref="L470" si="61">H470/D470</f>
        <v>3</v>
      </c>
      <c r="M470" s="11">
        <f t="shared" ref="M470" si="62">I470/D470</f>
        <v>0.6</v>
      </c>
    </row>
    <row r="471" spans="1:13" x14ac:dyDescent="0.25">
      <c r="B471">
        <v>2</v>
      </c>
      <c r="C471" t="s">
        <v>64</v>
      </c>
      <c r="D471">
        <v>30</v>
      </c>
      <c r="E471">
        <v>23</v>
      </c>
      <c r="F471">
        <v>5</v>
      </c>
      <c r="G471">
        <v>2</v>
      </c>
      <c r="H471">
        <v>99</v>
      </c>
      <c r="I471">
        <v>19</v>
      </c>
      <c r="J471">
        <v>74</v>
      </c>
      <c r="K471" s="19">
        <f t="shared" ref="K471:K485" si="63">(E471*3+F471)/(D471*3)*100</f>
        <v>82.222222222222214</v>
      </c>
      <c r="L471" s="11">
        <f t="shared" ref="L471:L485" si="64">H471/D471</f>
        <v>3.3</v>
      </c>
      <c r="M471" s="11">
        <f t="shared" ref="M471:M485" si="65">I471/D471</f>
        <v>0.6333333333333333</v>
      </c>
    </row>
    <row r="472" spans="1:13" x14ac:dyDescent="0.25">
      <c r="B472">
        <v>3</v>
      </c>
      <c r="C472" t="s">
        <v>92</v>
      </c>
      <c r="D472">
        <v>30</v>
      </c>
      <c r="E472">
        <v>23</v>
      </c>
      <c r="F472">
        <v>4</v>
      </c>
      <c r="G472">
        <v>3</v>
      </c>
      <c r="H472">
        <v>91</v>
      </c>
      <c r="I472">
        <v>17</v>
      </c>
      <c r="J472">
        <v>73</v>
      </c>
      <c r="K472" s="19">
        <f t="shared" si="63"/>
        <v>81.111111111111114</v>
      </c>
      <c r="L472" s="11">
        <f t="shared" si="64"/>
        <v>3.0333333333333332</v>
      </c>
      <c r="M472" s="11">
        <f t="shared" si="65"/>
        <v>0.56666666666666665</v>
      </c>
    </row>
    <row r="473" spans="1:13" x14ac:dyDescent="0.25">
      <c r="B473">
        <v>4</v>
      </c>
      <c r="C473" t="s">
        <v>33</v>
      </c>
      <c r="D473">
        <v>30</v>
      </c>
      <c r="E473">
        <v>21</v>
      </c>
      <c r="F473">
        <v>2</v>
      </c>
      <c r="G473">
        <v>7</v>
      </c>
      <c r="H473">
        <v>109</v>
      </c>
      <c r="I473">
        <v>30</v>
      </c>
      <c r="J473">
        <v>65</v>
      </c>
      <c r="K473" s="19">
        <f t="shared" si="63"/>
        <v>72.222222222222214</v>
      </c>
      <c r="L473" s="11">
        <f t="shared" si="64"/>
        <v>3.6333333333333333</v>
      </c>
      <c r="M473" s="11">
        <f t="shared" si="65"/>
        <v>1</v>
      </c>
    </row>
    <row r="474" spans="1:13" x14ac:dyDescent="0.25">
      <c r="B474">
        <v>5</v>
      </c>
      <c r="C474" t="s">
        <v>70</v>
      </c>
      <c r="D474">
        <v>30</v>
      </c>
      <c r="E474">
        <v>20</v>
      </c>
      <c r="F474">
        <v>5</v>
      </c>
      <c r="G474">
        <v>5</v>
      </c>
      <c r="H474">
        <v>88</v>
      </c>
      <c r="I474">
        <v>33</v>
      </c>
      <c r="J474">
        <v>65</v>
      </c>
      <c r="K474" s="19">
        <f t="shared" si="63"/>
        <v>72.222222222222214</v>
      </c>
      <c r="L474" s="11">
        <f t="shared" si="64"/>
        <v>2.9333333333333331</v>
      </c>
      <c r="M474" s="11">
        <f t="shared" si="65"/>
        <v>1.1000000000000001</v>
      </c>
    </row>
    <row r="475" spans="1:13" x14ac:dyDescent="0.25">
      <c r="B475">
        <v>6</v>
      </c>
      <c r="C475" t="s">
        <v>32</v>
      </c>
      <c r="D475">
        <v>30</v>
      </c>
      <c r="E475">
        <v>18</v>
      </c>
      <c r="F475">
        <v>2</v>
      </c>
      <c r="G475">
        <v>10</v>
      </c>
      <c r="H475">
        <v>76</v>
      </c>
      <c r="I475">
        <v>52</v>
      </c>
      <c r="J475">
        <v>56</v>
      </c>
      <c r="K475" s="19">
        <f t="shared" si="63"/>
        <v>62.222222222222221</v>
      </c>
      <c r="L475" s="11">
        <f t="shared" si="64"/>
        <v>2.5333333333333332</v>
      </c>
      <c r="M475" s="11">
        <f t="shared" si="65"/>
        <v>1.7333333333333334</v>
      </c>
    </row>
    <row r="476" spans="1:13" x14ac:dyDescent="0.25">
      <c r="B476">
        <v>7</v>
      </c>
      <c r="C476" t="s">
        <v>71</v>
      </c>
      <c r="D476">
        <v>30</v>
      </c>
      <c r="E476">
        <v>16</v>
      </c>
      <c r="F476">
        <v>6</v>
      </c>
      <c r="G476">
        <v>8</v>
      </c>
      <c r="H476">
        <v>55</v>
      </c>
      <c r="I476">
        <v>38</v>
      </c>
      <c r="J476">
        <v>54</v>
      </c>
      <c r="K476" s="19">
        <f t="shared" si="63"/>
        <v>60</v>
      </c>
      <c r="L476" s="11">
        <f t="shared" si="64"/>
        <v>1.8333333333333333</v>
      </c>
      <c r="M476" s="11">
        <f t="shared" si="65"/>
        <v>1.2666666666666666</v>
      </c>
    </row>
    <row r="477" spans="1:13" x14ac:dyDescent="0.25">
      <c r="B477">
        <v>8</v>
      </c>
      <c r="C477" t="s">
        <v>76</v>
      </c>
      <c r="D477">
        <v>30</v>
      </c>
      <c r="E477">
        <v>14</v>
      </c>
      <c r="F477">
        <v>2</v>
      </c>
      <c r="G477">
        <v>14</v>
      </c>
      <c r="H477">
        <v>49</v>
      </c>
      <c r="I477">
        <v>69</v>
      </c>
      <c r="J477">
        <v>44</v>
      </c>
      <c r="K477" s="19">
        <f t="shared" si="63"/>
        <v>48.888888888888886</v>
      </c>
      <c r="L477" s="11">
        <f t="shared" si="64"/>
        <v>1.6333333333333333</v>
      </c>
      <c r="M477" s="11">
        <f t="shared" si="65"/>
        <v>2.2999999999999998</v>
      </c>
    </row>
    <row r="478" spans="1:13" x14ac:dyDescent="0.25">
      <c r="B478">
        <v>9</v>
      </c>
      <c r="C478" t="s">
        <v>58</v>
      </c>
      <c r="D478">
        <v>30</v>
      </c>
      <c r="E478">
        <v>12</v>
      </c>
      <c r="F478">
        <v>2</v>
      </c>
      <c r="G478">
        <v>16</v>
      </c>
      <c r="H478">
        <v>39</v>
      </c>
      <c r="I478">
        <v>53</v>
      </c>
      <c r="J478">
        <v>38</v>
      </c>
      <c r="K478" s="19">
        <f t="shared" si="63"/>
        <v>42.222222222222221</v>
      </c>
      <c r="L478" s="11">
        <f t="shared" si="64"/>
        <v>1.3</v>
      </c>
      <c r="M478" s="11">
        <f t="shared" si="65"/>
        <v>1.7666666666666666</v>
      </c>
    </row>
    <row r="479" spans="1:13" x14ac:dyDescent="0.25">
      <c r="B479">
        <v>10</v>
      </c>
      <c r="C479" t="s">
        <v>73</v>
      </c>
      <c r="D479">
        <v>30</v>
      </c>
      <c r="E479">
        <v>8</v>
      </c>
      <c r="F479">
        <v>7</v>
      </c>
      <c r="G479">
        <v>15</v>
      </c>
      <c r="H479">
        <v>21</v>
      </c>
      <c r="I479">
        <v>68</v>
      </c>
      <c r="J479">
        <v>31</v>
      </c>
      <c r="K479" s="19">
        <f t="shared" si="63"/>
        <v>34.444444444444443</v>
      </c>
      <c r="L479" s="11">
        <f t="shared" si="64"/>
        <v>0.7</v>
      </c>
      <c r="M479" s="11">
        <f t="shared" si="65"/>
        <v>2.2666666666666666</v>
      </c>
    </row>
    <row r="480" spans="1:13" x14ac:dyDescent="0.25">
      <c r="B480">
        <v>11</v>
      </c>
      <c r="C480" t="s">
        <v>112</v>
      </c>
      <c r="D480">
        <v>30</v>
      </c>
      <c r="E480">
        <v>9</v>
      </c>
      <c r="F480">
        <v>2</v>
      </c>
      <c r="G480">
        <v>19</v>
      </c>
      <c r="H480">
        <v>29</v>
      </c>
      <c r="I480">
        <v>64</v>
      </c>
      <c r="J480">
        <v>29</v>
      </c>
      <c r="K480" s="19">
        <f t="shared" si="63"/>
        <v>32.222222222222221</v>
      </c>
      <c r="L480" s="11">
        <f t="shared" si="64"/>
        <v>0.96666666666666667</v>
      </c>
      <c r="M480" s="11">
        <f t="shared" si="65"/>
        <v>2.1333333333333333</v>
      </c>
    </row>
    <row r="481" spans="2:13" x14ac:dyDescent="0.25">
      <c r="B481">
        <v>12</v>
      </c>
      <c r="C481" t="s">
        <v>128</v>
      </c>
      <c r="D481">
        <v>30</v>
      </c>
      <c r="E481">
        <v>8</v>
      </c>
      <c r="F481">
        <v>4</v>
      </c>
      <c r="G481">
        <v>18</v>
      </c>
      <c r="H481">
        <v>23</v>
      </c>
      <c r="I481">
        <v>65</v>
      </c>
      <c r="J481">
        <v>28</v>
      </c>
      <c r="K481" s="19">
        <f t="shared" si="63"/>
        <v>31.111111111111111</v>
      </c>
      <c r="L481" s="11">
        <f t="shared" si="64"/>
        <v>0.76666666666666672</v>
      </c>
      <c r="M481" s="11">
        <f t="shared" si="65"/>
        <v>2.1666666666666665</v>
      </c>
    </row>
    <row r="482" spans="2:13" x14ac:dyDescent="0.25">
      <c r="B482">
        <v>13</v>
      </c>
      <c r="C482" t="s">
        <v>115</v>
      </c>
      <c r="D482">
        <v>30</v>
      </c>
      <c r="E482">
        <v>4</v>
      </c>
      <c r="F482">
        <v>5</v>
      </c>
      <c r="G482">
        <v>21</v>
      </c>
      <c r="H482">
        <v>21</v>
      </c>
      <c r="I482">
        <v>70</v>
      </c>
      <c r="J482">
        <v>17</v>
      </c>
      <c r="K482" s="19">
        <f t="shared" si="63"/>
        <v>18.888888888888889</v>
      </c>
      <c r="L482" s="11">
        <f t="shared" si="64"/>
        <v>0.7</v>
      </c>
      <c r="M482" s="11">
        <f t="shared" si="65"/>
        <v>2.3333333333333335</v>
      </c>
    </row>
    <row r="483" spans="2:13" x14ac:dyDescent="0.25">
      <c r="B483">
        <v>14</v>
      </c>
      <c r="C483" t="s">
        <v>114</v>
      </c>
      <c r="D483">
        <v>30</v>
      </c>
      <c r="E483">
        <v>5</v>
      </c>
      <c r="F483">
        <v>2</v>
      </c>
      <c r="G483">
        <v>23</v>
      </c>
      <c r="H483">
        <v>24</v>
      </c>
      <c r="I483">
        <v>83</v>
      </c>
      <c r="J483">
        <v>17</v>
      </c>
      <c r="K483" s="19">
        <f t="shared" si="63"/>
        <v>18.888888888888889</v>
      </c>
      <c r="L483" s="11">
        <f t="shared" si="64"/>
        <v>0.8</v>
      </c>
      <c r="M483" s="11">
        <f t="shared" si="65"/>
        <v>2.7666666666666666</v>
      </c>
    </row>
    <row r="484" spans="2:13" x14ac:dyDescent="0.25">
      <c r="B484">
        <v>15</v>
      </c>
      <c r="C484" t="s">
        <v>56</v>
      </c>
      <c r="D484">
        <v>30</v>
      </c>
      <c r="E484">
        <v>4</v>
      </c>
      <c r="F484">
        <v>4</v>
      </c>
      <c r="G484">
        <v>22</v>
      </c>
      <c r="H484">
        <v>21</v>
      </c>
      <c r="I484">
        <v>75</v>
      </c>
      <c r="J484">
        <v>16</v>
      </c>
      <c r="K484" s="19">
        <f t="shared" si="63"/>
        <v>17.777777777777779</v>
      </c>
      <c r="L484" s="11">
        <f t="shared" si="64"/>
        <v>0.7</v>
      </c>
      <c r="M484" s="11">
        <f t="shared" si="65"/>
        <v>2.5</v>
      </c>
    </row>
    <row r="485" spans="2:13" x14ac:dyDescent="0.25">
      <c r="B485">
        <v>16</v>
      </c>
      <c r="C485" t="s">
        <v>68</v>
      </c>
      <c r="D485">
        <v>30</v>
      </c>
      <c r="E485">
        <v>1</v>
      </c>
      <c r="F485">
        <v>4</v>
      </c>
      <c r="G485">
        <v>25</v>
      </c>
      <c r="H485">
        <v>22</v>
      </c>
      <c r="I485">
        <v>103</v>
      </c>
      <c r="J485">
        <v>7</v>
      </c>
      <c r="K485" s="19">
        <f t="shared" si="63"/>
        <v>7.7777777777777777</v>
      </c>
      <c r="L485" s="11">
        <f t="shared" si="64"/>
        <v>0.73333333333333328</v>
      </c>
      <c r="M485" s="11">
        <f t="shared" si="65"/>
        <v>3.4333333333333331</v>
      </c>
    </row>
    <row r="487" spans="2:13" x14ac:dyDescent="0.25">
      <c r="B487" s="50" t="s">
        <v>132</v>
      </c>
      <c r="C487" s="50"/>
      <c r="D487" s="50"/>
      <c r="E487" s="50"/>
      <c r="F487" s="50"/>
      <c r="G487" s="50"/>
      <c r="H487" s="50"/>
      <c r="I487" s="50"/>
      <c r="J487" s="50"/>
    </row>
    <row r="488" spans="2:13" x14ac:dyDescent="0.25">
      <c r="B488">
        <v>1</v>
      </c>
      <c r="C488" t="s">
        <v>70</v>
      </c>
      <c r="D488">
        <v>30</v>
      </c>
      <c r="E488">
        <v>23</v>
      </c>
      <c r="F488">
        <v>3</v>
      </c>
      <c r="G488">
        <v>4</v>
      </c>
      <c r="H488">
        <v>95</v>
      </c>
      <c r="I488">
        <v>30</v>
      </c>
      <c r="J488">
        <v>72</v>
      </c>
      <c r="K488" s="19">
        <f t="shared" ref="K488" si="66">(E488*3+F488)/(D488*3)*100</f>
        <v>80</v>
      </c>
      <c r="L488" s="11">
        <f t="shared" ref="L488" si="67">H488/D488</f>
        <v>3.1666666666666665</v>
      </c>
      <c r="M488" s="11">
        <f t="shared" ref="M488" si="68">I488/D488</f>
        <v>1</v>
      </c>
    </row>
    <row r="489" spans="2:13" x14ac:dyDescent="0.25">
      <c r="B489">
        <v>2</v>
      </c>
      <c r="C489" t="s">
        <v>92</v>
      </c>
      <c r="D489">
        <v>30</v>
      </c>
      <c r="E489">
        <v>21</v>
      </c>
      <c r="F489">
        <v>4</v>
      </c>
      <c r="G489">
        <v>5</v>
      </c>
      <c r="H489">
        <v>78</v>
      </c>
      <c r="I489">
        <v>22</v>
      </c>
      <c r="J489">
        <v>67</v>
      </c>
      <c r="K489" s="19">
        <f t="shared" ref="K489:K503" si="69">(E489*3+F489)/(D489*3)*100</f>
        <v>74.444444444444443</v>
      </c>
      <c r="L489" s="11">
        <f t="shared" ref="L489:L503" si="70">H489/D489</f>
        <v>2.6</v>
      </c>
      <c r="M489" s="11">
        <f t="shared" ref="M489:M503" si="71">I489/D489</f>
        <v>0.73333333333333328</v>
      </c>
    </row>
    <row r="490" spans="2:13" x14ac:dyDescent="0.25">
      <c r="B490">
        <v>3</v>
      </c>
      <c r="C490" t="s">
        <v>43</v>
      </c>
      <c r="D490">
        <v>30</v>
      </c>
      <c r="E490">
        <v>22</v>
      </c>
      <c r="F490">
        <v>1</v>
      </c>
      <c r="G490">
        <v>7</v>
      </c>
      <c r="H490">
        <v>76</v>
      </c>
      <c r="I490">
        <v>29</v>
      </c>
      <c r="J490">
        <v>67</v>
      </c>
      <c r="K490" s="19">
        <f t="shared" si="69"/>
        <v>74.444444444444443</v>
      </c>
      <c r="L490" s="11">
        <f t="shared" si="70"/>
        <v>2.5333333333333332</v>
      </c>
      <c r="M490" s="11">
        <f t="shared" si="71"/>
        <v>0.96666666666666667</v>
      </c>
    </row>
    <row r="491" spans="2:13" x14ac:dyDescent="0.25">
      <c r="B491">
        <v>4</v>
      </c>
      <c r="C491" t="s">
        <v>58</v>
      </c>
      <c r="D491">
        <v>30</v>
      </c>
      <c r="E491">
        <v>20</v>
      </c>
      <c r="F491">
        <v>5</v>
      </c>
      <c r="G491">
        <v>5</v>
      </c>
      <c r="H491">
        <v>72</v>
      </c>
      <c r="I491">
        <v>25</v>
      </c>
      <c r="J491">
        <v>65</v>
      </c>
      <c r="K491" s="19">
        <f t="shared" si="69"/>
        <v>72.222222222222214</v>
      </c>
      <c r="L491" s="11">
        <f t="shared" si="70"/>
        <v>2.4</v>
      </c>
      <c r="M491" s="11">
        <f t="shared" si="71"/>
        <v>0.83333333333333337</v>
      </c>
    </row>
    <row r="492" spans="2:13" x14ac:dyDescent="0.25">
      <c r="B492">
        <v>5</v>
      </c>
      <c r="C492" t="s">
        <v>33</v>
      </c>
      <c r="D492">
        <v>30</v>
      </c>
      <c r="E492">
        <v>20</v>
      </c>
      <c r="F492">
        <v>4</v>
      </c>
      <c r="G492">
        <v>6</v>
      </c>
      <c r="H492">
        <v>90</v>
      </c>
      <c r="I492">
        <v>36</v>
      </c>
      <c r="J492">
        <v>64</v>
      </c>
      <c r="K492" s="19">
        <f t="shared" si="69"/>
        <v>71.111111111111114</v>
      </c>
      <c r="L492" s="11">
        <f t="shared" si="70"/>
        <v>3</v>
      </c>
      <c r="M492" s="11">
        <f t="shared" si="71"/>
        <v>1.2</v>
      </c>
    </row>
    <row r="493" spans="2:13" x14ac:dyDescent="0.25">
      <c r="B493">
        <v>6</v>
      </c>
      <c r="C493" t="s">
        <v>64</v>
      </c>
      <c r="D493">
        <v>30</v>
      </c>
      <c r="E493">
        <v>18</v>
      </c>
      <c r="F493">
        <v>3</v>
      </c>
      <c r="G493">
        <v>9</v>
      </c>
      <c r="H493">
        <v>76</v>
      </c>
      <c r="I493">
        <v>29</v>
      </c>
      <c r="J493">
        <v>57</v>
      </c>
      <c r="K493" s="19">
        <f t="shared" si="69"/>
        <v>63.333333333333329</v>
      </c>
      <c r="L493" s="11">
        <f t="shared" si="70"/>
        <v>2.5333333333333332</v>
      </c>
      <c r="M493" s="11">
        <f t="shared" si="71"/>
        <v>0.96666666666666667</v>
      </c>
    </row>
    <row r="494" spans="2:13" x14ac:dyDescent="0.25">
      <c r="B494">
        <v>7</v>
      </c>
      <c r="C494" t="s">
        <v>32</v>
      </c>
      <c r="D494">
        <v>30</v>
      </c>
      <c r="E494">
        <v>16</v>
      </c>
      <c r="F494">
        <v>4</v>
      </c>
      <c r="G494">
        <v>10</v>
      </c>
      <c r="H494">
        <v>65</v>
      </c>
      <c r="I494">
        <v>35</v>
      </c>
      <c r="J494">
        <v>52</v>
      </c>
      <c r="K494" s="19">
        <f t="shared" si="69"/>
        <v>57.777777777777771</v>
      </c>
      <c r="L494" s="11">
        <f t="shared" si="70"/>
        <v>2.1666666666666665</v>
      </c>
      <c r="M494" s="11">
        <f t="shared" si="71"/>
        <v>1.1666666666666667</v>
      </c>
    </row>
    <row r="495" spans="2:13" x14ac:dyDescent="0.25">
      <c r="B495">
        <v>8</v>
      </c>
      <c r="C495" t="s">
        <v>71</v>
      </c>
      <c r="D495">
        <v>30</v>
      </c>
      <c r="E495">
        <v>13</v>
      </c>
      <c r="F495">
        <v>5</v>
      </c>
      <c r="G495">
        <v>12</v>
      </c>
      <c r="H495">
        <v>46</v>
      </c>
      <c r="I495">
        <v>52</v>
      </c>
      <c r="J495">
        <v>44</v>
      </c>
      <c r="K495" s="19">
        <f t="shared" si="69"/>
        <v>48.888888888888886</v>
      </c>
      <c r="L495" s="11">
        <f t="shared" si="70"/>
        <v>1.5333333333333334</v>
      </c>
      <c r="M495" s="11">
        <f t="shared" si="71"/>
        <v>1.7333333333333334</v>
      </c>
    </row>
    <row r="496" spans="2:13" x14ac:dyDescent="0.25">
      <c r="B496">
        <v>9</v>
      </c>
      <c r="C496" t="s">
        <v>73</v>
      </c>
      <c r="D496">
        <v>30</v>
      </c>
      <c r="E496">
        <v>13</v>
      </c>
      <c r="F496">
        <v>5</v>
      </c>
      <c r="G496">
        <v>12</v>
      </c>
      <c r="H496">
        <v>44</v>
      </c>
      <c r="I496">
        <v>52</v>
      </c>
      <c r="J496">
        <v>44</v>
      </c>
      <c r="K496" s="19">
        <f t="shared" si="69"/>
        <v>48.888888888888886</v>
      </c>
      <c r="L496" s="11">
        <f t="shared" si="70"/>
        <v>1.4666666666666666</v>
      </c>
      <c r="M496" s="11">
        <f t="shared" si="71"/>
        <v>1.7333333333333334</v>
      </c>
    </row>
    <row r="497" spans="2:13" x14ac:dyDescent="0.25">
      <c r="B497">
        <v>10</v>
      </c>
      <c r="C497" t="s">
        <v>130</v>
      </c>
      <c r="D497">
        <v>30</v>
      </c>
      <c r="E497">
        <v>12</v>
      </c>
      <c r="F497">
        <v>2</v>
      </c>
      <c r="G497">
        <v>16</v>
      </c>
      <c r="H497">
        <v>50</v>
      </c>
      <c r="I497">
        <v>50</v>
      </c>
      <c r="J497">
        <v>38</v>
      </c>
      <c r="K497" s="19">
        <f t="shared" si="69"/>
        <v>42.222222222222221</v>
      </c>
      <c r="L497" s="11">
        <f t="shared" si="70"/>
        <v>1.6666666666666667</v>
      </c>
      <c r="M497" s="11">
        <f t="shared" si="71"/>
        <v>1.6666666666666667</v>
      </c>
    </row>
    <row r="498" spans="2:13" x14ac:dyDescent="0.25">
      <c r="B498">
        <v>11</v>
      </c>
      <c r="C498" t="s">
        <v>112</v>
      </c>
      <c r="D498">
        <v>30</v>
      </c>
      <c r="E498">
        <v>9</v>
      </c>
      <c r="F498">
        <v>4</v>
      </c>
      <c r="G498">
        <v>17</v>
      </c>
      <c r="H498">
        <v>37</v>
      </c>
      <c r="I498">
        <v>64</v>
      </c>
      <c r="J498">
        <v>31</v>
      </c>
      <c r="K498" s="19">
        <f t="shared" si="69"/>
        <v>34.444444444444443</v>
      </c>
      <c r="L498" s="11">
        <f t="shared" si="70"/>
        <v>1.2333333333333334</v>
      </c>
      <c r="M498" s="11">
        <f t="shared" si="71"/>
        <v>2.1333333333333333</v>
      </c>
    </row>
    <row r="499" spans="2:13" x14ac:dyDescent="0.25">
      <c r="B499">
        <v>12</v>
      </c>
      <c r="C499" t="s">
        <v>128</v>
      </c>
      <c r="D499">
        <v>30</v>
      </c>
      <c r="E499">
        <v>6</v>
      </c>
      <c r="F499">
        <v>8</v>
      </c>
      <c r="G499">
        <v>16</v>
      </c>
      <c r="H499">
        <v>39</v>
      </c>
      <c r="I499">
        <v>56</v>
      </c>
      <c r="J499">
        <v>26</v>
      </c>
      <c r="K499" s="19">
        <f t="shared" si="69"/>
        <v>28.888888888888886</v>
      </c>
      <c r="L499" s="11">
        <f t="shared" si="70"/>
        <v>1.3</v>
      </c>
      <c r="M499" s="11">
        <f t="shared" si="71"/>
        <v>1.8666666666666667</v>
      </c>
    </row>
    <row r="500" spans="2:13" x14ac:dyDescent="0.25">
      <c r="B500">
        <v>13</v>
      </c>
      <c r="C500" t="s">
        <v>76</v>
      </c>
      <c r="D500">
        <v>30</v>
      </c>
      <c r="E500">
        <v>5</v>
      </c>
      <c r="F500">
        <v>6</v>
      </c>
      <c r="G500">
        <v>19</v>
      </c>
      <c r="H500">
        <v>29</v>
      </c>
      <c r="I500">
        <v>61</v>
      </c>
      <c r="J500">
        <v>21</v>
      </c>
      <c r="K500" s="19">
        <f t="shared" si="69"/>
        <v>23.333333333333332</v>
      </c>
      <c r="L500" s="11">
        <f t="shared" si="70"/>
        <v>0.96666666666666667</v>
      </c>
      <c r="M500" s="11">
        <f t="shared" si="71"/>
        <v>2.0333333333333332</v>
      </c>
    </row>
    <row r="501" spans="2:13" x14ac:dyDescent="0.25">
      <c r="B501">
        <v>14</v>
      </c>
      <c r="C501" t="s">
        <v>115</v>
      </c>
      <c r="D501">
        <v>30</v>
      </c>
      <c r="E501">
        <v>4</v>
      </c>
      <c r="F501">
        <v>6</v>
      </c>
      <c r="G501">
        <v>20</v>
      </c>
      <c r="H501">
        <v>19</v>
      </c>
      <c r="I501">
        <v>67</v>
      </c>
      <c r="J501">
        <v>18</v>
      </c>
      <c r="K501" s="19">
        <f t="shared" si="69"/>
        <v>20</v>
      </c>
      <c r="L501" s="11">
        <f t="shared" si="70"/>
        <v>0.6333333333333333</v>
      </c>
      <c r="M501" s="11">
        <f t="shared" si="71"/>
        <v>2.2333333333333334</v>
      </c>
    </row>
    <row r="502" spans="2:13" x14ac:dyDescent="0.25">
      <c r="B502">
        <v>15</v>
      </c>
      <c r="C502" t="s">
        <v>131</v>
      </c>
      <c r="D502">
        <v>30</v>
      </c>
      <c r="E502">
        <v>4</v>
      </c>
      <c r="F502">
        <v>1</v>
      </c>
      <c r="G502">
        <v>25</v>
      </c>
      <c r="H502">
        <v>15</v>
      </c>
      <c r="I502">
        <v>101</v>
      </c>
      <c r="J502">
        <v>13</v>
      </c>
      <c r="K502" s="19">
        <f t="shared" si="69"/>
        <v>14.444444444444443</v>
      </c>
      <c r="L502" s="11">
        <f t="shared" si="70"/>
        <v>0.5</v>
      </c>
      <c r="M502" s="11">
        <f t="shared" si="71"/>
        <v>3.3666666666666667</v>
      </c>
    </row>
    <row r="503" spans="2:13" x14ac:dyDescent="0.25">
      <c r="B503">
        <v>16</v>
      </c>
      <c r="C503" t="s">
        <v>114</v>
      </c>
      <c r="D503">
        <v>30</v>
      </c>
      <c r="E503">
        <v>3</v>
      </c>
      <c r="F503">
        <v>1</v>
      </c>
      <c r="G503">
        <v>26</v>
      </c>
      <c r="H503">
        <v>26</v>
      </c>
      <c r="I503">
        <v>148</v>
      </c>
      <c r="J503">
        <v>10</v>
      </c>
      <c r="K503" s="19">
        <f t="shared" si="69"/>
        <v>11.111111111111111</v>
      </c>
      <c r="L503" s="11">
        <f t="shared" si="70"/>
        <v>0.8666666666666667</v>
      </c>
      <c r="M503" s="11">
        <f t="shared" si="71"/>
        <v>4.9333333333333336</v>
      </c>
    </row>
    <row r="505" spans="2:13" x14ac:dyDescent="0.25">
      <c r="B505" s="50" t="s">
        <v>134</v>
      </c>
      <c r="C505" s="50"/>
      <c r="D505" s="50"/>
      <c r="E505" s="50"/>
      <c r="F505" s="50"/>
      <c r="G505" s="50"/>
      <c r="H505" s="50"/>
      <c r="I505" s="50"/>
      <c r="J505" s="50"/>
    </row>
    <row r="506" spans="2:13" x14ac:dyDescent="0.25">
      <c r="B506">
        <v>1</v>
      </c>
      <c r="C506" t="s">
        <v>64</v>
      </c>
      <c r="D506">
        <v>30</v>
      </c>
      <c r="E506">
        <v>26</v>
      </c>
      <c r="F506">
        <v>1</v>
      </c>
      <c r="G506">
        <v>3</v>
      </c>
      <c r="H506">
        <v>108</v>
      </c>
      <c r="I506">
        <v>23</v>
      </c>
      <c r="J506">
        <v>79</v>
      </c>
      <c r="K506" s="19">
        <f t="shared" ref="K506:K521" si="72">(E506*3+F506)/(D506*3)*100</f>
        <v>87.777777777777771</v>
      </c>
      <c r="L506" s="11">
        <f t="shared" ref="L506:L521" si="73">H506/D506</f>
        <v>3.6</v>
      </c>
      <c r="M506" s="11">
        <f t="shared" ref="M506:M521" si="74">I506/D506</f>
        <v>0.76666666666666672</v>
      </c>
    </row>
    <row r="507" spans="2:13" x14ac:dyDescent="0.25">
      <c r="B507">
        <v>2</v>
      </c>
      <c r="C507" t="s">
        <v>92</v>
      </c>
      <c r="D507">
        <v>30</v>
      </c>
      <c r="E507">
        <v>26</v>
      </c>
      <c r="F507">
        <v>1</v>
      </c>
      <c r="G507">
        <v>3</v>
      </c>
      <c r="H507">
        <v>88</v>
      </c>
      <c r="I507">
        <v>16</v>
      </c>
      <c r="J507">
        <v>79</v>
      </c>
      <c r="K507" s="19">
        <f t="shared" si="72"/>
        <v>87.777777777777771</v>
      </c>
      <c r="L507" s="11">
        <f t="shared" si="73"/>
        <v>2.9333333333333331</v>
      </c>
      <c r="M507" s="11">
        <f t="shared" si="74"/>
        <v>0.53333333333333333</v>
      </c>
    </row>
    <row r="508" spans="2:13" x14ac:dyDescent="0.25">
      <c r="B508">
        <v>3</v>
      </c>
      <c r="C508" t="s">
        <v>70</v>
      </c>
      <c r="D508">
        <v>30</v>
      </c>
      <c r="E508">
        <v>23</v>
      </c>
      <c r="F508">
        <v>0</v>
      </c>
      <c r="G508">
        <v>7</v>
      </c>
      <c r="H508">
        <v>101</v>
      </c>
      <c r="I508">
        <v>30</v>
      </c>
      <c r="J508">
        <v>69</v>
      </c>
      <c r="K508" s="19">
        <f t="shared" si="72"/>
        <v>76.666666666666671</v>
      </c>
      <c r="L508" s="11">
        <f t="shared" si="73"/>
        <v>3.3666666666666667</v>
      </c>
      <c r="M508" s="11">
        <f t="shared" si="74"/>
        <v>1</v>
      </c>
    </row>
    <row r="509" spans="2:13" x14ac:dyDescent="0.25">
      <c r="B509">
        <v>4</v>
      </c>
      <c r="C509" t="s">
        <v>33</v>
      </c>
      <c r="D509">
        <v>30</v>
      </c>
      <c r="E509">
        <v>22</v>
      </c>
      <c r="F509">
        <v>1</v>
      </c>
      <c r="G509">
        <v>7</v>
      </c>
      <c r="H509">
        <v>90</v>
      </c>
      <c r="I509">
        <v>31</v>
      </c>
      <c r="J509">
        <v>67</v>
      </c>
      <c r="K509" s="19">
        <f t="shared" si="72"/>
        <v>74.444444444444443</v>
      </c>
      <c r="L509" s="11">
        <f t="shared" si="73"/>
        <v>3</v>
      </c>
      <c r="M509" s="11">
        <f t="shared" si="74"/>
        <v>1.0333333333333334</v>
      </c>
    </row>
    <row r="510" spans="2:13" x14ac:dyDescent="0.25">
      <c r="B510">
        <v>5</v>
      </c>
      <c r="C510" t="s">
        <v>58</v>
      </c>
      <c r="D510">
        <v>30</v>
      </c>
      <c r="E510">
        <v>17</v>
      </c>
      <c r="F510">
        <v>5</v>
      </c>
      <c r="G510">
        <v>8</v>
      </c>
      <c r="H510">
        <v>70</v>
      </c>
      <c r="I510">
        <v>29</v>
      </c>
      <c r="J510">
        <v>56</v>
      </c>
      <c r="K510" s="19">
        <f t="shared" si="72"/>
        <v>62.222222222222221</v>
      </c>
      <c r="L510" s="11">
        <f t="shared" si="73"/>
        <v>2.3333333333333335</v>
      </c>
      <c r="M510" s="11">
        <f t="shared" si="74"/>
        <v>0.96666666666666667</v>
      </c>
    </row>
    <row r="511" spans="2:13" x14ac:dyDescent="0.25">
      <c r="B511">
        <v>6</v>
      </c>
      <c r="C511" t="s">
        <v>32</v>
      </c>
      <c r="D511">
        <v>30</v>
      </c>
      <c r="E511">
        <v>17</v>
      </c>
      <c r="F511">
        <v>2</v>
      </c>
      <c r="G511">
        <v>11</v>
      </c>
      <c r="H511">
        <v>58</v>
      </c>
      <c r="I511">
        <v>34</v>
      </c>
      <c r="J511">
        <v>53</v>
      </c>
      <c r="K511" s="19">
        <f t="shared" si="72"/>
        <v>58.888888888888893</v>
      </c>
      <c r="L511" s="11">
        <f t="shared" si="73"/>
        <v>1.9333333333333333</v>
      </c>
      <c r="M511" s="11">
        <f t="shared" si="74"/>
        <v>1.1333333333333333</v>
      </c>
    </row>
    <row r="512" spans="2:13" x14ac:dyDescent="0.25">
      <c r="B512">
        <v>7</v>
      </c>
      <c r="C512" t="s">
        <v>71</v>
      </c>
      <c r="D512">
        <v>30</v>
      </c>
      <c r="E512">
        <v>16</v>
      </c>
      <c r="F512">
        <v>4</v>
      </c>
      <c r="G512">
        <v>10</v>
      </c>
      <c r="H512">
        <v>65</v>
      </c>
      <c r="I512">
        <v>38</v>
      </c>
      <c r="J512">
        <v>52</v>
      </c>
      <c r="K512" s="19">
        <f t="shared" si="72"/>
        <v>57.777777777777771</v>
      </c>
      <c r="L512" s="11">
        <f t="shared" si="73"/>
        <v>2.1666666666666665</v>
      </c>
      <c r="M512" s="11">
        <f t="shared" si="74"/>
        <v>1.2666666666666666</v>
      </c>
    </row>
    <row r="513" spans="2:13" x14ac:dyDescent="0.25">
      <c r="B513">
        <v>8</v>
      </c>
      <c r="C513" t="s">
        <v>43</v>
      </c>
      <c r="D513">
        <v>30</v>
      </c>
      <c r="E513">
        <v>14</v>
      </c>
      <c r="F513">
        <v>6</v>
      </c>
      <c r="G513">
        <v>10</v>
      </c>
      <c r="H513">
        <v>50</v>
      </c>
      <c r="I513">
        <v>39</v>
      </c>
      <c r="J513">
        <v>48</v>
      </c>
      <c r="K513" s="19">
        <f t="shared" si="72"/>
        <v>53.333333333333336</v>
      </c>
      <c r="L513" s="11">
        <f t="shared" si="73"/>
        <v>1.6666666666666667</v>
      </c>
      <c r="M513" s="11">
        <f t="shared" si="74"/>
        <v>1.3</v>
      </c>
    </row>
    <row r="514" spans="2:13" x14ac:dyDescent="0.25">
      <c r="B514">
        <v>9</v>
      </c>
      <c r="C514" t="s">
        <v>130</v>
      </c>
      <c r="D514">
        <v>30</v>
      </c>
      <c r="E514">
        <v>12</v>
      </c>
      <c r="F514">
        <v>5</v>
      </c>
      <c r="G514">
        <v>13</v>
      </c>
      <c r="H514">
        <v>45</v>
      </c>
      <c r="I514">
        <v>51</v>
      </c>
      <c r="J514">
        <v>41</v>
      </c>
      <c r="K514" s="19">
        <f t="shared" si="72"/>
        <v>45.555555555555557</v>
      </c>
      <c r="L514" s="11">
        <f t="shared" si="73"/>
        <v>1.5</v>
      </c>
      <c r="M514" s="11">
        <f t="shared" si="74"/>
        <v>1.7</v>
      </c>
    </row>
    <row r="515" spans="2:13" x14ac:dyDescent="0.25">
      <c r="B515">
        <v>10</v>
      </c>
      <c r="C515" t="s">
        <v>112</v>
      </c>
      <c r="D515">
        <v>30</v>
      </c>
      <c r="E515">
        <v>11</v>
      </c>
      <c r="F515">
        <v>4</v>
      </c>
      <c r="G515">
        <v>15</v>
      </c>
      <c r="H515">
        <v>33</v>
      </c>
      <c r="I515">
        <v>53</v>
      </c>
      <c r="J515">
        <v>37</v>
      </c>
      <c r="K515" s="19">
        <f t="shared" si="72"/>
        <v>41.111111111111107</v>
      </c>
      <c r="L515" s="11">
        <f t="shared" si="73"/>
        <v>1.1000000000000001</v>
      </c>
      <c r="M515" s="11">
        <f t="shared" si="74"/>
        <v>1.7666666666666666</v>
      </c>
    </row>
    <row r="516" spans="2:13" x14ac:dyDescent="0.25">
      <c r="B516">
        <v>11</v>
      </c>
      <c r="C516" t="s">
        <v>128</v>
      </c>
      <c r="D516">
        <v>30</v>
      </c>
      <c r="E516">
        <v>10</v>
      </c>
      <c r="F516">
        <v>1</v>
      </c>
      <c r="G516">
        <v>19</v>
      </c>
      <c r="H516">
        <v>44</v>
      </c>
      <c r="I516">
        <v>67</v>
      </c>
      <c r="J516">
        <v>31</v>
      </c>
      <c r="K516" s="19">
        <f t="shared" si="72"/>
        <v>34.444444444444443</v>
      </c>
      <c r="L516" s="11">
        <f t="shared" si="73"/>
        <v>1.4666666666666666</v>
      </c>
      <c r="M516" s="11">
        <f t="shared" si="74"/>
        <v>2.2333333333333334</v>
      </c>
    </row>
    <row r="517" spans="2:13" x14ac:dyDescent="0.25">
      <c r="B517">
        <v>12</v>
      </c>
      <c r="C517" t="s">
        <v>73</v>
      </c>
      <c r="D517">
        <v>30</v>
      </c>
      <c r="E517">
        <v>9</v>
      </c>
      <c r="F517">
        <v>2</v>
      </c>
      <c r="G517">
        <v>19</v>
      </c>
      <c r="H517">
        <v>32</v>
      </c>
      <c r="I517">
        <v>80</v>
      </c>
      <c r="J517">
        <v>29</v>
      </c>
      <c r="K517" s="19">
        <f t="shared" si="72"/>
        <v>32.222222222222221</v>
      </c>
      <c r="L517" s="11">
        <f t="shared" si="73"/>
        <v>1.0666666666666667</v>
      </c>
      <c r="M517" s="11">
        <f t="shared" si="74"/>
        <v>2.6666666666666665</v>
      </c>
    </row>
    <row r="518" spans="2:13" x14ac:dyDescent="0.25">
      <c r="B518">
        <v>13</v>
      </c>
      <c r="C518" t="s">
        <v>76</v>
      </c>
      <c r="D518">
        <v>30</v>
      </c>
      <c r="E518">
        <v>8</v>
      </c>
      <c r="F518">
        <v>2</v>
      </c>
      <c r="G518">
        <v>20</v>
      </c>
      <c r="H518">
        <v>30</v>
      </c>
      <c r="I518">
        <v>81</v>
      </c>
      <c r="J518">
        <v>26</v>
      </c>
      <c r="K518" s="19">
        <f t="shared" si="72"/>
        <v>28.888888888888886</v>
      </c>
      <c r="L518" s="11">
        <f t="shared" si="73"/>
        <v>1</v>
      </c>
      <c r="M518" s="11">
        <f t="shared" si="74"/>
        <v>2.7</v>
      </c>
    </row>
    <row r="519" spans="2:13" x14ac:dyDescent="0.25">
      <c r="B519">
        <v>14</v>
      </c>
      <c r="C519" t="s">
        <v>115</v>
      </c>
      <c r="D519">
        <v>30</v>
      </c>
      <c r="E519">
        <v>8</v>
      </c>
      <c r="F519">
        <v>1</v>
      </c>
      <c r="G519">
        <v>21</v>
      </c>
      <c r="H519">
        <v>40</v>
      </c>
      <c r="I519">
        <v>61</v>
      </c>
      <c r="J519">
        <v>25</v>
      </c>
      <c r="K519" s="19">
        <f t="shared" si="72"/>
        <v>27.777777777777779</v>
      </c>
      <c r="L519" s="11">
        <f t="shared" si="73"/>
        <v>1.3333333333333333</v>
      </c>
      <c r="M519" s="11">
        <f t="shared" si="74"/>
        <v>2.0333333333333332</v>
      </c>
    </row>
    <row r="520" spans="2:13" x14ac:dyDescent="0.25">
      <c r="B520">
        <v>15</v>
      </c>
      <c r="C520" t="s">
        <v>68</v>
      </c>
      <c r="D520">
        <v>30</v>
      </c>
      <c r="E520">
        <v>1</v>
      </c>
      <c r="F520">
        <v>2</v>
      </c>
      <c r="G520">
        <v>27</v>
      </c>
      <c r="H520">
        <v>18</v>
      </c>
      <c r="I520">
        <v>104</v>
      </c>
      <c r="J520">
        <v>5</v>
      </c>
      <c r="K520" s="19">
        <f t="shared" si="72"/>
        <v>5.5555555555555554</v>
      </c>
      <c r="L520" s="11">
        <f t="shared" si="73"/>
        <v>0.6</v>
      </c>
      <c r="M520" s="11">
        <f t="shared" si="74"/>
        <v>3.4666666666666668</v>
      </c>
    </row>
    <row r="521" spans="2:13" x14ac:dyDescent="0.25">
      <c r="B521">
        <v>16</v>
      </c>
      <c r="C521" t="s">
        <v>133</v>
      </c>
      <c r="D521">
        <v>22</v>
      </c>
      <c r="E521">
        <v>0</v>
      </c>
      <c r="F521">
        <v>0</v>
      </c>
      <c r="G521">
        <v>22</v>
      </c>
      <c r="H521">
        <v>8</v>
      </c>
      <c r="I521">
        <v>127</v>
      </c>
      <c r="J521">
        <v>0</v>
      </c>
      <c r="K521" s="19">
        <f t="shared" si="72"/>
        <v>0</v>
      </c>
      <c r="L521" s="11">
        <f t="shared" si="73"/>
        <v>0.36363636363636365</v>
      </c>
      <c r="M521" s="11">
        <f t="shared" si="74"/>
        <v>5.7727272727272725</v>
      </c>
    </row>
    <row r="522" spans="2:13" x14ac:dyDescent="0.25">
      <c r="J522"/>
      <c r="K522" s="19"/>
      <c r="L522" s="11"/>
      <c r="M522" s="11"/>
    </row>
    <row r="523" spans="2:13" x14ac:dyDescent="0.25">
      <c r="B523" s="50" t="s">
        <v>145</v>
      </c>
      <c r="C523" s="50"/>
      <c r="D523" s="50"/>
      <c r="E523" s="50"/>
      <c r="F523" s="50"/>
      <c r="G523" s="50"/>
      <c r="H523" s="50"/>
      <c r="I523" s="50"/>
      <c r="J523" s="50"/>
      <c r="K523" s="19"/>
      <c r="L523" s="11"/>
      <c r="M523" s="11"/>
    </row>
    <row r="524" spans="2:13" x14ac:dyDescent="0.25">
      <c r="B524">
        <v>1</v>
      </c>
      <c r="C524" t="s">
        <v>92</v>
      </c>
      <c r="D524">
        <v>30</v>
      </c>
      <c r="E524">
        <v>26</v>
      </c>
      <c r="F524">
        <v>2</v>
      </c>
      <c r="G524">
        <v>2</v>
      </c>
      <c r="H524">
        <v>89</v>
      </c>
      <c r="I524">
        <v>13</v>
      </c>
      <c r="J524">
        <v>80</v>
      </c>
      <c r="K524" s="19">
        <f t="shared" ref="K524:K539" si="75">(E524*3+F524)/(D524*3)*100</f>
        <v>88.888888888888886</v>
      </c>
      <c r="L524" s="11">
        <f t="shared" ref="L524:L539" si="76">H524/D524</f>
        <v>2.9666666666666668</v>
      </c>
      <c r="M524" s="11">
        <f t="shared" ref="M524:M539" si="77">I524/D524</f>
        <v>0.43333333333333335</v>
      </c>
    </row>
    <row r="525" spans="2:13" x14ac:dyDescent="0.25">
      <c r="B525">
        <v>2</v>
      </c>
      <c r="C525" t="s">
        <v>43</v>
      </c>
      <c r="D525">
        <v>30</v>
      </c>
      <c r="E525">
        <v>20</v>
      </c>
      <c r="F525">
        <v>4</v>
      </c>
      <c r="G525">
        <v>6</v>
      </c>
      <c r="H525">
        <v>67</v>
      </c>
      <c r="I525">
        <v>23</v>
      </c>
      <c r="J525">
        <v>64</v>
      </c>
      <c r="K525" s="19">
        <f t="shared" si="75"/>
        <v>71.111111111111114</v>
      </c>
      <c r="L525" s="11">
        <f t="shared" si="76"/>
        <v>2.2333333333333334</v>
      </c>
      <c r="M525" s="11">
        <f t="shared" si="77"/>
        <v>0.76666666666666672</v>
      </c>
    </row>
    <row r="526" spans="2:13" x14ac:dyDescent="0.25">
      <c r="B526">
        <v>3</v>
      </c>
      <c r="C526" t="s">
        <v>70</v>
      </c>
      <c r="D526">
        <v>30</v>
      </c>
      <c r="E526">
        <v>19</v>
      </c>
      <c r="F526">
        <v>2</v>
      </c>
      <c r="G526">
        <v>9</v>
      </c>
      <c r="H526">
        <v>77</v>
      </c>
      <c r="I526">
        <v>30</v>
      </c>
      <c r="J526">
        <v>59</v>
      </c>
      <c r="K526" s="19">
        <f t="shared" si="75"/>
        <v>65.555555555555557</v>
      </c>
      <c r="L526" s="11">
        <f t="shared" si="76"/>
        <v>2.5666666666666669</v>
      </c>
      <c r="M526" s="11">
        <f t="shared" si="77"/>
        <v>1</v>
      </c>
    </row>
    <row r="527" spans="2:13" x14ac:dyDescent="0.25">
      <c r="B527">
        <v>4</v>
      </c>
      <c r="C527" t="s">
        <v>64</v>
      </c>
      <c r="D527">
        <v>30</v>
      </c>
      <c r="E527">
        <v>18</v>
      </c>
      <c r="F527">
        <v>5</v>
      </c>
      <c r="G527">
        <v>7</v>
      </c>
      <c r="H527">
        <v>56</v>
      </c>
      <c r="I527">
        <v>20</v>
      </c>
      <c r="J527">
        <v>59</v>
      </c>
      <c r="K527" s="19">
        <f t="shared" si="75"/>
        <v>65.555555555555557</v>
      </c>
      <c r="L527" s="11">
        <f t="shared" si="76"/>
        <v>1.8666666666666667</v>
      </c>
      <c r="M527" s="11">
        <f t="shared" si="77"/>
        <v>0.66666666666666663</v>
      </c>
    </row>
    <row r="528" spans="2:13" x14ac:dyDescent="0.25">
      <c r="B528">
        <v>5</v>
      </c>
      <c r="C528" t="s">
        <v>32</v>
      </c>
      <c r="D528">
        <v>30</v>
      </c>
      <c r="E528">
        <v>16</v>
      </c>
      <c r="F528">
        <v>5</v>
      </c>
      <c r="G528">
        <v>9</v>
      </c>
      <c r="H528">
        <v>44</v>
      </c>
      <c r="I528">
        <v>25</v>
      </c>
      <c r="J528">
        <v>53</v>
      </c>
      <c r="K528" s="19">
        <f t="shared" si="75"/>
        <v>58.888888888888893</v>
      </c>
      <c r="L528" s="11">
        <f t="shared" si="76"/>
        <v>1.4666666666666666</v>
      </c>
      <c r="M528" s="11">
        <f t="shared" si="77"/>
        <v>0.83333333333333337</v>
      </c>
    </row>
    <row r="529" spans="2:14" x14ac:dyDescent="0.25">
      <c r="B529">
        <v>6</v>
      </c>
      <c r="C529" t="s">
        <v>33</v>
      </c>
      <c r="D529">
        <v>30</v>
      </c>
      <c r="E529">
        <v>15</v>
      </c>
      <c r="F529">
        <v>6</v>
      </c>
      <c r="G529">
        <v>9</v>
      </c>
      <c r="H529">
        <v>64</v>
      </c>
      <c r="I529">
        <v>35</v>
      </c>
      <c r="J529">
        <v>51</v>
      </c>
      <c r="K529" s="19">
        <f t="shared" si="75"/>
        <v>56.666666666666664</v>
      </c>
      <c r="L529" s="11">
        <f t="shared" si="76"/>
        <v>2.1333333333333333</v>
      </c>
      <c r="M529" s="11">
        <f t="shared" si="77"/>
        <v>1.1666666666666667</v>
      </c>
    </row>
    <row r="530" spans="2:14" x14ac:dyDescent="0.25">
      <c r="B530">
        <v>7</v>
      </c>
      <c r="C530" t="s">
        <v>58</v>
      </c>
      <c r="D530">
        <v>30</v>
      </c>
      <c r="E530">
        <v>13</v>
      </c>
      <c r="F530">
        <v>9</v>
      </c>
      <c r="G530">
        <v>8</v>
      </c>
      <c r="H530">
        <v>41</v>
      </c>
      <c r="I530">
        <v>29</v>
      </c>
      <c r="J530">
        <v>48</v>
      </c>
      <c r="K530" s="19">
        <f t="shared" si="75"/>
        <v>53.333333333333336</v>
      </c>
      <c r="L530" s="11">
        <f t="shared" si="76"/>
        <v>1.3666666666666667</v>
      </c>
      <c r="M530" s="11">
        <f t="shared" si="77"/>
        <v>0.96666666666666667</v>
      </c>
    </row>
    <row r="531" spans="2:14" x14ac:dyDescent="0.25">
      <c r="B531">
        <v>8</v>
      </c>
      <c r="C531" t="s">
        <v>71</v>
      </c>
      <c r="D531">
        <v>30</v>
      </c>
      <c r="E531">
        <v>14</v>
      </c>
      <c r="F531">
        <v>5</v>
      </c>
      <c r="G531">
        <v>11</v>
      </c>
      <c r="H531">
        <v>58</v>
      </c>
      <c r="I531">
        <v>42</v>
      </c>
      <c r="J531">
        <v>47</v>
      </c>
      <c r="K531" s="19">
        <f t="shared" si="75"/>
        <v>52.222222222222229</v>
      </c>
      <c r="L531" s="11">
        <f t="shared" si="76"/>
        <v>1.9333333333333333</v>
      </c>
      <c r="M531" s="11">
        <f t="shared" si="77"/>
        <v>1.4</v>
      </c>
    </row>
    <row r="532" spans="2:14" x14ac:dyDescent="0.25">
      <c r="B532">
        <v>9</v>
      </c>
      <c r="C532" t="s">
        <v>112</v>
      </c>
      <c r="D532">
        <v>30</v>
      </c>
      <c r="E532">
        <v>12</v>
      </c>
      <c r="F532">
        <v>9</v>
      </c>
      <c r="G532">
        <v>9</v>
      </c>
      <c r="H532">
        <v>34</v>
      </c>
      <c r="I532">
        <v>31</v>
      </c>
      <c r="J532">
        <v>45</v>
      </c>
      <c r="K532" s="19">
        <f t="shared" si="75"/>
        <v>50</v>
      </c>
      <c r="L532" s="11">
        <f t="shared" si="76"/>
        <v>1.1333333333333333</v>
      </c>
      <c r="M532" s="11">
        <f t="shared" si="77"/>
        <v>1.0333333333333334</v>
      </c>
    </row>
    <row r="533" spans="2:14" x14ac:dyDescent="0.25">
      <c r="B533">
        <v>10</v>
      </c>
      <c r="C533" t="s">
        <v>130</v>
      </c>
      <c r="D533">
        <v>30</v>
      </c>
      <c r="E533">
        <v>12</v>
      </c>
      <c r="F533">
        <v>3</v>
      </c>
      <c r="G533">
        <v>15</v>
      </c>
      <c r="H533">
        <v>51</v>
      </c>
      <c r="I533">
        <v>53</v>
      </c>
      <c r="J533">
        <v>39</v>
      </c>
      <c r="K533" s="19">
        <f t="shared" si="75"/>
        <v>43.333333333333336</v>
      </c>
      <c r="L533" s="11">
        <f t="shared" si="76"/>
        <v>1.7</v>
      </c>
      <c r="M533" s="11">
        <f t="shared" si="77"/>
        <v>1.7666666666666666</v>
      </c>
    </row>
    <row r="534" spans="2:14" x14ac:dyDescent="0.25">
      <c r="B534">
        <v>11</v>
      </c>
      <c r="C534" t="s">
        <v>115</v>
      </c>
      <c r="D534">
        <v>30</v>
      </c>
      <c r="E534">
        <v>11</v>
      </c>
      <c r="F534">
        <v>3</v>
      </c>
      <c r="G534">
        <v>16</v>
      </c>
      <c r="H534">
        <v>40</v>
      </c>
      <c r="I534">
        <v>72</v>
      </c>
      <c r="J534">
        <v>36</v>
      </c>
      <c r="K534" s="19">
        <f t="shared" si="75"/>
        <v>40</v>
      </c>
      <c r="L534" s="11">
        <f t="shared" si="76"/>
        <v>1.3333333333333333</v>
      </c>
      <c r="M534" s="11">
        <f t="shared" si="77"/>
        <v>2.4</v>
      </c>
    </row>
    <row r="535" spans="2:14" x14ac:dyDescent="0.25">
      <c r="B535">
        <v>12</v>
      </c>
      <c r="C535" t="s">
        <v>76</v>
      </c>
      <c r="D535">
        <v>30</v>
      </c>
      <c r="E535">
        <v>11</v>
      </c>
      <c r="F535">
        <v>1</v>
      </c>
      <c r="G535">
        <v>18</v>
      </c>
      <c r="H535">
        <v>38</v>
      </c>
      <c r="I535">
        <v>55</v>
      </c>
      <c r="J535">
        <v>34</v>
      </c>
      <c r="K535" s="19">
        <f t="shared" si="75"/>
        <v>37.777777777777779</v>
      </c>
      <c r="L535" s="11">
        <f t="shared" si="76"/>
        <v>1.2666666666666666</v>
      </c>
      <c r="M535" s="11">
        <f t="shared" si="77"/>
        <v>1.8333333333333333</v>
      </c>
    </row>
    <row r="536" spans="2:14" x14ac:dyDescent="0.25">
      <c r="B536">
        <v>13</v>
      </c>
      <c r="C536" t="s">
        <v>73</v>
      </c>
      <c r="D536">
        <v>30</v>
      </c>
      <c r="E536">
        <v>9</v>
      </c>
      <c r="F536">
        <v>4</v>
      </c>
      <c r="G536">
        <v>17</v>
      </c>
      <c r="H536">
        <v>43</v>
      </c>
      <c r="I536">
        <v>68</v>
      </c>
      <c r="J536">
        <v>31</v>
      </c>
      <c r="K536" s="19">
        <f t="shared" si="75"/>
        <v>34.444444444444443</v>
      </c>
      <c r="L536" s="11">
        <f t="shared" si="76"/>
        <v>1.4333333333333333</v>
      </c>
      <c r="M536" s="11">
        <f t="shared" si="77"/>
        <v>2.2666666666666666</v>
      </c>
    </row>
    <row r="537" spans="2:14" x14ac:dyDescent="0.25">
      <c r="B537">
        <v>14</v>
      </c>
      <c r="C537" t="s">
        <v>128</v>
      </c>
      <c r="D537">
        <v>30</v>
      </c>
      <c r="E537">
        <v>8</v>
      </c>
      <c r="F537">
        <v>3</v>
      </c>
      <c r="G537">
        <v>19</v>
      </c>
      <c r="H537">
        <v>34</v>
      </c>
      <c r="I537">
        <v>52</v>
      </c>
      <c r="J537">
        <v>27</v>
      </c>
      <c r="K537" s="19">
        <f t="shared" si="75"/>
        <v>30</v>
      </c>
      <c r="L537" s="11">
        <f t="shared" si="76"/>
        <v>1.1333333333333333</v>
      </c>
      <c r="M537" s="11">
        <f t="shared" si="77"/>
        <v>1.7333333333333334</v>
      </c>
    </row>
    <row r="538" spans="2:14" x14ac:dyDescent="0.25">
      <c r="B538">
        <v>15</v>
      </c>
      <c r="C538" t="s">
        <v>56</v>
      </c>
      <c r="D538">
        <v>30</v>
      </c>
      <c r="E538">
        <v>3</v>
      </c>
      <c r="F538">
        <v>0</v>
      </c>
      <c r="G538">
        <v>27</v>
      </c>
      <c r="H538">
        <v>8</v>
      </c>
      <c r="I538">
        <v>98</v>
      </c>
      <c r="J538">
        <v>9</v>
      </c>
      <c r="K538" s="19">
        <f t="shared" si="75"/>
        <v>10</v>
      </c>
      <c r="L538" s="11">
        <f t="shared" si="76"/>
        <v>0.26666666666666666</v>
      </c>
      <c r="M538" s="11">
        <f t="shared" si="77"/>
        <v>3.2666666666666666</v>
      </c>
    </row>
    <row r="539" spans="2:14" x14ac:dyDescent="0.25">
      <c r="B539">
        <v>16</v>
      </c>
      <c r="C539" t="s">
        <v>146</v>
      </c>
      <c r="D539">
        <v>30</v>
      </c>
      <c r="E539">
        <v>2</v>
      </c>
      <c r="F539">
        <v>1</v>
      </c>
      <c r="G539">
        <v>27</v>
      </c>
      <c r="H539">
        <v>11</v>
      </c>
      <c r="I539">
        <v>109</v>
      </c>
      <c r="J539">
        <v>7</v>
      </c>
      <c r="K539" s="19">
        <f t="shared" si="75"/>
        <v>7.7777777777777777</v>
      </c>
      <c r="L539" s="11">
        <f t="shared" si="76"/>
        <v>0.36666666666666664</v>
      </c>
      <c r="M539" s="11">
        <f t="shared" si="77"/>
        <v>3.6333333333333333</v>
      </c>
    </row>
    <row r="540" spans="2:14" x14ac:dyDescent="0.25">
      <c r="J540"/>
    </row>
    <row r="541" spans="2:14" s="32" customFormat="1" x14ac:dyDescent="0.25">
      <c r="B541" s="50" t="s">
        <v>149</v>
      </c>
      <c r="C541" s="50"/>
      <c r="D541" s="50"/>
      <c r="E541" s="50"/>
      <c r="F541" s="50"/>
      <c r="G541" s="50"/>
      <c r="H541" s="50"/>
      <c r="I541" s="50"/>
      <c r="J541" s="50"/>
      <c r="N541" s="34"/>
    </row>
    <row r="542" spans="2:14" s="32" customFormat="1" x14ac:dyDescent="0.25">
      <c r="B542">
        <v>1</v>
      </c>
      <c r="C542" s="32" t="s">
        <v>112</v>
      </c>
      <c r="D542" s="35">
        <v>30</v>
      </c>
      <c r="E542" s="35">
        <v>21</v>
      </c>
      <c r="F542" s="35">
        <v>2</v>
      </c>
      <c r="G542" s="35">
        <v>7</v>
      </c>
      <c r="H542" s="35">
        <v>63</v>
      </c>
      <c r="I542" s="35">
        <v>27</v>
      </c>
      <c r="J542">
        <v>79</v>
      </c>
      <c r="K542" s="19">
        <f t="shared" ref="K542:K557" si="78">(E542*3+F542)/(D542*3)*100</f>
        <v>72.222222222222214</v>
      </c>
      <c r="L542" s="11">
        <f t="shared" ref="L542:L557" si="79">H542/D542</f>
        <v>2.1</v>
      </c>
      <c r="M542" s="11">
        <f t="shared" ref="M542:M557" si="80">I542/D542</f>
        <v>0.9</v>
      </c>
      <c r="N542" s="34"/>
    </row>
    <row r="543" spans="2:14" s="32" customFormat="1" x14ac:dyDescent="0.25">
      <c r="B543">
        <v>2</v>
      </c>
      <c r="C543" s="32" t="s">
        <v>92</v>
      </c>
      <c r="D543" s="35">
        <v>30</v>
      </c>
      <c r="E543" s="35">
        <v>20</v>
      </c>
      <c r="F543" s="35">
        <v>3</v>
      </c>
      <c r="G543" s="35">
        <v>7</v>
      </c>
      <c r="H543" s="35">
        <v>86</v>
      </c>
      <c r="I543" s="35">
        <v>19</v>
      </c>
      <c r="J543">
        <v>79</v>
      </c>
      <c r="K543" s="19">
        <f t="shared" si="78"/>
        <v>70</v>
      </c>
      <c r="L543" s="11">
        <f t="shared" si="79"/>
        <v>2.8666666666666667</v>
      </c>
      <c r="M543" s="11">
        <f t="shared" si="80"/>
        <v>0.6333333333333333</v>
      </c>
      <c r="N543" s="34"/>
    </row>
    <row r="544" spans="2:14" s="32" customFormat="1" x14ac:dyDescent="0.25">
      <c r="B544">
        <v>3</v>
      </c>
      <c r="C544" s="32" t="s">
        <v>43</v>
      </c>
      <c r="D544" s="35">
        <v>30</v>
      </c>
      <c r="E544" s="35">
        <v>19</v>
      </c>
      <c r="F544" s="35">
        <v>5</v>
      </c>
      <c r="G544" s="35">
        <v>6</v>
      </c>
      <c r="H544" s="35">
        <v>73</v>
      </c>
      <c r="I544" s="35">
        <v>21</v>
      </c>
      <c r="J544">
        <v>69</v>
      </c>
      <c r="K544" s="19">
        <f t="shared" si="78"/>
        <v>68.888888888888886</v>
      </c>
      <c r="L544" s="11">
        <f t="shared" si="79"/>
        <v>2.4333333333333331</v>
      </c>
      <c r="M544" s="11">
        <f t="shared" si="80"/>
        <v>0.7</v>
      </c>
      <c r="N544" s="34"/>
    </row>
    <row r="545" spans="2:14" s="32" customFormat="1" x14ac:dyDescent="0.25">
      <c r="B545">
        <v>4</v>
      </c>
      <c r="C545" s="32" t="s">
        <v>64</v>
      </c>
      <c r="D545" s="35">
        <v>30</v>
      </c>
      <c r="E545" s="35">
        <v>19</v>
      </c>
      <c r="F545" s="35">
        <v>4</v>
      </c>
      <c r="G545" s="35">
        <v>7</v>
      </c>
      <c r="H545" s="35">
        <v>87</v>
      </c>
      <c r="I545" s="35">
        <v>27</v>
      </c>
      <c r="J545">
        <v>67</v>
      </c>
      <c r="K545" s="19">
        <f t="shared" si="78"/>
        <v>67.777777777777786</v>
      </c>
      <c r="L545" s="11">
        <f t="shared" si="79"/>
        <v>2.9</v>
      </c>
      <c r="M545" s="11">
        <f t="shared" si="80"/>
        <v>0.9</v>
      </c>
      <c r="N545" s="34"/>
    </row>
    <row r="546" spans="2:14" s="32" customFormat="1" x14ac:dyDescent="0.25">
      <c r="B546">
        <v>5</v>
      </c>
      <c r="C546" s="32" t="s">
        <v>32</v>
      </c>
      <c r="D546" s="35">
        <v>30</v>
      </c>
      <c r="E546" s="35">
        <v>18</v>
      </c>
      <c r="F546" s="35">
        <v>3</v>
      </c>
      <c r="G546" s="35">
        <v>9</v>
      </c>
      <c r="H546" s="35">
        <v>65</v>
      </c>
      <c r="I546" s="35">
        <v>29</v>
      </c>
      <c r="J546">
        <v>56</v>
      </c>
      <c r="K546" s="19">
        <f t="shared" si="78"/>
        <v>63.333333333333329</v>
      </c>
      <c r="L546" s="11">
        <f t="shared" si="79"/>
        <v>2.1666666666666665</v>
      </c>
      <c r="M546" s="11">
        <f t="shared" si="80"/>
        <v>0.96666666666666667</v>
      </c>
      <c r="N546" s="34"/>
    </row>
    <row r="547" spans="2:14" s="32" customFormat="1" x14ac:dyDescent="0.25">
      <c r="B547">
        <v>6</v>
      </c>
      <c r="C547" s="32" t="s">
        <v>58</v>
      </c>
      <c r="D547" s="35">
        <v>30</v>
      </c>
      <c r="E547" s="35">
        <v>18</v>
      </c>
      <c r="F547" s="35">
        <v>3</v>
      </c>
      <c r="G547" s="35">
        <v>9</v>
      </c>
      <c r="H547" s="35">
        <v>53</v>
      </c>
      <c r="I547" s="35">
        <v>24</v>
      </c>
      <c r="J547">
        <v>53</v>
      </c>
      <c r="K547" s="19">
        <f t="shared" si="78"/>
        <v>63.333333333333329</v>
      </c>
      <c r="L547" s="11">
        <f t="shared" si="79"/>
        <v>1.7666666666666666</v>
      </c>
      <c r="M547" s="11">
        <f t="shared" si="80"/>
        <v>0.8</v>
      </c>
      <c r="N547" s="34"/>
    </row>
    <row r="548" spans="2:14" s="32" customFormat="1" x14ac:dyDescent="0.25">
      <c r="B548">
        <v>7</v>
      </c>
      <c r="C548" s="32" t="s">
        <v>33</v>
      </c>
      <c r="D548" s="35">
        <v>30</v>
      </c>
      <c r="E548" s="35">
        <v>17</v>
      </c>
      <c r="F548" s="35">
        <v>5</v>
      </c>
      <c r="G548" s="35">
        <v>8</v>
      </c>
      <c r="H548" s="35">
        <v>64</v>
      </c>
      <c r="I548" s="35">
        <v>33</v>
      </c>
      <c r="J548">
        <v>52</v>
      </c>
      <c r="K548" s="19">
        <f t="shared" si="78"/>
        <v>62.222222222222221</v>
      </c>
      <c r="L548" s="11">
        <f t="shared" si="79"/>
        <v>2.1333333333333333</v>
      </c>
      <c r="M548" s="11">
        <f t="shared" si="80"/>
        <v>1.1000000000000001</v>
      </c>
      <c r="N548" s="34"/>
    </row>
    <row r="549" spans="2:14" s="32" customFormat="1" x14ac:dyDescent="0.25">
      <c r="B549">
        <v>8</v>
      </c>
      <c r="C549" s="32" t="s">
        <v>71</v>
      </c>
      <c r="D549" s="35">
        <v>30</v>
      </c>
      <c r="E549" s="35">
        <v>17</v>
      </c>
      <c r="F549" s="35">
        <v>3</v>
      </c>
      <c r="G549" s="35">
        <v>10</v>
      </c>
      <c r="H549" s="35">
        <v>69</v>
      </c>
      <c r="I549" s="35">
        <v>30</v>
      </c>
      <c r="J549">
        <v>48</v>
      </c>
      <c r="K549" s="19">
        <f t="shared" si="78"/>
        <v>60</v>
      </c>
      <c r="L549" s="11">
        <f t="shared" si="79"/>
        <v>2.2999999999999998</v>
      </c>
      <c r="M549" s="11">
        <f t="shared" si="80"/>
        <v>1</v>
      </c>
      <c r="N549" s="34"/>
    </row>
    <row r="550" spans="2:14" s="32" customFormat="1" x14ac:dyDescent="0.25">
      <c r="B550">
        <v>9</v>
      </c>
      <c r="C550" s="32" t="s">
        <v>128</v>
      </c>
      <c r="D550" s="35">
        <v>30</v>
      </c>
      <c r="E550" s="35">
        <v>15</v>
      </c>
      <c r="F550" s="35">
        <v>9</v>
      </c>
      <c r="G550" s="35">
        <v>6</v>
      </c>
      <c r="H550" s="35">
        <v>53</v>
      </c>
      <c r="I550" s="35">
        <v>31</v>
      </c>
      <c r="J550">
        <v>41</v>
      </c>
      <c r="K550" s="19">
        <f t="shared" si="78"/>
        <v>60</v>
      </c>
      <c r="L550" s="11">
        <f t="shared" si="79"/>
        <v>1.7666666666666666</v>
      </c>
      <c r="M550" s="11">
        <f t="shared" si="80"/>
        <v>1.0333333333333334</v>
      </c>
      <c r="N550" s="34"/>
    </row>
    <row r="551" spans="2:14" s="32" customFormat="1" x14ac:dyDescent="0.25">
      <c r="B551">
        <v>10</v>
      </c>
      <c r="C551" s="32" t="s">
        <v>130</v>
      </c>
      <c r="D551" s="35">
        <v>30</v>
      </c>
      <c r="E551" s="35">
        <v>13</v>
      </c>
      <c r="F551" s="35">
        <v>7</v>
      </c>
      <c r="G551" s="35">
        <v>10</v>
      </c>
      <c r="H551" s="35">
        <v>47</v>
      </c>
      <c r="I551" s="35">
        <v>37</v>
      </c>
      <c r="J551">
        <v>37</v>
      </c>
      <c r="K551" s="19">
        <f t="shared" si="78"/>
        <v>51.111111111111107</v>
      </c>
      <c r="L551" s="11">
        <f t="shared" si="79"/>
        <v>1.5666666666666667</v>
      </c>
      <c r="M551" s="11">
        <f t="shared" si="80"/>
        <v>1.2333333333333334</v>
      </c>
      <c r="N551" s="34"/>
    </row>
    <row r="552" spans="2:14" s="32" customFormat="1" x14ac:dyDescent="0.25">
      <c r="B552">
        <v>11</v>
      </c>
      <c r="C552" s="32" t="s">
        <v>115</v>
      </c>
      <c r="D552" s="35">
        <v>30</v>
      </c>
      <c r="E552" s="35">
        <v>14</v>
      </c>
      <c r="F552" s="35">
        <v>3</v>
      </c>
      <c r="G552" s="35">
        <v>13</v>
      </c>
      <c r="H552" s="35">
        <v>59</v>
      </c>
      <c r="I552" s="35">
        <v>42</v>
      </c>
      <c r="J552">
        <v>31</v>
      </c>
      <c r="K552" s="19">
        <f t="shared" si="78"/>
        <v>50</v>
      </c>
      <c r="L552" s="11">
        <f t="shared" si="79"/>
        <v>1.9666666666666666</v>
      </c>
      <c r="M552" s="11">
        <f t="shared" si="80"/>
        <v>1.4</v>
      </c>
      <c r="N552" s="34"/>
    </row>
    <row r="553" spans="2:14" s="32" customFormat="1" x14ac:dyDescent="0.25">
      <c r="B553">
        <v>12</v>
      </c>
      <c r="C553" s="32" t="s">
        <v>76</v>
      </c>
      <c r="D553" s="35">
        <v>30</v>
      </c>
      <c r="E553" s="35">
        <v>9</v>
      </c>
      <c r="F553" s="35">
        <v>2</v>
      </c>
      <c r="G553" s="35">
        <v>19</v>
      </c>
      <c r="H553" s="35">
        <v>31</v>
      </c>
      <c r="I553" s="35">
        <v>69</v>
      </c>
      <c r="J553">
        <v>29</v>
      </c>
      <c r="K553" s="19">
        <f t="shared" si="78"/>
        <v>32.222222222222221</v>
      </c>
      <c r="L553" s="11">
        <f t="shared" si="79"/>
        <v>1.0333333333333334</v>
      </c>
      <c r="M553" s="11">
        <f t="shared" si="80"/>
        <v>2.2999999999999998</v>
      </c>
      <c r="N553" s="34"/>
    </row>
    <row r="554" spans="2:14" s="32" customFormat="1" x14ac:dyDescent="0.25">
      <c r="B554">
        <v>13</v>
      </c>
      <c r="C554" s="32" t="s">
        <v>147</v>
      </c>
      <c r="D554" s="35">
        <v>30</v>
      </c>
      <c r="E554" s="35">
        <v>6</v>
      </c>
      <c r="F554" s="35">
        <v>3</v>
      </c>
      <c r="G554" s="35">
        <v>21</v>
      </c>
      <c r="H554" s="35">
        <v>34</v>
      </c>
      <c r="I554" s="35">
        <v>65</v>
      </c>
      <c r="J554">
        <v>26</v>
      </c>
      <c r="K554" s="19">
        <f t="shared" si="78"/>
        <v>23.333333333333332</v>
      </c>
      <c r="L554" s="11">
        <f t="shared" si="79"/>
        <v>1.1333333333333333</v>
      </c>
      <c r="M554" s="11">
        <f t="shared" si="80"/>
        <v>2.1666666666666665</v>
      </c>
      <c r="N554" s="34"/>
    </row>
    <row r="555" spans="2:14" s="32" customFormat="1" x14ac:dyDescent="0.25">
      <c r="B555">
        <v>14</v>
      </c>
      <c r="C555" s="32" t="s">
        <v>73</v>
      </c>
      <c r="D555" s="35">
        <v>30</v>
      </c>
      <c r="E555" s="35">
        <v>4</v>
      </c>
      <c r="F555" s="35">
        <v>1</v>
      </c>
      <c r="G555" s="35">
        <v>25</v>
      </c>
      <c r="H555" s="35">
        <v>27</v>
      </c>
      <c r="I555" s="35">
        <v>100</v>
      </c>
      <c r="J555">
        <v>25</v>
      </c>
      <c r="K555" s="19">
        <f t="shared" si="78"/>
        <v>14.444444444444443</v>
      </c>
      <c r="L555" s="11">
        <f t="shared" si="79"/>
        <v>0.9</v>
      </c>
      <c r="M555" s="11">
        <f t="shared" si="80"/>
        <v>3.3333333333333335</v>
      </c>
      <c r="N555" s="34"/>
    </row>
    <row r="556" spans="2:14" s="32" customFormat="1" x14ac:dyDescent="0.25">
      <c r="B556">
        <v>15</v>
      </c>
      <c r="C556" s="32" t="s">
        <v>68</v>
      </c>
      <c r="D556" s="35">
        <v>30</v>
      </c>
      <c r="E556" s="35">
        <v>3</v>
      </c>
      <c r="F556" s="35">
        <v>1</v>
      </c>
      <c r="G556" s="35">
        <v>26</v>
      </c>
      <c r="H556" s="35">
        <v>24</v>
      </c>
      <c r="I556" s="35">
        <v>97</v>
      </c>
      <c r="J556">
        <v>5</v>
      </c>
      <c r="K556" s="19">
        <f t="shared" si="78"/>
        <v>11.111111111111111</v>
      </c>
      <c r="L556" s="11">
        <f t="shared" si="79"/>
        <v>0.8</v>
      </c>
      <c r="M556" s="11">
        <f t="shared" si="80"/>
        <v>3.2333333333333334</v>
      </c>
      <c r="N556" s="34"/>
    </row>
    <row r="557" spans="2:14" s="32" customFormat="1" x14ac:dyDescent="0.25">
      <c r="B557">
        <v>16</v>
      </c>
      <c r="C557" s="32" t="s">
        <v>148</v>
      </c>
      <c r="D557" s="35">
        <v>30</v>
      </c>
      <c r="E557" s="35">
        <v>0</v>
      </c>
      <c r="F557" s="35">
        <v>0</v>
      </c>
      <c r="G557" s="35">
        <v>30</v>
      </c>
      <c r="H557" s="35">
        <v>5</v>
      </c>
      <c r="I557" s="35">
        <v>189</v>
      </c>
      <c r="J557">
        <v>0</v>
      </c>
      <c r="K557" s="19">
        <f t="shared" si="78"/>
        <v>0</v>
      </c>
      <c r="L557" s="11">
        <f t="shared" si="79"/>
        <v>0.16666666666666666</v>
      </c>
      <c r="M557" s="11">
        <f t="shared" si="80"/>
        <v>6.3</v>
      </c>
      <c r="N557" s="34"/>
    </row>
    <row r="558" spans="2:14" s="32" customFormat="1" x14ac:dyDescent="0.25">
      <c r="J558" s="33"/>
      <c r="N558" s="34"/>
    </row>
    <row r="559" spans="2:14" s="32" customFormat="1" x14ac:dyDescent="0.25">
      <c r="B559" s="50" t="s">
        <v>152</v>
      </c>
      <c r="C559" s="50"/>
      <c r="D559" s="50"/>
      <c r="E559" s="50"/>
      <c r="F559" s="50"/>
      <c r="G559" s="50"/>
      <c r="H559" s="50"/>
      <c r="I559" s="50"/>
      <c r="J559" s="50"/>
      <c r="N559" s="34"/>
    </row>
    <row r="560" spans="2:14" s="32" customFormat="1" x14ac:dyDescent="0.25">
      <c r="B560">
        <v>1</v>
      </c>
      <c r="C560" s="32" t="s">
        <v>64</v>
      </c>
      <c r="D560" s="35">
        <v>30</v>
      </c>
      <c r="E560" s="35">
        <v>23</v>
      </c>
      <c r="F560" s="35">
        <v>3</v>
      </c>
      <c r="G560" s="35">
        <v>4</v>
      </c>
      <c r="H560" s="35">
        <v>84</v>
      </c>
      <c r="I560" s="35">
        <v>15</v>
      </c>
      <c r="J560" s="35">
        <f t="shared" ref="J560:J575" si="81">E560*3+F560</f>
        <v>72</v>
      </c>
      <c r="N560" s="34"/>
    </row>
    <row r="561" spans="2:10" x14ac:dyDescent="0.25">
      <c r="B561">
        <v>2</v>
      </c>
      <c r="C561" s="32" t="s">
        <v>112</v>
      </c>
      <c r="D561" s="35">
        <v>30</v>
      </c>
      <c r="E561" s="35">
        <v>19</v>
      </c>
      <c r="F561" s="35">
        <v>4</v>
      </c>
      <c r="G561" s="35">
        <v>7</v>
      </c>
      <c r="H561" s="35">
        <v>66</v>
      </c>
      <c r="I561" s="35">
        <v>25</v>
      </c>
      <c r="J561" s="35">
        <f t="shared" si="81"/>
        <v>61</v>
      </c>
    </row>
    <row r="562" spans="2:10" x14ac:dyDescent="0.25">
      <c r="B562">
        <v>3</v>
      </c>
      <c r="C562" s="32" t="s">
        <v>32</v>
      </c>
      <c r="D562" s="35">
        <v>30</v>
      </c>
      <c r="E562" s="35">
        <v>18</v>
      </c>
      <c r="F562" s="35">
        <v>5</v>
      </c>
      <c r="G562" s="35">
        <v>7</v>
      </c>
      <c r="H562" s="35">
        <v>64</v>
      </c>
      <c r="I562" s="35">
        <v>35</v>
      </c>
      <c r="J562" s="35">
        <f t="shared" si="81"/>
        <v>59</v>
      </c>
    </row>
    <row r="563" spans="2:10" x14ac:dyDescent="0.25">
      <c r="B563">
        <v>4</v>
      </c>
      <c r="C563" s="32" t="s">
        <v>58</v>
      </c>
      <c r="D563" s="35">
        <v>30</v>
      </c>
      <c r="E563" s="35">
        <v>17</v>
      </c>
      <c r="F563" s="35">
        <v>5</v>
      </c>
      <c r="G563" s="35">
        <v>8</v>
      </c>
      <c r="H563" s="35">
        <v>52</v>
      </c>
      <c r="I563" s="35">
        <v>33</v>
      </c>
      <c r="J563" s="35">
        <f t="shared" si="81"/>
        <v>56</v>
      </c>
    </row>
    <row r="564" spans="2:10" x14ac:dyDescent="0.25">
      <c r="B564">
        <v>5</v>
      </c>
      <c r="C564" s="32" t="s">
        <v>33</v>
      </c>
      <c r="D564" s="35">
        <v>30</v>
      </c>
      <c r="E564" s="35">
        <v>16</v>
      </c>
      <c r="F564" s="35">
        <v>6</v>
      </c>
      <c r="G564" s="35">
        <v>8</v>
      </c>
      <c r="H564" s="35">
        <v>77</v>
      </c>
      <c r="I564" s="35">
        <v>41</v>
      </c>
      <c r="J564" s="35">
        <f t="shared" si="81"/>
        <v>54</v>
      </c>
    </row>
    <row r="565" spans="2:10" x14ac:dyDescent="0.25">
      <c r="B565">
        <v>6</v>
      </c>
      <c r="C565" s="32" t="s">
        <v>43</v>
      </c>
      <c r="D565" s="35">
        <v>30</v>
      </c>
      <c r="E565" s="35">
        <v>15</v>
      </c>
      <c r="F565" s="35">
        <v>7</v>
      </c>
      <c r="G565" s="35">
        <v>8</v>
      </c>
      <c r="H565" s="35">
        <v>70</v>
      </c>
      <c r="I565" s="35">
        <v>35</v>
      </c>
      <c r="J565" s="35">
        <f t="shared" si="81"/>
        <v>52</v>
      </c>
    </row>
    <row r="566" spans="2:10" x14ac:dyDescent="0.25">
      <c r="B566">
        <v>7</v>
      </c>
      <c r="C566" s="32" t="s">
        <v>92</v>
      </c>
      <c r="D566" s="35">
        <v>30</v>
      </c>
      <c r="E566" s="35">
        <v>16</v>
      </c>
      <c r="F566" s="35">
        <v>2</v>
      </c>
      <c r="G566" s="35">
        <v>12</v>
      </c>
      <c r="H566" s="35">
        <v>66</v>
      </c>
      <c r="I566" s="35">
        <v>38</v>
      </c>
      <c r="J566" s="35">
        <f t="shared" si="81"/>
        <v>50</v>
      </c>
    </row>
    <row r="567" spans="2:10" x14ac:dyDescent="0.25">
      <c r="B567">
        <v>8</v>
      </c>
      <c r="C567" s="32" t="s">
        <v>71</v>
      </c>
      <c r="D567" s="35">
        <v>30</v>
      </c>
      <c r="E567" s="35">
        <v>16</v>
      </c>
      <c r="F567" s="35">
        <v>2</v>
      </c>
      <c r="G567" s="35">
        <v>12</v>
      </c>
      <c r="H567" s="35">
        <v>74</v>
      </c>
      <c r="I567" s="35">
        <v>48</v>
      </c>
      <c r="J567" s="35">
        <f t="shared" si="81"/>
        <v>50</v>
      </c>
    </row>
    <row r="568" spans="2:10" x14ac:dyDescent="0.25">
      <c r="B568">
        <v>9</v>
      </c>
      <c r="C568" s="32" t="s">
        <v>128</v>
      </c>
      <c r="D568" s="35">
        <v>30</v>
      </c>
      <c r="E568" s="35">
        <v>14</v>
      </c>
      <c r="F568" s="35">
        <v>6</v>
      </c>
      <c r="G568" s="35">
        <v>10</v>
      </c>
      <c r="H568" s="35">
        <v>45</v>
      </c>
      <c r="I568" s="35">
        <v>37</v>
      </c>
      <c r="J568" s="35">
        <f t="shared" si="81"/>
        <v>48</v>
      </c>
    </row>
    <row r="569" spans="2:10" x14ac:dyDescent="0.25">
      <c r="B569">
        <v>10</v>
      </c>
      <c r="C569" s="32" t="s">
        <v>131</v>
      </c>
      <c r="D569" s="35">
        <v>30</v>
      </c>
      <c r="E569" s="35">
        <v>14</v>
      </c>
      <c r="F569" s="35">
        <v>5</v>
      </c>
      <c r="G569" s="35">
        <v>11</v>
      </c>
      <c r="H569" s="35">
        <v>61</v>
      </c>
      <c r="I569" s="35">
        <v>42</v>
      </c>
      <c r="J569" s="35">
        <f t="shared" si="81"/>
        <v>47</v>
      </c>
    </row>
    <row r="570" spans="2:10" x14ac:dyDescent="0.25">
      <c r="B570">
        <v>11</v>
      </c>
      <c r="C570" s="32" t="s">
        <v>115</v>
      </c>
      <c r="D570" s="35">
        <v>30</v>
      </c>
      <c r="E570" s="35">
        <v>12</v>
      </c>
      <c r="F570" s="35">
        <v>5</v>
      </c>
      <c r="G570" s="35">
        <v>13</v>
      </c>
      <c r="H570" s="35">
        <v>47</v>
      </c>
      <c r="I570" s="35">
        <v>45</v>
      </c>
      <c r="J570" s="35">
        <f t="shared" si="81"/>
        <v>41</v>
      </c>
    </row>
    <row r="571" spans="2:10" x14ac:dyDescent="0.25">
      <c r="B571">
        <v>12</v>
      </c>
      <c r="C571" s="32" t="s">
        <v>76</v>
      </c>
      <c r="D571" s="35">
        <v>30</v>
      </c>
      <c r="E571" s="35">
        <v>10</v>
      </c>
      <c r="F571" s="35">
        <v>4</v>
      </c>
      <c r="G571" s="35">
        <v>16</v>
      </c>
      <c r="H571" s="35">
        <v>54</v>
      </c>
      <c r="I571" s="35">
        <v>55</v>
      </c>
      <c r="J571" s="35">
        <f t="shared" si="81"/>
        <v>34</v>
      </c>
    </row>
    <row r="572" spans="2:10" x14ac:dyDescent="0.25">
      <c r="B572">
        <v>13</v>
      </c>
      <c r="C572" s="32" t="s">
        <v>130</v>
      </c>
      <c r="D572" s="35">
        <v>30</v>
      </c>
      <c r="E572" s="35">
        <v>8</v>
      </c>
      <c r="F572" s="35">
        <v>5</v>
      </c>
      <c r="G572" s="35">
        <v>17</v>
      </c>
      <c r="H572" s="35">
        <v>50</v>
      </c>
      <c r="I572" s="35">
        <v>77</v>
      </c>
      <c r="J572" s="35">
        <f t="shared" si="81"/>
        <v>29</v>
      </c>
    </row>
    <row r="573" spans="2:10" x14ac:dyDescent="0.25">
      <c r="B573">
        <v>14</v>
      </c>
      <c r="C573" s="32" t="s">
        <v>147</v>
      </c>
      <c r="D573" s="35">
        <v>30</v>
      </c>
      <c r="E573" s="35">
        <v>4</v>
      </c>
      <c r="F573" s="35">
        <v>5</v>
      </c>
      <c r="G573" s="35">
        <v>21</v>
      </c>
      <c r="H573" s="35">
        <v>34</v>
      </c>
      <c r="I573" s="35">
        <v>68</v>
      </c>
      <c r="J573" s="35">
        <f t="shared" si="81"/>
        <v>17</v>
      </c>
    </row>
    <row r="574" spans="2:10" x14ac:dyDescent="0.25">
      <c r="B574">
        <v>15</v>
      </c>
      <c r="C574" s="32" t="s">
        <v>150</v>
      </c>
      <c r="D574" s="35">
        <v>30</v>
      </c>
      <c r="E574" s="35">
        <v>4</v>
      </c>
      <c r="F574" s="35">
        <v>4</v>
      </c>
      <c r="G574" s="35">
        <v>22</v>
      </c>
      <c r="H574" s="35">
        <v>28</v>
      </c>
      <c r="I574" s="35">
        <v>121</v>
      </c>
      <c r="J574" s="35">
        <f t="shared" si="81"/>
        <v>16</v>
      </c>
    </row>
    <row r="575" spans="2:10" x14ac:dyDescent="0.25">
      <c r="B575">
        <v>16</v>
      </c>
      <c r="C575" s="32" t="s">
        <v>151</v>
      </c>
      <c r="D575" s="35">
        <v>30</v>
      </c>
      <c r="E575" s="35">
        <v>0</v>
      </c>
      <c r="F575" s="35">
        <v>0</v>
      </c>
      <c r="G575" s="35">
        <v>30</v>
      </c>
      <c r="H575" s="35">
        <v>6</v>
      </c>
      <c r="I575" s="35">
        <v>163</v>
      </c>
      <c r="J575" s="35">
        <f t="shared" si="81"/>
        <v>0</v>
      </c>
    </row>
    <row r="577" spans="2:10" x14ac:dyDescent="0.25">
      <c r="B577" s="50" t="s">
        <v>155</v>
      </c>
      <c r="C577" s="50"/>
      <c r="D577" s="50"/>
      <c r="E577" s="50"/>
      <c r="F577" s="50"/>
      <c r="G577" s="50"/>
      <c r="H577" s="50"/>
      <c r="I577" s="50"/>
      <c r="J577" s="50"/>
    </row>
    <row r="578" spans="2:10" x14ac:dyDescent="0.25">
      <c r="B578">
        <v>1</v>
      </c>
      <c r="C578" s="32" t="s">
        <v>128</v>
      </c>
      <c r="D578" s="35">
        <v>30</v>
      </c>
      <c r="E578" s="35">
        <v>24</v>
      </c>
      <c r="F578" s="35">
        <v>4</v>
      </c>
      <c r="G578" s="35">
        <v>2</v>
      </c>
      <c r="H578" s="35">
        <v>92</v>
      </c>
      <c r="I578" s="35">
        <v>27</v>
      </c>
      <c r="J578" s="35">
        <v>76</v>
      </c>
    </row>
    <row r="579" spans="2:10" x14ac:dyDescent="0.25">
      <c r="B579">
        <v>2</v>
      </c>
      <c r="C579" s="32" t="s">
        <v>64</v>
      </c>
      <c r="D579" s="35">
        <v>30</v>
      </c>
      <c r="E579" s="35">
        <v>22</v>
      </c>
      <c r="F579" s="35">
        <v>3</v>
      </c>
      <c r="G579" s="35">
        <v>5</v>
      </c>
      <c r="H579" s="35">
        <v>90</v>
      </c>
      <c r="I579" s="35">
        <v>21</v>
      </c>
      <c r="J579" s="35">
        <v>69</v>
      </c>
    </row>
    <row r="580" spans="2:10" x14ac:dyDescent="0.25">
      <c r="B580">
        <v>3</v>
      </c>
      <c r="C580" s="32" t="s">
        <v>32</v>
      </c>
      <c r="D580" s="35">
        <v>30</v>
      </c>
      <c r="E580" s="35">
        <v>21</v>
      </c>
      <c r="F580" s="35">
        <v>6</v>
      </c>
      <c r="G580" s="35">
        <v>3</v>
      </c>
      <c r="H580" s="35">
        <v>73</v>
      </c>
      <c r="I580" s="35">
        <v>16</v>
      </c>
      <c r="J580" s="35">
        <v>69</v>
      </c>
    </row>
    <row r="581" spans="2:10" x14ac:dyDescent="0.25">
      <c r="B581">
        <v>4</v>
      </c>
      <c r="C581" s="32" t="s">
        <v>131</v>
      </c>
      <c r="D581" s="35">
        <v>30</v>
      </c>
      <c r="E581" s="35">
        <v>20</v>
      </c>
      <c r="F581" s="35">
        <v>2</v>
      </c>
      <c r="G581" s="35">
        <v>8</v>
      </c>
      <c r="H581" s="35">
        <v>69</v>
      </c>
      <c r="I581" s="35">
        <v>35</v>
      </c>
      <c r="J581" s="35">
        <v>62</v>
      </c>
    </row>
    <row r="582" spans="2:10" x14ac:dyDescent="0.25">
      <c r="B582">
        <v>5</v>
      </c>
      <c r="C582" s="32" t="s">
        <v>33</v>
      </c>
      <c r="D582" s="35">
        <v>30</v>
      </c>
      <c r="E582" s="35">
        <v>18</v>
      </c>
      <c r="F582" s="35">
        <v>1</v>
      </c>
      <c r="G582" s="35">
        <v>11</v>
      </c>
      <c r="H582" s="35">
        <v>86</v>
      </c>
      <c r="I582" s="35">
        <v>45</v>
      </c>
      <c r="J582" s="35">
        <v>55</v>
      </c>
    </row>
    <row r="583" spans="2:10" x14ac:dyDescent="0.25">
      <c r="B583">
        <v>6</v>
      </c>
      <c r="C583" s="32" t="s">
        <v>58</v>
      </c>
      <c r="D583" s="35">
        <v>30</v>
      </c>
      <c r="E583" s="35">
        <v>15</v>
      </c>
      <c r="F583" s="35">
        <v>7</v>
      </c>
      <c r="G583" s="35">
        <v>8</v>
      </c>
      <c r="H583" s="35">
        <v>56</v>
      </c>
      <c r="I583" s="35">
        <v>31</v>
      </c>
      <c r="J583" s="35">
        <v>52</v>
      </c>
    </row>
    <row r="584" spans="2:10" x14ac:dyDescent="0.25">
      <c r="B584">
        <v>7</v>
      </c>
      <c r="C584" s="32" t="s">
        <v>71</v>
      </c>
      <c r="D584" s="35">
        <v>30</v>
      </c>
      <c r="E584" s="35">
        <v>14</v>
      </c>
      <c r="F584" s="35">
        <v>5</v>
      </c>
      <c r="G584" s="35">
        <v>11</v>
      </c>
      <c r="H584" s="35">
        <v>63</v>
      </c>
      <c r="I584" s="35">
        <v>45</v>
      </c>
      <c r="J584" s="35">
        <v>47</v>
      </c>
    </row>
    <row r="585" spans="2:10" x14ac:dyDescent="0.25">
      <c r="B585">
        <v>8</v>
      </c>
      <c r="C585" s="32" t="s">
        <v>112</v>
      </c>
      <c r="D585" s="35">
        <v>30</v>
      </c>
      <c r="E585" s="35">
        <v>14</v>
      </c>
      <c r="F585" s="35">
        <v>5</v>
      </c>
      <c r="G585" s="35">
        <v>11</v>
      </c>
      <c r="H585" s="35">
        <v>54</v>
      </c>
      <c r="I585" s="35">
        <v>36</v>
      </c>
      <c r="J585" s="35">
        <v>47</v>
      </c>
    </row>
    <row r="586" spans="2:10" x14ac:dyDescent="0.25">
      <c r="B586">
        <v>9</v>
      </c>
      <c r="C586" s="32" t="s">
        <v>43</v>
      </c>
      <c r="D586" s="35">
        <v>30</v>
      </c>
      <c r="E586" s="35">
        <v>13</v>
      </c>
      <c r="F586" s="35">
        <v>6</v>
      </c>
      <c r="G586" s="35">
        <v>11</v>
      </c>
      <c r="H586" s="35">
        <v>52</v>
      </c>
      <c r="I586" s="35">
        <v>37</v>
      </c>
      <c r="J586" s="35">
        <v>45</v>
      </c>
    </row>
    <row r="587" spans="2:10" x14ac:dyDescent="0.25">
      <c r="B587">
        <v>10</v>
      </c>
      <c r="C587" s="32" t="s">
        <v>130</v>
      </c>
      <c r="D587" s="35">
        <v>30</v>
      </c>
      <c r="E587" s="35">
        <v>12</v>
      </c>
      <c r="F587" s="35">
        <v>3</v>
      </c>
      <c r="G587" s="35">
        <v>15</v>
      </c>
      <c r="H587" s="35">
        <v>45</v>
      </c>
      <c r="I587" s="35">
        <v>47</v>
      </c>
      <c r="J587" s="35">
        <v>39</v>
      </c>
    </row>
    <row r="588" spans="2:10" x14ac:dyDescent="0.25">
      <c r="B588">
        <v>11</v>
      </c>
      <c r="C588" s="32" t="s">
        <v>115</v>
      </c>
      <c r="D588" s="35">
        <v>30</v>
      </c>
      <c r="E588" s="35">
        <v>9</v>
      </c>
      <c r="F588" s="35">
        <v>6</v>
      </c>
      <c r="G588" s="35">
        <v>15</v>
      </c>
      <c r="H588" s="35">
        <v>35</v>
      </c>
      <c r="I588" s="35">
        <v>40</v>
      </c>
      <c r="J588" s="35">
        <v>33</v>
      </c>
    </row>
    <row r="589" spans="2:10" x14ac:dyDescent="0.25">
      <c r="B589">
        <v>12</v>
      </c>
      <c r="C589" s="32" t="s">
        <v>76</v>
      </c>
      <c r="D589" s="35">
        <v>30</v>
      </c>
      <c r="E589" s="35">
        <v>10</v>
      </c>
      <c r="F589" s="35">
        <v>3</v>
      </c>
      <c r="G589" s="35">
        <v>17</v>
      </c>
      <c r="H589" s="35">
        <v>48</v>
      </c>
      <c r="I589" s="35">
        <v>64</v>
      </c>
      <c r="J589" s="35">
        <v>33</v>
      </c>
    </row>
    <row r="590" spans="2:10" x14ac:dyDescent="0.25">
      <c r="B590">
        <v>13</v>
      </c>
      <c r="C590" s="32" t="s">
        <v>146</v>
      </c>
      <c r="D590" s="35">
        <v>30</v>
      </c>
      <c r="E590" s="35">
        <v>9</v>
      </c>
      <c r="F590" s="35">
        <v>6</v>
      </c>
      <c r="G590" s="35">
        <v>15</v>
      </c>
      <c r="H590" s="35">
        <v>40</v>
      </c>
      <c r="I590" s="35">
        <v>62</v>
      </c>
      <c r="J590" s="35">
        <v>33</v>
      </c>
    </row>
    <row r="591" spans="2:10" x14ac:dyDescent="0.25">
      <c r="B591">
        <v>14</v>
      </c>
      <c r="C591" s="32" t="s">
        <v>147</v>
      </c>
      <c r="D591" s="35">
        <v>30</v>
      </c>
      <c r="E591" s="35">
        <v>3</v>
      </c>
      <c r="F591" s="35">
        <v>5</v>
      </c>
      <c r="G591" s="35">
        <v>22</v>
      </c>
      <c r="H591" s="35">
        <v>23</v>
      </c>
      <c r="I591" s="35">
        <v>64</v>
      </c>
      <c r="J591" s="35">
        <v>14</v>
      </c>
    </row>
    <row r="592" spans="2:10" x14ac:dyDescent="0.25">
      <c r="B592">
        <v>15</v>
      </c>
      <c r="C592" s="32" t="s">
        <v>153</v>
      </c>
      <c r="D592" s="35">
        <v>30</v>
      </c>
      <c r="E592" s="35">
        <v>3</v>
      </c>
      <c r="F592" s="35">
        <v>4</v>
      </c>
      <c r="G592" s="35">
        <v>23</v>
      </c>
      <c r="H592" s="35">
        <v>21</v>
      </c>
      <c r="I592" s="35">
        <v>89</v>
      </c>
      <c r="J592" s="35">
        <v>13</v>
      </c>
    </row>
    <row r="593" spans="2:10" x14ac:dyDescent="0.25">
      <c r="B593">
        <v>16</v>
      </c>
      <c r="C593" s="32" t="s">
        <v>154</v>
      </c>
      <c r="D593" s="35">
        <v>30</v>
      </c>
      <c r="E593" s="35">
        <v>0</v>
      </c>
      <c r="F593" s="35">
        <v>0</v>
      </c>
      <c r="G593" s="35">
        <v>30</v>
      </c>
      <c r="H593" s="35">
        <v>6</v>
      </c>
      <c r="I593" s="35">
        <v>193</v>
      </c>
      <c r="J593" s="35">
        <v>0</v>
      </c>
    </row>
    <row r="595" spans="2:10" x14ac:dyDescent="0.25">
      <c r="B595" s="50" t="s">
        <v>157</v>
      </c>
      <c r="C595" s="50"/>
      <c r="D595" s="50"/>
      <c r="E595" s="50"/>
      <c r="F595" s="50"/>
      <c r="G595" s="50"/>
      <c r="H595" s="50"/>
      <c r="I595" s="50"/>
      <c r="J595" s="50"/>
    </row>
    <row r="596" spans="2:10" x14ac:dyDescent="0.25">
      <c r="B596">
        <v>1</v>
      </c>
      <c r="C596" s="32" t="s">
        <v>64</v>
      </c>
      <c r="D596" s="35">
        <v>30</v>
      </c>
      <c r="E596" s="35">
        <v>26</v>
      </c>
      <c r="F596" s="35">
        <v>2</v>
      </c>
      <c r="G596" s="35">
        <v>2</v>
      </c>
      <c r="H596" s="35">
        <v>122</v>
      </c>
      <c r="I596" s="35">
        <v>23</v>
      </c>
      <c r="J596" s="35">
        <v>80</v>
      </c>
    </row>
    <row r="597" spans="2:10" x14ac:dyDescent="0.25">
      <c r="B597">
        <v>2</v>
      </c>
      <c r="C597" s="32" t="s">
        <v>128</v>
      </c>
      <c r="D597" s="35">
        <v>30</v>
      </c>
      <c r="E597" s="35">
        <v>23</v>
      </c>
      <c r="F597" s="35">
        <v>4</v>
      </c>
      <c r="G597" s="35">
        <v>3</v>
      </c>
      <c r="H597" s="35">
        <v>100</v>
      </c>
      <c r="I597" s="35">
        <v>24</v>
      </c>
      <c r="J597" s="35">
        <v>73</v>
      </c>
    </row>
    <row r="598" spans="2:10" x14ac:dyDescent="0.25">
      <c r="B598">
        <v>3</v>
      </c>
      <c r="C598" s="32" t="s">
        <v>32</v>
      </c>
      <c r="D598" s="35">
        <v>30</v>
      </c>
      <c r="E598" s="35">
        <v>22</v>
      </c>
      <c r="F598" s="35">
        <v>4</v>
      </c>
      <c r="G598" s="35">
        <v>4</v>
      </c>
      <c r="H598" s="35">
        <v>80</v>
      </c>
      <c r="I598" s="35">
        <v>20</v>
      </c>
      <c r="J598" s="35">
        <v>70</v>
      </c>
    </row>
    <row r="599" spans="2:10" x14ac:dyDescent="0.25">
      <c r="B599">
        <v>4</v>
      </c>
      <c r="C599" s="32" t="s">
        <v>131</v>
      </c>
      <c r="D599" s="35">
        <v>30</v>
      </c>
      <c r="E599" s="35">
        <v>19</v>
      </c>
      <c r="F599" s="35">
        <v>5</v>
      </c>
      <c r="G599" s="35">
        <v>6</v>
      </c>
      <c r="H599" s="35">
        <v>78</v>
      </c>
      <c r="I599" s="35">
        <v>27</v>
      </c>
      <c r="J599" s="35">
        <v>62</v>
      </c>
    </row>
    <row r="600" spans="2:10" x14ac:dyDescent="0.25">
      <c r="B600">
        <v>5</v>
      </c>
      <c r="C600" s="32" t="s">
        <v>33</v>
      </c>
      <c r="D600" s="35">
        <v>30</v>
      </c>
      <c r="E600" s="35">
        <v>19</v>
      </c>
      <c r="F600" s="35">
        <v>4</v>
      </c>
      <c r="G600" s="35">
        <v>7</v>
      </c>
      <c r="H600" s="35">
        <v>81</v>
      </c>
      <c r="I600" s="35">
        <v>30</v>
      </c>
      <c r="J600" s="35">
        <v>61</v>
      </c>
    </row>
    <row r="601" spans="2:10" x14ac:dyDescent="0.25">
      <c r="B601">
        <v>6</v>
      </c>
      <c r="C601" s="32" t="s">
        <v>71</v>
      </c>
      <c r="D601" s="35">
        <v>30</v>
      </c>
      <c r="E601" s="35">
        <v>17</v>
      </c>
      <c r="F601" s="35">
        <v>2</v>
      </c>
      <c r="G601" s="35">
        <v>11</v>
      </c>
      <c r="H601" s="35">
        <v>69</v>
      </c>
      <c r="I601" s="35">
        <v>40</v>
      </c>
      <c r="J601" s="35">
        <v>53</v>
      </c>
    </row>
    <row r="602" spans="2:10" x14ac:dyDescent="0.25">
      <c r="B602">
        <v>7</v>
      </c>
      <c r="C602" s="32" t="s">
        <v>58</v>
      </c>
      <c r="D602" s="35">
        <v>30</v>
      </c>
      <c r="E602" s="35">
        <v>12</v>
      </c>
      <c r="F602" s="35">
        <v>7</v>
      </c>
      <c r="G602" s="35">
        <v>11</v>
      </c>
      <c r="H602" s="35">
        <v>52</v>
      </c>
      <c r="I602" s="35">
        <v>46</v>
      </c>
      <c r="J602" s="35">
        <v>43</v>
      </c>
    </row>
    <row r="603" spans="2:10" x14ac:dyDescent="0.25">
      <c r="B603">
        <v>8</v>
      </c>
      <c r="C603" s="32" t="s">
        <v>130</v>
      </c>
      <c r="D603" s="35">
        <v>30</v>
      </c>
      <c r="E603" s="35">
        <v>12</v>
      </c>
      <c r="F603" s="35">
        <v>6</v>
      </c>
      <c r="G603" s="35">
        <v>12</v>
      </c>
      <c r="H603" s="35">
        <v>65</v>
      </c>
      <c r="I603" s="35">
        <v>45</v>
      </c>
      <c r="J603" s="35">
        <v>42</v>
      </c>
    </row>
    <row r="604" spans="2:10" x14ac:dyDescent="0.25">
      <c r="B604">
        <v>9</v>
      </c>
      <c r="C604" s="32" t="s">
        <v>146</v>
      </c>
      <c r="D604" s="35">
        <v>30</v>
      </c>
      <c r="E604" s="35">
        <v>12</v>
      </c>
      <c r="F604" s="35">
        <v>5</v>
      </c>
      <c r="G604" s="35">
        <v>13</v>
      </c>
      <c r="H604" s="35">
        <v>44</v>
      </c>
      <c r="I604" s="35">
        <v>50</v>
      </c>
      <c r="J604" s="35">
        <v>41</v>
      </c>
    </row>
    <row r="605" spans="2:10" x14ac:dyDescent="0.25">
      <c r="B605">
        <v>10</v>
      </c>
      <c r="C605" s="32" t="s">
        <v>43</v>
      </c>
      <c r="D605" s="35">
        <v>30</v>
      </c>
      <c r="E605" s="35">
        <v>11</v>
      </c>
      <c r="F605" s="35">
        <v>5</v>
      </c>
      <c r="G605" s="35">
        <v>14</v>
      </c>
      <c r="H605" s="35">
        <v>46</v>
      </c>
      <c r="I605" s="35">
        <v>46</v>
      </c>
      <c r="J605" s="35">
        <v>38</v>
      </c>
    </row>
    <row r="606" spans="2:10" x14ac:dyDescent="0.25">
      <c r="B606">
        <v>11</v>
      </c>
      <c r="C606" s="32" t="s">
        <v>115</v>
      </c>
      <c r="D606" s="35">
        <v>30</v>
      </c>
      <c r="E606" s="35">
        <v>11</v>
      </c>
      <c r="F606" s="35">
        <v>2</v>
      </c>
      <c r="G606" s="35">
        <v>17</v>
      </c>
      <c r="H606" s="35">
        <v>40</v>
      </c>
      <c r="I606" s="35">
        <v>70</v>
      </c>
      <c r="J606" s="35">
        <v>35</v>
      </c>
    </row>
    <row r="607" spans="2:10" x14ac:dyDescent="0.25">
      <c r="B607">
        <v>12</v>
      </c>
      <c r="C607" s="32" t="s">
        <v>147</v>
      </c>
      <c r="D607" s="35">
        <v>30</v>
      </c>
      <c r="E607" s="35">
        <v>7</v>
      </c>
      <c r="F607" s="35">
        <v>3</v>
      </c>
      <c r="G607" s="35">
        <v>20</v>
      </c>
      <c r="H607" s="35">
        <v>34</v>
      </c>
      <c r="I607" s="35">
        <v>64</v>
      </c>
      <c r="J607" s="35">
        <v>24</v>
      </c>
    </row>
    <row r="608" spans="2:10" x14ac:dyDescent="0.25">
      <c r="B608">
        <v>13</v>
      </c>
      <c r="C608" s="32" t="s">
        <v>156</v>
      </c>
      <c r="D608" s="35">
        <v>30</v>
      </c>
      <c r="E608" s="35">
        <v>3</v>
      </c>
      <c r="F608" s="35">
        <v>3</v>
      </c>
      <c r="G608" s="35">
        <v>24</v>
      </c>
      <c r="H608" s="35">
        <v>19</v>
      </c>
      <c r="I608" s="35">
        <v>87</v>
      </c>
      <c r="J608" s="35">
        <v>12</v>
      </c>
    </row>
    <row r="609" spans="2:10" x14ac:dyDescent="0.25">
      <c r="B609">
        <v>14</v>
      </c>
      <c r="C609" s="32" t="s">
        <v>150</v>
      </c>
      <c r="D609" s="35">
        <v>30</v>
      </c>
      <c r="E609" s="35">
        <v>3</v>
      </c>
      <c r="F609" s="35">
        <v>2</v>
      </c>
      <c r="G609" s="35">
        <v>25</v>
      </c>
      <c r="H609" s="35">
        <v>19</v>
      </c>
      <c r="I609" s="35">
        <v>134</v>
      </c>
      <c r="J609" s="35">
        <v>11</v>
      </c>
    </row>
    <row r="610" spans="2:10" x14ac:dyDescent="0.25">
      <c r="B610">
        <v>15</v>
      </c>
      <c r="C610" s="36" t="s">
        <v>34</v>
      </c>
      <c r="D610" s="35">
        <v>24</v>
      </c>
      <c r="E610" s="35">
        <v>0</v>
      </c>
      <c r="F610" s="35">
        <v>1</v>
      </c>
      <c r="G610" s="35">
        <v>23</v>
      </c>
      <c r="H610" s="35">
        <v>4</v>
      </c>
      <c r="I610" s="35">
        <v>133</v>
      </c>
      <c r="J610" s="35">
        <v>1</v>
      </c>
    </row>
    <row r="611" spans="2:10" x14ac:dyDescent="0.25">
      <c r="B611">
        <v>16</v>
      </c>
      <c r="C611" s="36" t="s">
        <v>34</v>
      </c>
      <c r="D611" s="35">
        <v>0</v>
      </c>
      <c r="E611" s="35">
        <v>0</v>
      </c>
      <c r="F611" s="35">
        <v>0</v>
      </c>
      <c r="G611" s="35">
        <v>0</v>
      </c>
      <c r="H611" s="35">
        <v>4</v>
      </c>
      <c r="I611" s="35">
        <v>133</v>
      </c>
      <c r="J611" s="35">
        <v>0</v>
      </c>
    </row>
    <row r="613" spans="2:10" x14ac:dyDescent="0.25">
      <c r="B613" s="50" t="s">
        <v>159</v>
      </c>
      <c r="C613" s="50"/>
      <c r="D613" s="50"/>
      <c r="E613" s="50"/>
      <c r="F613" s="50"/>
      <c r="G613" s="50"/>
      <c r="H613" s="50"/>
      <c r="I613" s="50"/>
      <c r="J613" s="50"/>
    </row>
    <row r="614" spans="2:10" x14ac:dyDescent="0.25">
      <c r="B614">
        <v>1</v>
      </c>
      <c r="C614" s="32" t="s">
        <v>64</v>
      </c>
      <c r="D614" s="35">
        <v>30</v>
      </c>
      <c r="E614" s="35">
        <v>28</v>
      </c>
      <c r="F614" s="35">
        <v>1</v>
      </c>
      <c r="G614" s="35">
        <v>1</v>
      </c>
      <c r="H614" s="35">
        <v>122</v>
      </c>
      <c r="I614" s="35">
        <v>20</v>
      </c>
      <c r="J614" s="35">
        <v>85</v>
      </c>
    </row>
    <row r="615" spans="2:10" x14ac:dyDescent="0.25">
      <c r="B615">
        <v>2</v>
      </c>
      <c r="C615" s="32" t="s">
        <v>128</v>
      </c>
      <c r="D615" s="35">
        <v>30</v>
      </c>
      <c r="E615" s="35">
        <v>26</v>
      </c>
      <c r="F615" s="35">
        <v>3</v>
      </c>
      <c r="G615" s="35">
        <v>1</v>
      </c>
      <c r="H615" s="35">
        <v>118</v>
      </c>
      <c r="I615" s="35">
        <v>17</v>
      </c>
      <c r="J615" s="35">
        <v>81</v>
      </c>
    </row>
    <row r="616" spans="2:10" x14ac:dyDescent="0.25">
      <c r="B616">
        <v>3</v>
      </c>
      <c r="C616" s="32" t="s">
        <v>32</v>
      </c>
      <c r="D616" s="35">
        <v>30</v>
      </c>
      <c r="E616" s="35">
        <v>21</v>
      </c>
      <c r="F616" s="35">
        <v>4</v>
      </c>
      <c r="G616" s="35">
        <v>5</v>
      </c>
      <c r="H616" s="35">
        <v>88</v>
      </c>
      <c r="I616" s="35">
        <v>29</v>
      </c>
      <c r="J616" s="35">
        <v>67</v>
      </c>
    </row>
    <row r="617" spans="2:10" x14ac:dyDescent="0.25">
      <c r="B617">
        <v>4</v>
      </c>
      <c r="C617" s="32" t="s">
        <v>131</v>
      </c>
      <c r="D617" s="35">
        <v>30</v>
      </c>
      <c r="E617" s="35">
        <v>20</v>
      </c>
      <c r="F617" s="35">
        <v>2</v>
      </c>
      <c r="G617" s="35">
        <v>8</v>
      </c>
      <c r="H617" s="35">
        <v>94</v>
      </c>
      <c r="I617" s="35">
        <v>32</v>
      </c>
      <c r="J617" s="35">
        <v>62</v>
      </c>
    </row>
    <row r="618" spans="2:10" x14ac:dyDescent="0.25">
      <c r="B618">
        <v>5</v>
      </c>
      <c r="C618" s="32" t="s">
        <v>71</v>
      </c>
      <c r="D618" s="35">
        <v>30</v>
      </c>
      <c r="E618" s="35">
        <v>18</v>
      </c>
      <c r="F618" s="35">
        <v>4</v>
      </c>
      <c r="G618" s="35">
        <v>8</v>
      </c>
      <c r="H618" s="35">
        <v>71</v>
      </c>
      <c r="I618" s="35">
        <v>32</v>
      </c>
      <c r="J618" s="35">
        <v>58</v>
      </c>
    </row>
    <row r="619" spans="2:10" x14ac:dyDescent="0.25">
      <c r="B619">
        <v>6</v>
      </c>
      <c r="C619" s="32" t="s">
        <v>58</v>
      </c>
      <c r="D619" s="35">
        <v>30</v>
      </c>
      <c r="E619" s="35">
        <v>18</v>
      </c>
      <c r="F619" s="35">
        <v>4</v>
      </c>
      <c r="G619" s="35">
        <v>8</v>
      </c>
      <c r="H619" s="35">
        <v>66</v>
      </c>
      <c r="I619" s="35">
        <v>28</v>
      </c>
      <c r="J619" s="35">
        <v>58</v>
      </c>
    </row>
    <row r="620" spans="2:10" x14ac:dyDescent="0.25">
      <c r="B620">
        <v>7</v>
      </c>
      <c r="C620" s="32" t="s">
        <v>146</v>
      </c>
      <c r="D620" s="35">
        <v>30</v>
      </c>
      <c r="E620" s="35">
        <v>15</v>
      </c>
      <c r="F620" s="35">
        <v>6</v>
      </c>
      <c r="G620" s="35">
        <v>9</v>
      </c>
      <c r="H620" s="35">
        <v>64</v>
      </c>
      <c r="I620" s="35">
        <v>37</v>
      </c>
      <c r="J620" s="35">
        <v>51</v>
      </c>
    </row>
    <row r="621" spans="2:10" x14ac:dyDescent="0.25">
      <c r="B621">
        <v>8</v>
      </c>
      <c r="C621" s="32" t="s">
        <v>130</v>
      </c>
      <c r="D621" s="35">
        <v>30</v>
      </c>
      <c r="E621" s="35">
        <v>14</v>
      </c>
      <c r="F621" s="35">
        <v>5</v>
      </c>
      <c r="G621" s="35">
        <v>11</v>
      </c>
      <c r="H621" s="35">
        <v>83</v>
      </c>
      <c r="I621" s="35">
        <v>44</v>
      </c>
      <c r="J621" s="35">
        <v>47</v>
      </c>
    </row>
    <row r="622" spans="2:10" x14ac:dyDescent="0.25">
      <c r="B622">
        <v>9</v>
      </c>
      <c r="C622" s="32" t="s">
        <v>156</v>
      </c>
      <c r="D622" s="35">
        <v>30</v>
      </c>
      <c r="E622" s="35">
        <v>12</v>
      </c>
      <c r="F622" s="35">
        <v>6</v>
      </c>
      <c r="G622" s="35">
        <v>12</v>
      </c>
      <c r="H622" s="35">
        <v>60</v>
      </c>
      <c r="I622" s="35">
        <v>65</v>
      </c>
      <c r="J622" s="35">
        <v>42</v>
      </c>
    </row>
    <row r="623" spans="2:10" x14ac:dyDescent="0.25">
      <c r="B623">
        <v>10</v>
      </c>
      <c r="C623" s="32" t="s">
        <v>147</v>
      </c>
      <c r="D623" s="35">
        <v>30</v>
      </c>
      <c r="E623" s="35">
        <v>10</v>
      </c>
      <c r="F623" s="35">
        <v>2</v>
      </c>
      <c r="G623" s="35">
        <v>18</v>
      </c>
      <c r="H623" s="35">
        <v>48</v>
      </c>
      <c r="I623" s="35">
        <v>68</v>
      </c>
      <c r="J623" s="35">
        <v>32</v>
      </c>
    </row>
    <row r="624" spans="2:10" x14ac:dyDescent="0.25">
      <c r="B624">
        <v>11</v>
      </c>
      <c r="C624" s="32" t="s">
        <v>68</v>
      </c>
      <c r="D624" s="35">
        <v>30</v>
      </c>
      <c r="E624" s="35">
        <v>9</v>
      </c>
      <c r="F624" s="35">
        <v>2</v>
      </c>
      <c r="G624" s="35">
        <v>19</v>
      </c>
      <c r="H624" s="35">
        <v>43</v>
      </c>
      <c r="I624" s="35">
        <v>75</v>
      </c>
      <c r="J624" s="35">
        <v>29</v>
      </c>
    </row>
    <row r="625" spans="2:10" x14ac:dyDescent="0.25">
      <c r="B625">
        <v>12</v>
      </c>
      <c r="C625" s="32" t="s">
        <v>150</v>
      </c>
      <c r="D625" s="35">
        <v>30</v>
      </c>
      <c r="E625" s="35">
        <v>6</v>
      </c>
      <c r="F625" s="35">
        <v>1</v>
      </c>
      <c r="G625" s="35">
        <v>23</v>
      </c>
      <c r="H625" s="35">
        <v>30</v>
      </c>
      <c r="I625" s="35">
        <v>99</v>
      </c>
      <c r="J625" s="35">
        <v>19</v>
      </c>
    </row>
    <row r="626" spans="2:10" x14ac:dyDescent="0.25">
      <c r="B626">
        <v>13</v>
      </c>
      <c r="C626" s="32" t="s">
        <v>115</v>
      </c>
      <c r="D626" s="35">
        <v>30</v>
      </c>
      <c r="E626" s="35">
        <v>6</v>
      </c>
      <c r="F626" s="35">
        <v>1</v>
      </c>
      <c r="G626" s="35">
        <v>23</v>
      </c>
      <c r="H626" s="35">
        <v>24</v>
      </c>
      <c r="I626" s="35">
        <v>111</v>
      </c>
      <c r="J626" s="35">
        <v>19</v>
      </c>
    </row>
    <row r="627" spans="2:10" x14ac:dyDescent="0.25">
      <c r="B627">
        <v>14</v>
      </c>
      <c r="C627" s="32" t="s">
        <v>158</v>
      </c>
      <c r="D627" s="35">
        <v>30</v>
      </c>
      <c r="E627" s="35">
        <v>4</v>
      </c>
      <c r="F627" s="35">
        <v>4</v>
      </c>
      <c r="G627" s="35">
        <v>22</v>
      </c>
      <c r="H627" s="35">
        <v>41</v>
      </c>
      <c r="I627" s="35">
        <v>89</v>
      </c>
      <c r="J627" s="35">
        <v>16</v>
      </c>
    </row>
    <row r="628" spans="2:10" x14ac:dyDescent="0.25">
      <c r="B628">
        <v>15</v>
      </c>
      <c r="C628" s="36" t="s">
        <v>160</v>
      </c>
      <c r="D628" s="35">
        <v>4</v>
      </c>
      <c r="E628" s="35">
        <v>0</v>
      </c>
      <c r="F628" s="35">
        <v>0</v>
      </c>
      <c r="G628" s="35">
        <v>4</v>
      </c>
      <c r="H628" s="35">
        <v>2</v>
      </c>
      <c r="I628" s="35">
        <v>13</v>
      </c>
      <c r="J628" s="35">
        <v>0</v>
      </c>
    </row>
    <row r="629" spans="2:10" x14ac:dyDescent="0.25">
      <c r="B629">
        <v>16</v>
      </c>
      <c r="C629" s="36" t="s">
        <v>34</v>
      </c>
      <c r="D629" s="35">
        <v>26</v>
      </c>
      <c r="E629" s="35">
        <v>0</v>
      </c>
      <c r="F629" s="35">
        <v>0</v>
      </c>
      <c r="G629" s="35">
        <v>26</v>
      </c>
      <c r="H629" s="35">
        <v>4</v>
      </c>
      <c r="I629" s="35">
        <v>156</v>
      </c>
      <c r="J629" s="35">
        <v>0</v>
      </c>
    </row>
    <row r="631" spans="2:10" x14ac:dyDescent="0.25">
      <c r="B631" s="50" t="s">
        <v>162</v>
      </c>
      <c r="C631" s="50"/>
      <c r="D631" s="50"/>
      <c r="E631" s="50"/>
      <c r="F631" s="50"/>
      <c r="G631" s="50"/>
      <c r="H631" s="50"/>
      <c r="I631" s="50"/>
      <c r="J631" s="50"/>
    </row>
    <row r="632" spans="2:10" x14ac:dyDescent="0.25">
      <c r="B632">
        <v>1</v>
      </c>
      <c r="C632" s="32" t="s">
        <v>32</v>
      </c>
      <c r="D632" s="35">
        <v>30</v>
      </c>
      <c r="E632" s="35">
        <v>24</v>
      </c>
      <c r="F632" s="35">
        <v>2</v>
      </c>
      <c r="G632" s="35">
        <v>4</v>
      </c>
      <c r="H632" s="35">
        <v>104</v>
      </c>
      <c r="I632" s="35">
        <v>29</v>
      </c>
      <c r="J632" s="35">
        <v>74</v>
      </c>
    </row>
    <row r="633" spans="2:10" x14ac:dyDescent="0.25">
      <c r="B633">
        <v>2</v>
      </c>
      <c r="C633" s="32" t="s">
        <v>128</v>
      </c>
      <c r="D633" s="35">
        <v>30</v>
      </c>
      <c r="E633" s="35">
        <v>23</v>
      </c>
      <c r="F633" s="35">
        <v>1</v>
      </c>
      <c r="G633" s="35">
        <v>6</v>
      </c>
      <c r="H633" s="35">
        <v>98</v>
      </c>
      <c r="I633" s="35">
        <v>21</v>
      </c>
      <c r="J633" s="35">
        <v>70</v>
      </c>
    </row>
    <row r="634" spans="2:10" x14ac:dyDescent="0.25">
      <c r="B634">
        <v>3</v>
      </c>
      <c r="C634" s="32" t="s">
        <v>146</v>
      </c>
      <c r="D634" s="35">
        <v>30</v>
      </c>
      <c r="E634" s="35">
        <v>22</v>
      </c>
      <c r="F634" s="35">
        <v>4</v>
      </c>
      <c r="G634" s="35">
        <v>4</v>
      </c>
      <c r="H634" s="35">
        <v>100</v>
      </c>
      <c r="I634" s="35">
        <v>25</v>
      </c>
      <c r="J634" s="35">
        <v>70</v>
      </c>
    </row>
    <row r="635" spans="2:10" x14ac:dyDescent="0.25">
      <c r="B635">
        <v>4</v>
      </c>
      <c r="C635" s="32" t="s">
        <v>131</v>
      </c>
      <c r="D635" s="35">
        <v>30</v>
      </c>
      <c r="E635" s="35">
        <v>22</v>
      </c>
      <c r="F635" s="35">
        <v>4</v>
      </c>
      <c r="G635" s="35">
        <v>4</v>
      </c>
      <c r="H635" s="35">
        <v>88</v>
      </c>
      <c r="I635" s="35">
        <v>25</v>
      </c>
      <c r="J635" s="35">
        <v>70</v>
      </c>
    </row>
    <row r="636" spans="2:10" x14ac:dyDescent="0.25">
      <c r="B636">
        <v>5</v>
      </c>
      <c r="C636" s="32" t="s">
        <v>64</v>
      </c>
      <c r="D636" s="35">
        <v>30</v>
      </c>
      <c r="E636" s="35">
        <v>20</v>
      </c>
      <c r="F636" s="35">
        <v>1</v>
      </c>
      <c r="G636" s="35">
        <v>9</v>
      </c>
      <c r="H636" s="35">
        <v>103</v>
      </c>
      <c r="I636" s="35">
        <v>32</v>
      </c>
      <c r="J636" s="35">
        <v>61</v>
      </c>
    </row>
    <row r="637" spans="2:10" x14ac:dyDescent="0.25">
      <c r="B637">
        <v>6</v>
      </c>
      <c r="C637" s="32" t="s">
        <v>130</v>
      </c>
      <c r="D637" s="35">
        <v>30</v>
      </c>
      <c r="E637" s="35">
        <v>17</v>
      </c>
      <c r="F637" s="35">
        <v>6</v>
      </c>
      <c r="G637" s="35">
        <v>7</v>
      </c>
      <c r="H637" s="35">
        <v>87</v>
      </c>
      <c r="I637" s="35">
        <v>42</v>
      </c>
      <c r="J637" s="35">
        <v>57</v>
      </c>
    </row>
    <row r="638" spans="2:10" x14ac:dyDescent="0.25">
      <c r="B638">
        <v>7</v>
      </c>
      <c r="C638" s="32" t="s">
        <v>71</v>
      </c>
      <c r="D638" s="35">
        <v>30</v>
      </c>
      <c r="E638" s="35">
        <v>15</v>
      </c>
      <c r="F638" s="35">
        <v>7</v>
      </c>
      <c r="G638" s="35">
        <v>8</v>
      </c>
      <c r="H638" s="35">
        <v>75</v>
      </c>
      <c r="I638" s="35">
        <v>37</v>
      </c>
      <c r="J638" s="35">
        <v>52</v>
      </c>
    </row>
    <row r="639" spans="2:10" x14ac:dyDescent="0.25">
      <c r="B639">
        <v>8</v>
      </c>
      <c r="C639" s="32" t="s">
        <v>58</v>
      </c>
      <c r="D639" s="35">
        <v>30</v>
      </c>
      <c r="E639" s="35">
        <v>16</v>
      </c>
      <c r="F639" s="35">
        <v>4</v>
      </c>
      <c r="G639" s="35">
        <v>10</v>
      </c>
      <c r="H639" s="35">
        <v>60</v>
      </c>
      <c r="I639" s="35">
        <v>43</v>
      </c>
      <c r="J639" s="35">
        <v>52</v>
      </c>
    </row>
    <row r="640" spans="2:10" x14ac:dyDescent="0.25">
      <c r="B640">
        <v>9</v>
      </c>
      <c r="C640" s="32" t="s">
        <v>147</v>
      </c>
      <c r="D640" s="35">
        <v>30</v>
      </c>
      <c r="E640" s="35">
        <v>12</v>
      </c>
      <c r="F640" s="35">
        <v>1</v>
      </c>
      <c r="G640" s="35">
        <v>17</v>
      </c>
      <c r="H640" s="35">
        <v>48</v>
      </c>
      <c r="I640" s="35">
        <v>73</v>
      </c>
      <c r="J640" s="35">
        <v>37</v>
      </c>
    </row>
    <row r="641" spans="2:10" x14ac:dyDescent="0.25">
      <c r="B641">
        <v>10</v>
      </c>
      <c r="C641" s="32" t="s">
        <v>114</v>
      </c>
      <c r="D641" s="35">
        <v>30</v>
      </c>
      <c r="E641" s="35">
        <v>11</v>
      </c>
      <c r="F641" s="35">
        <v>2</v>
      </c>
      <c r="G641" s="35">
        <v>17</v>
      </c>
      <c r="H641" s="35">
        <v>50</v>
      </c>
      <c r="I641" s="35">
        <v>58</v>
      </c>
      <c r="J641" s="35">
        <v>35</v>
      </c>
    </row>
    <row r="642" spans="2:10" x14ac:dyDescent="0.25">
      <c r="B642">
        <v>11</v>
      </c>
      <c r="C642" s="32" t="s">
        <v>156</v>
      </c>
      <c r="D642" s="35">
        <v>30</v>
      </c>
      <c r="E642" s="35">
        <v>8</v>
      </c>
      <c r="F642" s="35">
        <v>6</v>
      </c>
      <c r="G642" s="35">
        <v>16</v>
      </c>
      <c r="H642" s="35">
        <v>33</v>
      </c>
      <c r="I642" s="35">
        <v>55</v>
      </c>
      <c r="J642" s="35">
        <v>30</v>
      </c>
    </row>
    <row r="643" spans="2:10" x14ac:dyDescent="0.25">
      <c r="B643">
        <v>12</v>
      </c>
      <c r="C643" s="32" t="s">
        <v>68</v>
      </c>
      <c r="D643" s="35">
        <v>30</v>
      </c>
      <c r="E643" s="35">
        <v>9</v>
      </c>
      <c r="F643" s="35">
        <v>3</v>
      </c>
      <c r="G643" s="35">
        <v>18</v>
      </c>
      <c r="H643" s="35">
        <v>44</v>
      </c>
      <c r="I643" s="35">
        <v>72</v>
      </c>
      <c r="J643" s="35">
        <v>30</v>
      </c>
    </row>
    <row r="644" spans="2:10" x14ac:dyDescent="0.25">
      <c r="B644">
        <v>13</v>
      </c>
      <c r="C644" s="32" t="s">
        <v>158</v>
      </c>
      <c r="D644" s="35">
        <v>30</v>
      </c>
      <c r="E644" s="35">
        <v>8</v>
      </c>
      <c r="F644" s="35">
        <v>3</v>
      </c>
      <c r="G644" s="35">
        <v>19</v>
      </c>
      <c r="H644" s="35">
        <v>50</v>
      </c>
      <c r="I644" s="35">
        <v>84</v>
      </c>
      <c r="J644" s="35">
        <v>27</v>
      </c>
    </row>
    <row r="645" spans="2:10" x14ac:dyDescent="0.25">
      <c r="B645">
        <v>14</v>
      </c>
      <c r="C645" s="32" t="s">
        <v>161</v>
      </c>
      <c r="D645" s="35">
        <v>30</v>
      </c>
      <c r="E645" s="35">
        <v>7</v>
      </c>
      <c r="F645" s="35">
        <v>3</v>
      </c>
      <c r="G645" s="35">
        <v>20</v>
      </c>
      <c r="H645" s="35">
        <v>30</v>
      </c>
      <c r="I645" s="35">
        <v>59</v>
      </c>
      <c r="J645" s="35">
        <v>24</v>
      </c>
    </row>
    <row r="646" spans="2:10" x14ac:dyDescent="0.25">
      <c r="B646">
        <v>15</v>
      </c>
      <c r="C646" s="32" t="s">
        <v>150</v>
      </c>
      <c r="D646" s="35">
        <v>30</v>
      </c>
      <c r="E646" s="35">
        <v>2</v>
      </c>
      <c r="F646" s="35">
        <v>1</v>
      </c>
      <c r="G646" s="35">
        <v>27</v>
      </c>
      <c r="H646" s="35">
        <v>21</v>
      </c>
      <c r="I646" s="35">
        <v>167</v>
      </c>
      <c r="J646" s="35">
        <v>7</v>
      </c>
    </row>
    <row r="647" spans="2:10" x14ac:dyDescent="0.25">
      <c r="B647">
        <v>16</v>
      </c>
      <c r="C647" s="36" t="s">
        <v>34</v>
      </c>
      <c r="D647" s="35">
        <v>30</v>
      </c>
      <c r="E647" s="35">
        <v>0</v>
      </c>
      <c r="F647" s="35">
        <v>0</v>
      </c>
      <c r="G647" s="35">
        <v>30</v>
      </c>
      <c r="H647" s="35">
        <v>7</v>
      </c>
      <c r="I647" s="35">
        <v>176</v>
      </c>
      <c r="J647" s="35">
        <v>0</v>
      </c>
    </row>
    <row r="649" spans="2:10" x14ac:dyDescent="0.25">
      <c r="B649" s="50" t="s">
        <v>164</v>
      </c>
      <c r="C649" s="50"/>
      <c r="D649" s="50"/>
      <c r="E649" s="50"/>
      <c r="F649" s="50"/>
      <c r="G649" s="50"/>
      <c r="H649" s="50"/>
      <c r="I649" s="50"/>
      <c r="J649" s="50"/>
    </row>
    <row r="650" spans="2:10" x14ac:dyDescent="0.25">
      <c r="B650">
        <v>1</v>
      </c>
      <c r="C650" s="38" t="s">
        <v>128</v>
      </c>
      <c r="D650" s="35">
        <v>30</v>
      </c>
      <c r="E650" s="35">
        <v>25</v>
      </c>
      <c r="F650" s="35">
        <v>4</v>
      </c>
      <c r="G650" s="35">
        <v>1</v>
      </c>
      <c r="H650" s="35">
        <v>88</v>
      </c>
      <c r="I650" s="35">
        <v>15</v>
      </c>
      <c r="J650" s="35">
        <v>79</v>
      </c>
    </row>
    <row r="651" spans="2:10" x14ac:dyDescent="0.25">
      <c r="B651">
        <v>2</v>
      </c>
      <c r="C651" s="38" t="s">
        <v>64</v>
      </c>
      <c r="D651" s="35">
        <v>30</v>
      </c>
      <c r="E651" s="35">
        <v>24</v>
      </c>
      <c r="F651" s="35">
        <v>4</v>
      </c>
      <c r="G651" s="35">
        <v>2</v>
      </c>
      <c r="H651" s="35">
        <v>96</v>
      </c>
      <c r="I651" s="35">
        <v>18</v>
      </c>
      <c r="J651" s="35">
        <v>76</v>
      </c>
    </row>
    <row r="652" spans="2:10" x14ac:dyDescent="0.25">
      <c r="B652">
        <v>3</v>
      </c>
      <c r="C652" s="38" t="s">
        <v>130</v>
      </c>
      <c r="D652" s="35">
        <v>30</v>
      </c>
      <c r="E652" s="35">
        <v>24</v>
      </c>
      <c r="F652" s="35">
        <v>0</v>
      </c>
      <c r="G652" s="35">
        <v>6</v>
      </c>
      <c r="H652" s="35">
        <v>90</v>
      </c>
      <c r="I652" s="35">
        <v>23</v>
      </c>
      <c r="J652" s="35">
        <v>72</v>
      </c>
    </row>
    <row r="653" spans="2:10" x14ac:dyDescent="0.25">
      <c r="B653">
        <v>4</v>
      </c>
      <c r="C653" s="38" t="s">
        <v>58</v>
      </c>
      <c r="D653" s="35">
        <v>30</v>
      </c>
      <c r="E653" s="35">
        <v>19</v>
      </c>
      <c r="F653" s="35">
        <v>2</v>
      </c>
      <c r="G653" s="35">
        <v>9</v>
      </c>
      <c r="H653" s="35">
        <v>64</v>
      </c>
      <c r="I653" s="35">
        <v>33</v>
      </c>
      <c r="J653" s="35">
        <v>59</v>
      </c>
    </row>
    <row r="654" spans="2:10" x14ac:dyDescent="0.25">
      <c r="B654">
        <v>5</v>
      </c>
      <c r="C654" s="38" t="s">
        <v>32</v>
      </c>
      <c r="D654" s="35">
        <v>30</v>
      </c>
      <c r="E654" s="35">
        <v>17</v>
      </c>
      <c r="F654" s="35">
        <v>6</v>
      </c>
      <c r="G654" s="35">
        <v>7</v>
      </c>
      <c r="H654" s="35">
        <v>84</v>
      </c>
      <c r="I654" s="35">
        <v>34</v>
      </c>
      <c r="J654" s="35">
        <v>57</v>
      </c>
    </row>
    <row r="655" spans="2:10" x14ac:dyDescent="0.25">
      <c r="B655">
        <v>6</v>
      </c>
      <c r="C655" s="38" t="s">
        <v>71</v>
      </c>
      <c r="D655" s="35">
        <v>30</v>
      </c>
      <c r="E655" s="35">
        <v>15</v>
      </c>
      <c r="F655" s="35">
        <v>9</v>
      </c>
      <c r="G655" s="35">
        <v>6</v>
      </c>
      <c r="H655" s="35">
        <v>60</v>
      </c>
      <c r="I655" s="35">
        <v>33</v>
      </c>
      <c r="J655" s="35">
        <v>54</v>
      </c>
    </row>
    <row r="656" spans="2:10" x14ac:dyDescent="0.25">
      <c r="B656">
        <v>7</v>
      </c>
      <c r="C656" s="38" t="s">
        <v>131</v>
      </c>
      <c r="D656" s="35">
        <v>30</v>
      </c>
      <c r="E656" s="35">
        <v>14</v>
      </c>
      <c r="F656" s="35">
        <v>6</v>
      </c>
      <c r="G656" s="35">
        <v>10</v>
      </c>
      <c r="H656" s="35">
        <v>77</v>
      </c>
      <c r="I656" s="35">
        <v>37</v>
      </c>
      <c r="J656" s="35">
        <v>48</v>
      </c>
    </row>
    <row r="657" spans="2:10" x14ac:dyDescent="0.25">
      <c r="B657">
        <v>8</v>
      </c>
      <c r="C657" s="38" t="s">
        <v>146</v>
      </c>
      <c r="D657" s="35">
        <v>30</v>
      </c>
      <c r="E657" s="35">
        <v>14</v>
      </c>
      <c r="F657" s="35">
        <v>5</v>
      </c>
      <c r="G657" s="35">
        <v>11</v>
      </c>
      <c r="H657" s="35">
        <v>64</v>
      </c>
      <c r="I657" s="35">
        <v>39</v>
      </c>
      <c r="J657" s="35">
        <v>47</v>
      </c>
    </row>
    <row r="658" spans="2:10" x14ac:dyDescent="0.25">
      <c r="B658">
        <v>9</v>
      </c>
      <c r="C658" s="38" t="s">
        <v>114</v>
      </c>
      <c r="D658" s="35">
        <v>30</v>
      </c>
      <c r="E658" s="35">
        <v>14</v>
      </c>
      <c r="F658" s="35">
        <v>3</v>
      </c>
      <c r="G658" s="35">
        <v>13</v>
      </c>
      <c r="H658" s="35">
        <v>57</v>
      </c>
      <c r="I658" s="35">
        <v>50</v>
      </c>
      <c r="J658" s="35">
        <v>45</v>
      </c>
    </row>
    <row r="659" spans="2:10" x14ac:dyDescent="0.25">
      <c r="B659">
        <v>10</v>
      </c>
      <c r="C659" s="38" t="s">
        <v>163</v>
      </c>
      <c r="D659" s="35">
        <v>30</v>
      </c>
      <c r="E659" s="35">
        <v>10</v>
      </c>
      <c r="F659" s="35">
        <v>7</v>
      </c>
      <c r="G659" s="35">
        <v>13</v>
      </c>
      <c r="H659" s="35">
        <v>38</v>
      </c>
      <c r="I659" s="35">
        <v>54</v>
      </c>
      <c r="J659" s="35">
        <v>37</v>
      </c>
    </row>
    <row r="660" spans="2:10" x14ac:dyDescent="0.25">
      <c r="B660">
        <v>11</v>
      </c>
      <c r="C660" s="38" t="s">
        <v>147</v>
      </c>
      <c r="D660" s="35">
        <v>30</v>
      </c>
      <c r="E660" s="35">
        <v>9</v>
      </c>
      <c r="F660" s="35">
        <v>6</v>
      </c>
      <c r="G660" s="35">
        <v>15</v>
      </c>
      <c r="H660" s="35">
        <v>59</v>
      </c>
      <c r="I660" s="35">
        <v>65</v>
      </c>
      <c r="J660" s="35">
        <v>33</v>
      </c>
    </row>
    <row r="661" spans="2:10" x14ac:dyDescent="0.25">
      <c r="B661">
        <v>12</v>
      </c>
      <c r="C661" s="38" t="s">
        <v>158</v>
      </c>
      <c r="D661" s="35">
        <v>30</v>
      </c>
      <c r="E661" s="35">
        <v>8</v>
      </c>
      <c r="F661" s="35">
        <v>2</v>
      </c>
      <c r="G661" s="35">
        <v>20</v>
      </c>
      <c r="H661" s="35">
        <v>28</v>
      </c>
      <c r="I661" s="35">
        <v>71</v>
      </c>
      <c r="J661" s="35">
        <v>26</v>
      </c>
    </row>
    <row r="662" spans="2:10" x14ac:dyDescent="0.25">
      <c r="B662">
        <v>13</v>
      </c>
      <c r="C662" s="38" t="s">
        <v>68</v>
      </c>
      <c r="D662" s="35">
        <v>30</v>
      </c>
      <c r="E662" s="35">
        <v>6</v>
      </c>
      <c r="F662" s="35">
        <v>5</v>
      </c>
      <c r="G662" s="35">
        <v>19</v>
      </c>
      <c r="H662" s="35">
        <v>24</v>
      </c>
      <c r="I662" s="35">
        <v>89</v>
      </c>
      <c r="J662" s="35">
        <v>23</v>
      </c>
    </row>
    <row r="663" spans="2:10" x14ac:dyDescent="0.25">
      <c r="B663">
        <v>14</v>
      </c>
      <c r="C663" s="38" t="s">
        <v>161</v>
      </c>
      <c r="D663" s="35">
        <v>30</v>
      </c>
      <c r="E663" s="35">
        <v>4</v>
      </c>
      <c r="F663" s="35">
        <v>4</v>
      </c>
      <c r="G663" s="35">
        <v>22</v>
      </c>
      <c r="H663" s="35">
        <v>21</v>
      </c>
      <c r="I663" s="35">
        <v>68</v>
      </c>
      <c r="J663" s="35">
        <v>16</v>
      </c>
    </row>
    <row r="664" spans="2:10" x14ac:dyDescent="0.25">
      <c r="B664">
        <v>15</v>
      </c>
      <c r="C664" s="38" t="s">
        <v>56</v>
      </c>
      <c r="D664" s="35">
        <v>30</v>
      </c>
      <c r="E664" s="35">
        <v>4</v>
      </c>
      <c r="F664" s="35">
        <v>3</v>
      </c>
      <c r="G664" s="35">
        <v>23</v>
      </c>
      <c r="H664" s="35">
        <v>20</v>
      </c>
      <c r="I664" s="35">
        <v>90</v>
      </c>
      <c r="J664" s="35">
        <v>15</v>
      </c>
    </row>
    <row r="665" spans="2:10" x14ac:dyDescent="0.25">
      <c r="B665">
        <v>16</v>
      </c>
      <c r="C665" s="38" t="s">
        <v>156</v>
      </c>
      <c r="D665" s="37">
        <v>5</v>
      </c>
      <c r="E665" s="37">
        <v>0</v>
      </c>
      <c r="F665" s="37">
        <v>0</v>
      </c>
      <c r="G665" s="37">
        <v>5</v>
      </c>
      <c r="H665" s="35">
        <v>3</v>
      </c>
      <c r="I665" s="35">
        <v>14</v>
      </c>
      <c r="J665" s="37">
        <v>0</v>
      </c>
    </row>
    <row r="667" spans="2:10" x14ac:dyDescent="0.25">
      <c r="B667" s="50" t="s">
        <v>167</v>
      </c>
      <c r="C667" s="50"/>
      <c r="D667" s="50"/>
      <c r="E667" s="50"/>
      <c r="F667" s="50"/>
      <c r="G667" s="50"/>
      <c r="H667" s="50"/>
      <c r="I667" s="50"/>
      <c r="J667" s="50"/>
    </row>
    <row r="668" spans="2:10" x14ac:dyDescent="0.25">
      <c r="B668">
        <v>1</v>
      </c>
      <c r="C668" s="32" t="s">
        <v>64</v>
      </c>
      <c r="D668" s="35">
        <v>30</v>
      </c>
      <c r="E668" s="35">
        <v>22</v>
      </c>
      <c r="F668" s="35">
        <v>4</v>
      </c>
      <c r="G668" s="35">
        <v>4</v>
      </c>
      <c r="H668" s="35">
        <v>110</v>
      </c>
      <c r="I668" s="35">
        <v>20</v>
      </c>
      <c r="J668" s="35">
        <v>70</v>
      </c>
    </row>
    <row r="669" spans="2:10" x14ac:dyDescent="0.25">
      <c r="B669">
        <v>2</v>
      </c>
      <c r="C669" s="32" t="s">
        <v>32</v>
      </c>
      <c r="D669" s="35">
        <v>30</v>
      </c>
      <c r="E669" s="35">
        <v>22</v>
      </c>
      <c r="F669" s="35">
        <v>0</v>
      </c>
      <c r="G669" s="35">
        <v>8</v>
      </c>
      <c r="H669" s="35">
        <v>80</v>
      </c>
      <c r="I669" s="35">
        <v>27</v>
      </c>
      <c r="J669" s="35">
        <v>66</v>
      </c>
    </row>
    <row r="670" spans="2:10" x14ac:dyDescent="0.25">
      <c r="B670">
        <v>3</v>
      </c>
      <c r="C670" s="32" t="s">
        <v>58</v>
      </c>
      <c r="D670" s="35">
        <v>30</v>
      </c>
      <c r="E670" s="35">
        <v>21</v>
      </c>
      <c r="F670" s="35">
        <v>2</v>
      </c>
      <c r="G670" s="35">
        <v>7</v>
      </c>
      <c r="H670" s="35">
        <v>95</v>
      </c>
      <c r="I670" s="35">
        <v>36</v>
      </c>
      <c r="J670" s="35">
        <v>65</v>
      </c>
    </row>
    <row r="671" spans="2:10" x14ac:dyDescent="0.25">
      <c r="B671">
        <v>4</v>
      </c>
      <c r="C671" s="32" t="s">
        <v>146</v>
      </c>
      <c r="D671" s="35">
        <v>30</v>
      </c>
      <c r="E671" s="35">
        <v>18</v>
      </c>
      <c r="F671" s="35">
        <v>8</v>
      </c>
      <c r="G671" s="35">
        <v>4</v>
      </c>
      <c r="H671" s="35">
        <v>88</v>
      </c>
      <c r="I671" s="35">
        <v>25</v>
      </c>
      <c r="J671" s="35">
        <v>62</v>
      </c>
    </row>
    <row r="672" spans="2:10" x14ac:dyDescent="0.25">
      <c r="B672">
        <v>5</v>
      </c>
      <c r="C672" s="32" t="s">
        <v>128</v>
      </c>
      <c r="D672" s="35">
        <v>30</v>
      </c>
      <c r="E672" s="35">
        <v>18</v>
      </c>
      <c r="F672" s="35">
        <v>7</v>
      </c>
      <c r="G672" s="35">
        <v>5</v>
      </c>
      <c r="H672" s="35">
        <v>86</v>
      </c>
      <c r="I672" s="35">
        <v>23</v>
      </c>
      <c r="J672" s="35">
        <v>61</v>
      </c>
    </row>
    <row r="673" spans="2:10" x14ac:dyDescent="0.25">
      <c r="B673">
        <v>6</v>
      </c>
      <c r="C673" s="32" t="s">
        <v>130</v>
      </c>
      <c r="D673" s="35">
        <v>30</v>
      </c>
      <c r="E673" s="35">
        <v>18</v>
      </c>
      <c r="F673" s="35">
        <v>6</v>
      </c>
      <c r="G673" s="35">
        <v>6</v>
      </c>
      <c r="H673" s="35">
        <v>86</v>
      </c>
      <c r="I673" s="35">
        <v>28</v>
      </c>
      <c r="J673" s="35">
        <v>60</v>
      </c>
    </row>
    <row r="674" spans="2:10" x14ac:dyDescent="0.25">
      <c r="B674">
        <v>7</v>
      </c>
      <c r="C674" s="32" t="s">
        <v>71</v>
      </c>
      <c r="D674" s="35">
        <v>30</v>
      </c>
      <c r="E674" s="35">
        <v>19</v>
      </c>
      <c r="F674" s="35">
        <v>3</v>
      </c>
      <c r="G674" s="35">
        <v>8</v>
      </c>
      <c r="H674" s="35">
        <v>86</v>
      </c>
      <c r="I674" s="35">
        <v>35</v>
      </c>
      <c r="J674" s="35">
        <v>60</v>
      </c>
    </row>
    <row r="675" spans="2:10" x14ac:dyDescent="0.25">
      <c r="B675">
        <v>8</v>
      </c>
      <c r="C675" s="32" t="s">
        <v>131</v>
      </c>
      <c r="D675" s="35">
        <v>30</v>
      </c>
      <c r="E675" s="35">
        <v>18</v>
      </c>
      <c r="F675" s="35">
        <v>4</v>
      </c>
      <c r="G675" s="35">
        <v>8</v>
      </c>
      <c r="H675" s="35">
        <v>92</v>
      </c>
      <c r="I675" s="35">
        <v>34</v>
      </c>
      <c r="J675" s="35">
        <v>58</v>
      </c>
    </row>
    <row r="676" spans="2:10" x14ac:dyDescent="0.25">
      <c r="B676">
        <v>9</v>
      </c>
      <c r="C676" s="32" t="s">
        <v>114</v>
      </c>
      <c r="D676" s="35">
        <v>30</v>
      </c>
      <c r="E676" s="35">
        <v>15</v>
      </c>
      <c r="F676" s="35">
        <v>6</v>
      </c>
      <c r="G676" s="35">
        <v>9</v>
      </c>
      <c r="H676" s="35">
        <v>82</v>
      </c>
      <c r="I676" s="35">
        <v>40</v>
      </c>
      <c r="J676" s="35">
        <v>51</v>
      </c>
    </row>
    <row r="677" spans="2:10" x14ac:dyDescent="0.25">
      <c r="B677">
        <v>10</v>
      </c>
      <c r="C677" s="32" t="s">
        <v>147</v>
      </c>
      <c r="D677" s="35">
        <v>30</v>
      </c>
      <c r="E677" s="35">
        <v>10</v>
      </c>
      <c r="F677" s="35">
        <v>4</v>
      </c>
      <c r="G677" s="35">
        <v>16</v>
      </c>
      <c r="H677" s="35">
        <v>59</v>
      </c>
      <c r="I677" s="35">
        <v>69</v>
      </c>
      <c r="J677" s="35">
        <v>34</v>
      </c>
    </row>
    <row r="678" spans="2:10" x14ac:dyDescent="0.25">
      <c r="B678">
        <v>11</v>
      </c>
      <c r="C678" s="32" t="s">
        <v>166</v>
      </c>
      <c r="D678" s="35">
        <v>30</v>
      </c>
      <c r="E678" s="35">
        <v>10</v>
      </c>
      <c r="F678" s="35">
        <v>1</v>
      </c>
      <c r="G678" s="35">
        <v>19</v>
      </c>
      <c r="H678" s="35">
        <v>54</v>
      </c>
      <c r="I678" s="35">
        <v>97</v>
      </c>
      <c r="J678" s="35">
        <v>31</v>
      </c>
    </row>
    <row r="679" spans="2:10" x14ac:dyDescent="0.25">
      <c r="B679">
        <v>12</v>
      </c>
      <c r="C679" s="32" t="s">
        <v>165</v>
      </c>
      <c r="D679" s="35">
        <v>30</v>
      </c>
      <c r="E679" s="35">
        <v>5</v>
      </c>
      <c r="F679" s="35">
        <v>4</v>
      </c>
      <c r="G679" s="35">
        <v>21</v>
      </c>
      <c r="H679" s="35">
        <v>33</v>
      </c>
      <c r="I679" s="35">
        <v>75</v>
      </c>
      <c r="J679" s="35">
        <v>19</v>
      </c>
    </row>
    <row r="680" spans="2:10" x14ac:dyDescent="0.25">
      <c r="B680">
        <v>13</v>
      </c>
      <c r="C680" s="32" t="s">
        <v>68</v>
      </c>
      <c r="D680" s="35">
        <v>30</v>
      </c>
      <c r="E680" s="35">
        <v>5</v>
      </c>
      <c r="F680" s="35">
        <v>4</v>
      </c>
      <c r="G680" s="35">
        <v>21</v>
      </c>
      <c r="H680" s="35">
        <v>35</v>
      </c>
      <c r="I680" s="35">
        <v>82</v>
      </c>
      <c r="J680" s="35">
        <v>19</v>
      </c>
    </row>
    <row r="681" spans="2:10" x14ac:dyDescent="0.25">
      <c r="B681">
        <v>14</v>
      </c>
      <c r="C681" s="32" t="s">
        <v>158</v>
      </c>
      <c r="D681" s="35">
        <v>30</v>
      </c>
      <c r="E681" s="35">
        <v>5</v>
      </c>
      <c r="F681" s="35">
        <v>2</v>
      </c>
      <c r="G681" s="35">
        <v>23</v>
      </c>
      <c r="H681" s="35">
        <v>35</v>
      </c>
      <c r="I681" s="35">
        <v>85</v>
      </c>
      <c r="J681" s="35">
        <v>17</v>
      </c>
    </row>
    <row r="682" spans="2:10" x14ac:dyDescent="0.25">
      <c r="B682">
        <v>15</v>
      </c>
      <c r="C682" s="32" t="s">
        <v>161</v>
      </c>
      <c r="D682" s="35">
        <v>30</v>
      </c>
      <c r="E682" s="35">
        <v>4</v>
      </c>
      <c r="F682" s="35">
        <v>5</v>
      </c>
      <c r="G682" s="35">
        <v>21</v>
      </c>
      <c r="H682" s="35">
        <v>19</v>
      </c>
      <c r="I682" s="35">
        <v>72</v>
      </c>
      <c r="J682" s="35">
        <v>17</v>
      </c>
    </row>
    <row r="683" spans="2:10" x14ac:dyDescent="0.25">
      <c r="B683">
        <v>16</v>
      </c>
      <c r="C683" s="8" t="s">
        <v>163</v>
      </c>
      <c r="D683" s="35">
        <v>5</v>
      </c>
      <c r="E683" s="35">
        <v>0</v>
      </c>
      <c r="F683" s="35">
        <v>0</v>
      </c>
      <c r="G683" s="35">
        <v>5</v>
      </c>
      <c r="H683" s="35">
        <v>2</v>
      </c>
      <c r="I683" s="35">
        <v>16</v>
      </c>
      <c r="J683" s="35">
        <v>0</v>
      </c>
    </row>
    <row r="685" spans="2:10" x14ac:dyDescent="0.25">
      <c r="B685" s="50" t="s">
        <v>171</v>
      </c>
      <c r="C685" s="50"/>
      <c r="D685" s="50"/>
      <c r="E685" s="50"/>
      <c r="F685" s="50"/>
      <c r="G685" s="50"/>
      <c r="H685" s="50"/>
      <c r="I685" s="50"/>
      <c r="J685" s="50"/>
    </row>
    <row r="686" spans="2:10" x14ac:dyDescent="0.25">
      <c r="B686">
        <v>1</v>
      </c>
      <c r="C686" s="32" t="s">
        <v>58</v>
      </c>
      <c r="D686" s="35">
        <v>30</v>
      </c>
      <c r="E686" s="35">
        <v>22</v>
      </c>
      <c r="F686" s="35">
        <v>5</v>
      </c>
      <c r="G686" s="35">
        <v>3</v>
      </c>
      <c r="H686" s="35">
        <v>71</v>
      </c>
      <c r="I686" s="35">
        <v>20</v>
      </c>
      <c r="J686" s="35">
        <v>71</v>
      </c>
    </row>
    <row r="687" spans="2:10" x14ac:dyDescent="0.25">
      <c r="B687">
        <v>2</v>
      </c>
      <c r="C687" s="32" t="s">
        <v>131</v>
      </c>
      <c r="D687" s="35">
        <v>30</v>
      </c>
      <c r="E687" s="35">
        <v>21</v>
      </c>
      <c r="F687" s="35">
        <v>6</v>
      </c>
      <c r="G687" s="35">
        <v>3</v>
      </c>
      <c r="H687" s="35">
        <v>90</v>
      </c>
      <c r="I687" s="35">
        <v>33</v>
      </c>
      <c r="J687" s="35">
        <v>69</v>
      </c>
    </row>
    <row r="688" spans="2:10" x14ac:dyDescent="0.25">
      <c r="B688">
        <v>3</v>
      </c>
      <c r="C688" s="32" t="s">
        <v>64</v>
      </c>
      <c r="D688" s="35">
        <v>30</v>
      </c>
      <c r="E688" s="35">
        <v>22</v>
      </c>
      <c r="F688" s="35">
        <v>2</v>
      </c>
      <c r="G688" s="35">
        <v>6</v>
      </c>
      <c r="H688" s="35">
        <v>104</v>
      </c>
      <c r="I688" s="35">
        <v>28</v>
      </c>
      <c r="J688" s="35">
        <v>68</v>
      </c>
    </row>
    <row r="689" spans="2:10" x14ac:dyDescent="0.25">
      <c r="B689">
        <v>4</v>
      </c>
      <c r="C689" s="32" t="s">
        <v>71</v>
      </c>
      <c r="D689" s="35">
        <v>30</v>
      </c>
      <c r="E689" s="35">
        <v>21</v>
      </c>
      <c r="F689" s="35">
        <v>3</v>
      </c>
      <c r="G689" s="35">
        <v>6</v>
      </c>
      <c r="H689" s="35">
        <v>78</v>
      </c>
      <c r="I689" s="35">
        <v>22</v>
      </c>
      <c r="J689" s="35">
        <v>66</v>
      </c>
    </row>
    <row r="690" spans="2:10" x14ac:dyDescent="0.25">
      <c r="B690">
        <v>5</v>
      </c>
      <c r="C690" s="32" t="s">
        <v>32</v>
      </c>
      <c r="D690" s="35">
        <v>30</v>
      </c>
      <c r="E690" s="35">
        <v>20</v>
      </c>
      <c r="F690" s="35">
        <v>4</v>
      </c>
      <c r="G690" s="35">
        <v>6</v>
      </c>
      <c r="H690" s="35">
        <v>73</v>
      </c>
      <c r="I690" s="35">
        <v>32</v>
      </c>
      <c r="J690" s="35">
        <v>64</v>
      </c>
    </row>
    <row r="691" spans="2:10" x14ac:dyDescent="0.25">
      <c r="B691">
        <v>6</v>
      </c>
      <c r="C691" s="32" t="s">
        <v>128</v>
      </c>
      <c r="D691" s="35">
        <v>30</v>
      </c>
      <c r="E691" s="35">
        <v>18</v>
      </c>
      <c r="F691" s="35">
        <v>6</v>
      </c>
      <c r="G691" s="35">
        <v>6</v>
      </c>
      <c r="H691" s="35">
        <v>74</v>
      </c>
      <c r="I691" s="35">
        <v>33</v>
      </c>
      <c r="J691" s="35">
        <v>60</v>
      </c>
    </row>
    <row r="692" spans="2:10" x14ac:dyDescent="0.25">
      <c r="B692">
        <v>7</v>
      </c>
      <c r="C692" s="32" t="s">
        <v>169</v>
      </c>
      <c r="D692" s="35">
        <v>30</v>
      </c>
      <c r="E692" s="35">
        <v>18</v>
      </c>
      <c r="F692" s="35">
        <v>2</v>
      </c>
      <c r="G692" s="35">
        <v>10</v>
      </c>
      <c r="H692" s="35">
        <v>67</v>
      </c>
      <c r="I692" s="35">
        <v>25</v>
      </c>
      <c r="J692" s="35">
        <v>56</v>
      </c>
    </row>
    <row r="693" spans="2:10" x14ac:dyDescent="0.25">
      <c r="B693">
        <v>8</v>
      </c>
      <c r="C693" s="32" t="s">
        <v>130</v>
      </c>
      <c r="D693" s="35">
        <v>30</v>
      </c>
      <c r="E693" s="35">
        <v>16</v>
      </c>
      <c r="F693" s="35">
        <v>3</v>
      </c>
      <c r="G693" s="35">
        <v>11</v>
      </c>
      <c r="H693" s="35">
        <v>84</v>
      </c>
      <c r="I693" s="35">
        <v>49</v>
      </c>
      <c r="J693" s="35">
        <v>51</v>
      </c>
    </row>
    <row r="694" spans="2:10" x14ac:dyDescent="0.25">
      <c r="B694">
        <v>9</v>
      </c>
      <c r="C694" s="32" t="s">
        <v>114</v>
      </c>
      <c r="D694" s="35">
        <v>30</v>
      </c>
      <c r="E694" s="35">
        <v>12</v>
      </c>
      <c r="F694" s="35">
        <v>8</v>
      </c>
      <c r="G694" s="35">
        <v>10</v>
      </c>
      <c r="H694" s="35">
        <v>47</v>
      </c>
      <c r="I694" s="35">
        <v>48</v>
      </c>
      <c r="J694" s="35">
        <v>44</v>
      </c>
    </row>
    <row r="695" spans="2:10" x14ac:dyDescent="0.25">
      <c r="B695">
        <v>10</v>
      </c>
      <c r="C695" s="32" t="s">
        <v>166</v>
      </c>
      <c r="D695" s="35">
        <v>30</v>
      </c>
      <c r="E695" s="35">
        <v>11</v>
      </c>
      <c r="F695" s="35">
        <v>4</v>
      </c>
      <c r="G695" s="35">
        <v>15</v>
      </c>
      <c r="H695" s="35">
        <v>51</v>
      </c>
      <c r="I695" s="35">
        <v>64</v>
      </c>
      <c r="J695" s="35">
        <v>37</v>
      </c>
    </row>
    <row r="696" spans="2:10" x14ac:dyDescent="0.25">
      <c r="B696">
        <v>11</v>
      </c>
      <c r="C696" s="32" t="s">
        <v>147</v>
      </c>
      <c r="D696" s="35">
        <v>30</v>
      </c>
      <c r="E696" s="35">
        <v>8</v>
      </c>
      <c r="F696" s="35">
        <v>3</v>
      </c>
      <c r="G696" s="35">
        <v>19</v>
      </c>
      <c r="H696" s="35">
        <v>42</v>
      </c>
      <c r="I696" s="35">
        <v>85</v>
      </c>
      <c r="J696" s="35">
        <v>27</v>
      </c>
    </row>
    <row r="697" spans="2:10" x14ac:dyDescent="0.25">
      <c r="B697">
        <v>12</v>
      </c>
      <c r="C697" s="32" t="s">
        <v>165</v>
      </c>
      <c r="D697" s="35">
        <v>30</v>
      </c>
      <c r="E697" s="35">
        <v>6</v>
      </c>
      <c r="F697" s="35">
        <v>4</v>
      </c>
      <c r="G697" s="35">
        <v>20</v>
      </c>
      <c r="H697" s="35">
        <v>18</v>
      </c>
      <c r="I697" s="35">
        <v>73</v>
      </c>
      <c r="J697" s="35">
        <v>22</v>
      </c>
    </row>
    <row r="698" spans="2:10" x14ac:dyDescent="0.25">
      <c r="B698">
        <v>13</v>
      </c>
      <c r="C698" s="32" t="s">
        <v>168</v>
      </c>
      <c r="D698" s="35">
        <v>30</v>
      </c>
      <c r="E698" s="35">
        <v>5</v>
      </c>
      <c r="F698" s="35">
        <v>4</v>
      </c>
      <c r="G698" s="35">
        <v>21</v>
      </c>
      <c r="H698" s="35">
        <v>25</v>
      </c>
      <c r="I698" s="35">
        <v>81</v>
      </c>
      <c r="J698" s="35">
        <v>19</v>
      </c>
    </row>
    <row r="699" spans="2:10" x14ac:dyDescent="0.25">
      <c r="B699">
        <v>14</v>
      </c>
      <c r="C699" s="32" t="s">
        <v>68</v>
      </c>
      <c r="D699" s="35">
        <v>30</v>
      </c>
      <c r="E699" s="35">
        <v>4</v>
      </c>
      <c r="F699" s="35">
        <v>2</v>
      </c>
      <c r="G699" s="35">
        <v>24</v>
      </c>
      <c r="H699" s="35">
        <v>26</v>
      </c>
      <c r="I699" s="35">
        <v>77</v>
      </c>
      <c r="J699" s="35">
        <v>14</v>
      </c>
    </row>
    <row r="700" spans="2:10" x14ac:dyDescent="0.25">
      <c r="B700">
        <v>15</v>
      </c>
      <c r="C700" s="32" t="s">
        <v>56</v>
      </c>
      <c r="D700" s="35">
        <v>30</v>
      </c>
      <c r="E700" s="35">
        <v>3</v>
      </c>
      <c r="F700" s="35">
        <v>4</v>
      </c>
      <c r="G700" s="35">
        <v>23</v>
      </c>
      <c r="H700" s="35">
        <v>15</v>
      </c>
      <c r="I700" s="35">
        <v>107</v>
      </c>
      <c r="J700" s="35">
        <v>13</v>
      </c>
    </row>
    <row r="701" spans="2:10" x14ac:dyDescent="0.25">
      <c r="B701">
        <v>16</v>
      </c>
      <c r="C701" s="32" t="s">
        <v>170</v>
      </c>
      <c r="D701" s="35">
        <v>30</v>
      </c>
      <c r="E701" s="35">
        <v>2</v>
      </c>
      <c r="F701" s="35">
        <v>2</v>
      </c>
      <c r="G701" s="35">
        <v>26</v>
      </c>
      <c r="H701" s="35">
        <v>18</v>
      </c>
      <c r="I701" s="35">
        <v>106</v>
      </c>
      <c r="J701" s="35">
        <v>8</v>
      </c>
    </row>
  </sheetData>
  <mergeCells count="39"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  <mergeCell ref="B217:J217"/>
    <mergeCell ref="B235:J235"/>
    <mergeCell ref="B253:J253"/>
    <mergeCell ref="B271:J271"/>
    <mergeCell ref="B289:J289"/>
    <mergeCell ref="B451:J451"/>
    <mergeCell ref="B433:J433"/>
    <mergeCell ref="B343:J343"/>
    <mergeCell ref="B325:J325"/>
    <mergeCell ref="B307:J307"/>
    <mergeCell ref="B415:J415"/>
    <mergeCell ref="B397:J397"/>
    <mergeCell ref="B379:J379"/>
    <mergeCell ref="B361:J361"/>
    <mergeCell ref="B649:J649"/>
    <mergeCell ref="B667:J667"/>
    <mergeCell ref="B685:J685"/>
    <mergeCell ref="B469:J469"/>
    <mergeCell ref="B487:J487"/>
    <mergeCell ref="B505:J505"/>
    <mergeCell ref="B613:J613"/>
    <mergeCell ref="B631:J631"/>
    <mergeCell ref="B541:J541"/>
    <mergeCell ref="B523:J523"/>
    <mergeCell ref="B559:J559"/>
    <mergeCell ref="B577:J577"/>
    <mergeCell ref="B595:J595"/>
  </mergeCells>
  <hyperlinks>
    <hyperlink ref="C452" r:id="rId1" display="http://www.brejk.cz/index.php?p=info_tym&amp;tym=37319"/>
    <hyperlink ref="C453" r:id="rId2" display="http://www.brejk.cz/index.php?p=info_tym&amp;tym=8698"/>
    <hyperlink ref="C454" r:id="rId3" display="http://www.brejk.cz/index.php?p=info_tym&amp;tym=28627"/>
    <hyperlink ref="C455" r:id="rId4" display="http://www.brejk.cz/index.php?p=info_tym&amp;tym=26787"/>
    <hyperlink ref="C456" r:id="rId5" display="http://www.brejk.cz/index.php?p=info_tym&amp;tym=9741"/>
    <hyperlink ref="C457" r:id="rId6" display="http://www.brejk.cz/index.php?p=info_tym&amp;tym=16197"/>
    <hyperlink ref="C458" r:id="rId7" display="http://www.brejk.cz/index.php?p=info_tym&amp;tym=26357"/>
    <hyperlink ref="C459" r:id="rId8" display="http://www.brejk.cz/index.php?p=info_tym&amp;tym=11343"/>
    <hyperlink ref="C460" r:id="rId9" display="http://www.brejk.cz/index.php?p=info_tym&amp;tym=18813"/>
    <hyperlink ref="C461" r:id="rId10" display="http://www.brejk.cz/index.php?p=info_tym&amp;tym=58587"/>
    <hyperlink ref="C462" r:id="rId11" display="http://www.brejk.cz/index.php?p=info_tym&amp;tym=23549"/>
    <hyperlink ref="C463" r:id="rId12" display="http://www.brejk.cz/index.php?p=info_tym&amp;tym=10378"/>
    <hyperlink ref="C464" r:id="rId13" display="http://www.brejk.cz/index.php?p=info_tym&amp;tym=58747"/>
    <hyperlink ref="C465" r:id="rId14" display="http://www.brejk.cz/index.php?p=info_tym&amp;tym=58675"/>
    <hyperlink ref="C466" r:id="rId15" display="http://www.brejk.cz/index.php?p=info_tym&amp;tym=49193"/>
    <hyperlink ref="C467" r:id="rId16" display="http://www.brejk.cz/index.php?p=info_tym&amp;tym=30073"/>
  </hyperlinks>
  <pageMargins left="0.7" right="0.7" top="0.78740157499999996" bottom="0.78740157499999996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804"/>
  <sheetViews>
    <sheetView workbookViewId="0">
      <selection activeCell="N49" sqref="N49"/>
    </sheetView>
  </sheetViews>
  <sheetFormatPr defaultRowHeight="15" x14ac:dyDescent="0.25"/>
  <cols>
    <col min="3" max="3" width="30.7109375" style="4" bestFit="1" customWidth="1"/>
    <col min="4" max="10" width="9.140625" style="10"/>
    <col min="11" max="11" width="9.28515625" style="11" customWidth="1"/>
    <col min="12" max="13" width="9.28515625" style="26" customWidth="1"/>
    <col min="14" max="14" width="5" style="10" bestFit="1" customWidth="1"/>
    <col min="17" max="17" width="29.28515625" bestFit="1" customWidth="1"/>
  </cols>
  <sheetData>
    <row r="4" spans="17:18" x14ac:dyDescent="0.25">
      <c r="Q4" s="4" t="s">
        <v>78</v>
      </c>
    </row>
    <row r="5" spans="17:18" x14ac:dyDescent="0.25">
      <c r="Q5" s="4" t="s">
        <v>79</v>
      </c>
      <c r="R5" t="s">
        <v>172</v>
      </c>
    </row>
    <row r="6" spans="17:18" x14ac:dyDescent="0.25">
      <c r="Q6" s="4" t="s">
        <v>82</v>
      </c>
      <c r="R6" t="s">
        <v>173</v>
      </c>
    </row>
    <row r="7" spans="17:18" x14ac:dyDescent="0.25">
      <c r="Q7" s="4" t="s">
        <v>80</v>
      </c>
      <c r="R7" t="s">
        <v>174</v>
      </c>
    </row>
    <row r="8" spans="17:18" x14ac:dyDescent="0.25">
      <c r="Q8" s="4" t="s">
        <v>81</v>
      </c>
      <c r="R8" t="s">
        <v>135</v>
      </c>
    </row>
    <row r="9" spans="17:18" x14ac:dyDescent="0.25">
      <c r="Q9" s="4" t="s">
        <v>83</v>
      </c>
      <c r="R9" t="s">
        <v>175</v>
      </c>
    </row>
    <row r="10" spans="17:18" x14ac:dyDescent="0.25">
      <c r="Q10" s="4" t="s">
        <v>84</v>
      </c>
      <c r="R10" t="s">
        <v>176</v>
      </c>
    </row>
    <row r="11" spans="17:18" x14ac:dyDescent="0.25">
      <c r="Q11" s="4" t="s">
        <v>85</v>
      </c>
      <c r="R11" t="s">
        <v>177</v>
      </c>
    </row>
    <row r="12" spans="17:18" x14ac:dyDescent="0.25">
      <c r="Q12" s="4" t="s">
        <v>86</v>
      </c>
      <c r="R12" t="s">
        <v>178</v>
      </c>
    </row>
    <row r="13" spans="17:18" x14ac:dyDescent="0.25">
      <c r="Q13" s="4" t="s">
        <v>87</v>
      </c>
      <c r="R13" t="s">
        <v>136</v>
      </c>
    </row>
    <row r="14" spans="17:18" x14ac:dyDescent="0.25">
      <c r="Q14" s="4" t="s">
        <v>88</v>
      </c>
      <c r="R14" t="s">
        <v>179</v>
      </c>
    </row>
    <row r="15" spans="17:18" x14ac:dyDescent="0.25">
      <c r="Q15" s="4" t="s">
        <v>89</v>
      </c>
      <c r="R15" t="s">
        <v>180</v>
      </c>
    </row>
    <row r="16" spans="17:18" x14ac:dyDescent="0.25">
      <c r="Q16" s="4" t="s">
        <v>90</v>
      </c>
      <c r="R16" t="s">
        <v>181</v>
      </c>
    </row>
    <row r="17" spans="1:17" x14ac:dyDescent="0.25">
      <c r="Q17" s="4" t="s">
        <v>96</v>
      </c>
    </row>
    <row r="18" spans="1:17" x14ac:dyDescent="0.25">
      <c r="Q18" s="4" t="s">
        <v>97</v>
      </c>
    </row>
    <row r="19" spans="1:17" x14ac:dyDescent="0.25">
      <c r="Q19" s="4" t="s">
        <v>98</v>
      </c>
    </row>
    <row r="20" spans="1:17" x14ac:dyDescent="0.25">
      <c r="Q20" s="4" t="s">
        <v>99</v>
      </c>
    </row>
    <row r="21" spans="1:17" x14ac:dyDescent="0.25">
      <c r="Q21" s="4" t="s">
        <v>100</v>
      </c>
    </row>
    <row r="22" spans="1:17" x14ac:dyDescent="0.25">
      <c r="Q22" s="4" t="s">
        <v>101</v>
      </c>
    </row>
    <row r="24" spans="1:17" x14ac:dyDescent="0.25">
      <c r="C24" s="5" t="s">
        <v>116</v>
      </c>
      <c r="D24" s="14" t="s">
        <v>117</v>
      </c>
      <c r="E24" s="14" t="s">
        <v>118</v>
      </c>
      <c r="F24" s="14" t="s">
        <v>119</v>
      </c>
      <c r="G24" s="14" t="s">
        <v>120</v>
      </c>
      <c r="H24" s="14" t="s">
        <v>121</v>
      </c>
      <c r="I24" s="14" t="s">
        <v>122</v>
      </c>
      <c r="J24" s="14" t="s">
        <v>123</v>
      </c>
      <c r="K24" s="25" t="s">
        <v>124</v>
      </c>
      <c r="L24" s="25" t="s">
        <v>126</v>
      </c>
      <c r="M24" s="25" t="s">
        <v>125</v>
      </c>
      <c r="N24" s="14" t="s">
        <v>127</v>
      </c>
    </row>
    <row r="25" spans="1:17" x14ac:dyDescent="0.25">
      <c r="A25">
        <v>1</v>
      </c>
      <c r="B25">
        <v>2</v>
      </c>
      <c r="C25" s="4" t="s">
        <v>32</v>
      </c>
      <c r="D25" s="10">
        <f t="shared" ref="D25:D56" ca="1" si="0">SUMIF($C$103:$J$804,$C25,$D$103:$D$804)</f>
        <v>1020</v>
      </c>
      <c r="E25" s="10">
        <f t="shared" ref="E25:E56" ca="1" si="1">SUMIF($C$103:$J$804,$C25,$E$103:$E$804)</f>
        <v>674</v>
      </c>
      <c r="F25" s="10">
        <f t="shared" ref="F25:F56" ca="1" si="2">SUMIF($C$103:$J$804,$C25,$F$103:$F$804)</f>
        <v>131</v>
      </c>
      <c r="G25" s="10">
        <f t="shared" ref="G25:G56" ca="1" si="3">SUMIF($C$103:$J$804,$C25,$G$103:$G$804)</f>
        <v>215</v>
      </c>
      <c r="H25" s="10">
        <f t="shared" ref="H25:H56" ca="1" si="4">SUMIF($C$103:$J$804,$C25,$H$103:$H$804)</f>
        <v>2813</v>
      </c>
      <c r="I25" s="10">
        <f t="shared" ref="I25:I56" ca="1" si="5">SUMIF($C$103:$J$804,$C25,$I$103:$I$804)</f>
        <v>978</v>
      </c>
      <c r="J25" s="10">
        <f t="shared" ref="J25:J56" ca="1" si="6">SUMIF($C$103:$J$804,$C25,$J$103:$J$804)</f>
        <v>2152</v>
      </c>
      <c r="K25" s="49">
        <f t="shared" ref="K25:K71" ca="1" si="7">J25/(D25*3)</f>
        <v>0.70326797385620921</v>
      </c>
      <c r="L25" s="26">
        <f t="shared" ref="L25:L71" ca="1" si="8">H25/D25</f>
        <v>2.7578431372549019</v>
      </c>
      <c r="M25" s="26">
        <f t="shared" ref="M25:M71" ca="1" si="9">I25/D25</f>
        <v>0.95882352941176474</v>
      </c>
      <c r="N25" s="10">
        <f t="shared" ref="N25:N56" ca="1" si="10">H25-I25</f>
        <v>1835</v>
      </c>
      <c r="O25">
        <f t="shared" ref="O25:O56" si="11">B25-A25</f>
        <v>1</v>
      </c>
    </row>
    <row r="26" spans="1:17" x14ac:dyDescent="0.25">
      <c r="A26">
        <v>2</v>
      </c>
      <c r="B26">
        <v>1</v>
      </c>
      <c r="C26" s="4" t="s">
        <v>33</v>
      </c>
      <c r="D26" s="10">
        <f t="shared" ca="1" si="0"/>
        <v>892</v>
      </c>
      <c r="E26" s="10">
        <f t="shared" ca="1" si="1"/>
        <v>580</v>
      </c>
      <c r="F26" s="10">
        <f t="shared" ca="1" si="2"/>
        <v>109</v>
      </c>
      <c r="G26" s="10">
        <f t="shared" ca="1" si="3"/>
        <v>203</v>
      </c>
      <c r="H26" s="10">
        <f t="shared" ca="1" si="4"/>
        <v>2599</v>
      </c>
      <c r="I26" s="10">
        <f t="shared" ca="1" si="5"/>
        <v>904</v>
      </c>
      <c r="J26" s="10">
        <f t="shared" ca="1" si="6"/>
        <v>1845</v>
      </c>
      <c r="K26" s="49">
        <f t="shared" ca="1" si="7"/>
        <v>0.6894618834080718</v>
      </c>
      <c r="L26" s="26">
        <f t="shared" ca="1" si="8"/>
        <v>2.9136771300448432</v>
      </c>
      <c r="M26" s="26">
        <f t="shared" ca="1" si="9"/>
        <v>1.0134529147982063</v>
      </c>
      <c r="N26" s="10">
        <f t="shared" ca="1" si="10"/>
        <v>1695</v>
      </c>
      <c r="O26">
        <f t="shared" si="11"/>
        <v>-1</v>
      </c>
    </row>
    <row r="27" spans="1:17" x14ac:dyDescent="0.25">
      <c r="A27">
        <v>3</v>
      </c>
      <c r="B27">
        <v>4</v>
      </c>
      <c r="C27" s="4" t="s">
        <v>43</v>
      </c>
      <c r="D27" s="10">
        <f t="shared" ca="1" si="0"/>
        <v>750</v>
      </c>
      <c r="E27" s="10">
        <f t="shared" ca="1" si="1"/>
        <v>470</v>
      </c>
      <c r="F27" s="10">
        <f t="shared" ca="1" si="2"/>
        <v>101</v>
      </c>
      <c r="G27" s="10">
        <f t="shared" ca="1" si="3"/>
        <v>179</v>
      </c>
      <c r="H27" s="10">
        <f t="shared" ca="1" si="4"/>
        <v>1968</v>
      </c>
      <c r="I27" s="10">
        <f t="shared" ca="1" si="5"/>
        <v>711</v>
      </c>
      <c r="J27" s="10">
        <f t="shared" ca="1" si="6"/>
        <v>1518</v>
      </c>
      <c r="K27" s="49">
        <f t="shared" ca="1" si="7"/>
        <v>0.67466666666666664</v>
      </c>
      <c r="L27" s="26">
        <f t="shared" ca="1" si="8"/>
        <v>2.6240000000000001</v>
      </c>
      <c r="M27" s="26">
        <f t="shared" ca="1" si="9"/>
        <v>0.94799999999999995</v>
      </c>
      <c r="N27" s="10">
        <f t="shared" ca="1" si="10"/>
        <v>1257</v>
      </c>
      <c r="O27">
        <f t="shared" si="11"/>
        <v>1</v>
      </c>
    </row>
    <row r="28" spans="1:17" x14ac:dyDescent="0.25">
      <c r="A28">
        <v>4</v>
      </c>
      <c r="B28">
        <v>5</v>
      </c>
      <c r="C28" s="4" t="s">
        <v>64</v>
      </c>
      <c r="D28" s="10">
        <f t="shared" ca="1" si="0"/>
        <v>690</v>
      </c>
      <c r="E28" s="10">
        <f t="shared" ca="1" si="1"/>
        <v>476</v>
      </c>
      <c r="F28" s="10">
        <f t="shared" ca="1" si="2"/>
        <v>74</v>
      </c>
      <c r="G28" s="10">
        <f t="shared" ca="1" si="3"/>
        <v>140</v>
      </c>
      <c r="H28" s="10">
        <f t="shared" ca="1" si="4"/>
        <v>2092</v>
      </c>
      <c r="I28" s="10">
        <f t="shared" ca="1" si="5"/>
        <v>582</v>
      </c>
      <c r="J28" s="10">
        <f t="shared" ca="1" si="6"/>
        <v>1508</v>
      </c>
      <c r="K28" s="49">
        <f t="shared" ca="1" si="7"/>
        <v>0.72850241545893724</v>
      </c>
      <c r="L28" s="26">
        <f t="shared" ca="1" si="8"/>
        <v>3.0318840579710145</v>
      </c>
      <c r="M28" s="26">
        <f t="shared" ca="1" si="9"/>
        <v>0.84347826086956523</v>
      </c>
      <c r="N28" s="10">
        <f t="shared" ca="1" si="10"/>
        <v>1510</v>
      </c>
      <c r="O28">
        <f t="shared" si="11"/>
        <v>1</v>
      </c>
    </row>
    <row r="29" spans="1:17" x14ac:dyDescent="0.25">
      <c r="A29">
        <v>5</v>
      </c>
      <c r="B29">
        <v>3</v>
      </c>
      <c r="C29" s="4" t="s">
        <v>18</v>
      </c>
      <c r="D29" s="10">
        <f t="shared" ca="1" si="0"/>
        <v>690</v>
      </c>
      <c r="E29" s="10">
        <f t="shared" ca="1" si="1"/>
        <v>468</v>
      </c>
      <c r="F29" s="10">
        <f t="shared" ca="1" si="2"/>
        <v>94</v>
      </c>
      <c r="G29" s="10">
        <f t="shared" ca="1" si="3"/>
        <v>128</v>
      </c>
      <c r="H29" s="10">
        <f t="shared" ca="1" si="4"/>
        <v>2157</v>
      </c>
      <c r="I29" s="10">
        <f t="shared" ca="1" si="5"/>
        <v>622</v>
      </c>
      <c r="J29" s="10">
        <f t="shared" ca="1" si="6"/>
        <v>1498</v>
      </c>
      <c r="K29" s="49">
        <f t="shared" ca="1" si="7"/>
        <v>0.72367149758454108</v>
      </c>
      <c r="L29" s="26">
        <f t="shared" ca="1" si="8"/>
        <v>3.1260869565217391</v>
      </c>
      <c r="M29" s="26">
        <f t="shared" ca="1" si="9"/>
        <v>0.90144927536231889</v>
      </c>
      <c r="N29" s="10">
        <f t="shared" ca="1" si="10"/>
        <v>1535</v>
      </c>
      <c r="O29">
        <f t="shared" si="11"/>
        <v>-2</v>
      </c>
    </row>
    <row r="30" spans="1:17" x14ac:dyDescent="0.25">
      <c r="A30">
        <v>6</v>
      </c>
      <c r="B30">
        <v>8</v>
      </c>
      <c r="C30" s="4" t="s">
        <v>58</v>
      </c>
      <c r="D30" s="10">
        <f t="shared" ca="1" si="0"/>
        <v>750</v>
      </c>
      <c r="E30" s="10">
        <f t="shared" ca="1" si="1"/>
        <v>363</v>
      </c>
      <c r="F30" s="10">
        <f t="shared" ca="1" si="2"/>
        <v>118</v>
      </c>
      <c r="G30" s="10">
        <f t="shared" ca="1" si="3"/>
        <v>269</v>
      </c>
      <c r="H30" s="10">
        <f t="shared" ca="1" si="4"/>
        <v>1351</v>
      </c>
      <c r="I30" s="10">
        <f t="shared" ca="1" si="5"/>
        <v>1072</v>
      </c>
      <c r="J30" s="10">
        <f t="shared" ca="1" si="6"/>
        <v>1203</v>
      </c>
      <c r="K30" s="49">
        <f t="shared" ca="1" si="7"/>
        <v>0.53466666666666662</v>
      </c>
      <c r="L30" s="26">
        <f t="shared" ca="1" si="8"/>
        <v>1.8013333333333332</v>
      </c>
      <c r="M30" s="26">
        <f t="shared" ca="1" si="9"/>
        <v>1.4293333333333333</v>
      </c>
      <c r="N30" s="10">
        <f t="shared" ca="1" si="10"/>
        <v>279</v>
      </c>
      <c r="O30">
        <f t="shared" si="11"/>
        <v>2</v>
      </c>
    </row>
    <row r="31" spans="1:17" x14ac:dyDescent="0.25">
      <c r="A31">
        <v>7</v>
      </c>
      <c r="B31">
        <v>15</v>
      </c>
      <c r="C31" s="4" t="s">
        <v>71</v>
      </c>
      <c r="D31" s="10">
        <f t="shared" ca="1" si="0"/>
        <v>630</v>
      </c>
      <c r="E31" s="10">
        <f t="shared" ca="1" si="1"/>
        <v>303</v>
      </c>
      <c r="F31" s="10">
        <f t="shared" ca="1" si="2"/>
        <v>90</v>
      </c>
      <c r="G31" s="10">
        <f t="shared" ca="1" si="3"/>
        <v>237</v>
      </c>
      <c r="H31" s="10">
        <f t="shared" ca="1" si="4"/>
        <v>1273</v>
      </c>
      <c r="I31" s="10">
        <f t="shared" ca="1" si="5"/>
        <v>922</v>
      </c>
      <c r="J31" s="10">
        <f t="shared" ca="1" si="6"/>
        <v>993</v>
      </c>
      <c r="K31" s="49">
        <f t="shared" ca="1" si="7"/>
        <v>0.52539682539682542</v>
      </c>
      <c r="L31" s="26">
        <f t="shared" ca="1" si="8"/>
        <v>2.0206349206349206</v>
      </c>
      <c r="M31" s="26">
        <f t="shared" ca="1" si="9"/>
        <v>1.4634920634920634</v>
      </c>
      <c r="N31" s="10">
        <f t="shared" ca="1" si="10"/>
        <v>351</v>
      </c>
      <c r="O31">
        <f t="shared" si="11"/>
        <v>8</v>
      </c>
    </row>
    <row r="32" spans="1:17" x14ac:dyDescent="0.25">
      <c r="A32">
        <v>8</v>
      </c>
      <c r="B32">
        <v>6</v>
      </c>
      <c r="C32" s="4" t="s">
        <v>70</v>
      </c>
      <c r="D32" s="10">
        <f t="shared" ca="1" si="0"/>
        <v>360</v>
      </c>
      <c r="E32" s="10">
        <f t="shared" ca="1" si="1"/>
        <v>253</v>
      </c>
      <c r="F32" s="10">
        <f t="shared" ca="1" si="2"/>
        <v>33</v>
      </c>
      <c r="G32" s="10">
        <f t="shared" ca="1" si="3"/>
        <v>74</v>
      </c>
      <c r="H32" s="10">
        <f t="shared" ca="1" si="4"/>
        <v>1047</v>
      </c>
      <c r="I32" s="10">
        <f t="shared" ca="1" si="5"/>
        <v>376</v>
      </c>
      <c r="J32" s="10">
        <f t="shared" ca="1" si="6"/>
        <v>792</v>
      </c>
      <c r="K32" s="49">
        <f t="shared" ca="1" si="7"/>
        <v>0.73333333333333328</v>
      </c>
      <c r="L32" s="26">
        <f t="shared" ca="1" si="8"/>
        <v>2.9083333333333332</v>
      </c>
      <c r="M32" s="26">
        <f t="shared" ca="1" si="9"/>
        <v>1.0444444444444445</v>
      </c>
      <c r="N32" s="10">
        <f t="shared" ca="1" si="10"/>
        <v>671</v>
      </c>
      <c r="O32">
        <f t="shared" si="11"/>
        <v>-2</v>
      </c>
    </row>
    <row r="33" spans="1:15" x14ac:dyDescent="0.25">
      <c r="A33">
        <v>9</v>
      </c>
      <c r="B33">
        <v>7</v>
      </c>
      <c r="C33" s="4" t="s">
        <v>24</v>
      </c>
      <c r="D33" s="10">
        <f t="shared" ca="1" si="0"/>
        <v>420</v>
      </c>
      <c r="E33" s="10">
        <f t="shared" ca="1" si="1"/>
        <v>239</v>
      </c>
      <c r="F33" s="10">
        <f t="shared" ca="1" si="2"/>
        <v>69</v>
      </c>
      <c r="G33" s="10">
        <f t="shared" ca="1" si="3"/>
        <v>112</v>
      </c>
      <c r="H33" s="10">
        <f t="shared" ca="1" si="4"/>
        <v>952</v>
      </c>
      <c r="I33" s="10">
        <f t="shared" ca="1" si="5"/>
        <v>569</v>
      </c>
      <c r="J33" s="10">
        <f t="shared" ca="1" si="6"/>
        <v>786</v>
      </c>
      <c r="K33" s="49">
        <f t="shared" ca="1" si="7"/>
        <v>0.62380952380952381</v>
      </c>
      <c r="L33" s="26">
        <f t="shared" ca="1" si="8"/>
        <v>2.2666666666666666</v>
      </c>
      <c r="M33" s="26">
        <f t="shared" ca="1" si="9"/>
        <v>1.3547619047619048</v>
      </c>
      <c r="N33" s="10">
        <f t="shared" ca="1" si="10"/>
        <v>383</v>
      </c>
      <c r="O33">
        <f t="shared" si="11"/>
        <v>-2</v>
      </c>
    </row>
    <row r="34" spans="1:15" x14ac:dyDescent="0.25">
      <c r="A34">
        <v>10</v>
      </c>
      <c r="B34">
        <v>11</v>
      </c>
      <c r="C34" s="4" t="s">
        <v>92</v>
      </c>
      <c r="D34" s="10">
        <f t="shared" ca="1" si="0"/>
        <v>420</v>
      </c>
      <c r="E34" s="10">
        <f t="shared" ca="1" si="1"/>
        <v>218</v>
      </c>
      <c r="F34" s="10">
        <f t="shared" ca="1" si="2"/>
        <v>50</v>
      </c>
      <c r="G34" s="10">
        <f t="shared" ca="1" si="3"/>
        <v>152</v>
      </c>
      <c r="H34" s="10">
        <f t="shared" ca="1" si="4"/>
        <v>836</v>
      </c>
      <c r="I34" s="10">
        <f t="shared" ca="1" si="5"/>
        <v>563</v>
      </c>
      <c r="J34" s="10">
        <f t="shared" ca="1" si="6"/>
        <v>720</v>
      </c>
      <c r="K34" s="49">
        <f t="shared" ca="1" si="7"/>
        <v>0.5714285714285714</v>
      </c>
      <c r="L34" s="26">
        <f t="shared" ca="1" si="8"/>
        <v>1.9904761904761905</v>
      </c>
      <c r="M34" s="26">
        <f t="shared" ca="1" si="9"/>
        <v>1.3404761904761904</v>
      </c>
      <c r="N34" s="10">
        <f t="shared" ca="1" si="10"/>
        <v>273</v>
      </c>
      <c r="O34">
        <f t="shared" si="11"/>
        <v>1</v>
      </c>
    </row>
    <row r="35" spans="1:15" x14ac:dyDescent="0.25">
      <c r="A35">
        <v>11</v>
      </c>
      <c r="B35">
        <v>40</v>
      </c>
      <c r="C35" t="s">
        <v>128</v>
      </c>
      <c r="D35" s="10">
        <f t="shared" ca="1" si="0"/>
        <v>390</v>
      </c>
      <c r="E35" s="10">
        <f t="shared" ca="1" si="1"/>
        <v>218</v>
      </c>
      <c r="F35" s="10">
        <f t="shared" ca="1" si="2"/>
        <v>60</v>
      </c>
      <c r="G35" s="10">
        <f t="shared" ca="1" si="3"/>
        <v>112</v>
      </c>
      <c r="H35" s="10">
        <f t="shared" ca="1" si="4"/>
        <v>894</v>
      </c>
      <c r="I35" s="10">
        <f t="shared" ca="1" si="5"/>
        <v>468</v>
      </c>
      <c r="J35" s="10">
        <f t="shared" ca="1" si="6"/>
        <v>701</v>
      </c>
      <c r="K35" s="49">
        <f t="shared" ca="1" si="7"/>
        <v>0.59914529914529913</v>
      </c>
      <c r="L35" s="26">
        <f t="shared" ca="1" si="8"/>
        <v>2.2923076923076922</v>
      </c>
      <c r="M35" s="26">
        <f t="shared" ca="1" si="9"/>
        <v>1.2</v>
      </c>
      <c r="N35" s="10">
        <f t="shared" ca="1" si="10"/>
        <v>426</v>
      </c>
      <c r="O35">
        <f t="shared" si="11"/>
        <v>29</v>
      </c>
    </row>
    <row r="36" spans="1:15" x14ac:dyDescent="0.25">
      <c r="A36">
        <v>12</v>
      </c>
      <c r="B36">
        <v>10</v>
      </c>
      <c r="C36" s="4" t="s">
        <v>27</v>
      </c>
      <c r="D36" s="10">
        <f t="shared" ca="1" si="0"/>
        <v>390</v>
      </c>
      <c r="E36" s="10">
        <f t="shared" ca="1" si="1"/>
        <v>177</v>
      </c>
      <c r="F36" s="10">
        <f t="shared" ca="1" si="2"/>
        <v>78</v>
      </c>
      <c r="G36" s="10">
        <f t="shared" ca="1" si="3"/>
        <v>135</v>
      </c>
      <c r="H36" s="10">
        <f t="shared" ca="1" si="4"/>
        <v>761</v>
      </c>
      <c r="I36" s="10">
        <f t="shared" ca="1" si="5"/>
        <v>525</v>
      </c>
      <c r="J36" s="10">
        <f t="shared" ca="1" si="6"/>
        <v>609</v>
      </c>
      <c r="K36" s="49">
        <f t="shared" ca="1" si="7"/>
        <v>0.52051282051282055</v>
      </c>
      <c r="L36" s="26">
        <f t="shared" ca="1" si="8"/>
        <v>1.9512820512820512</v>
      </c>
      <c r="M36" s="26">
        <f t="shared" ca="1" si="9"/>
        <v>1.3461538461538463</v>
      </c>
      <c r="N36" s="10">
        <f t="shared" ca="1" si="10"/>
        <v>236</v>
      </c>
      <c r="O36">
        <f t="shared" si="11"/>
        <v>-2</v>
      </c>
    </row>
    <row r="37" spans="1:15" x14ac:dyDescent="0.25">
      <c r="A37">
        <v>13</v>
      </c>
      <c r="B37">
        <v>9</v>
      </c>
      <c r="C37" s="4" t="s">
        <v>4</v>
      </c>
      <c r="D37" s="10">
        <f t="shared" ca="1" si="0"/>
        <v>360</v>
      </c>
      <c r="E37" s="10">
        <f t="shared" ca="1" si="1"/>
        <v>178</v>
      </c>
      <c r="F37" s="10">
        <f t="shared" ca="1" si="2"/>
        <v>69</v>
      </c>
      <c r="G37" s="10">
        <f t="shared" ca="1" si="3"/>
        <v>113</v>
      </c>
      <c r="H37" s="10">
        <f t="shared" ca="1" si="4"/>
        <v>647</v>
      </c>
      <c r="I37" s="10">
        <f t="shared" ca="1" si="5"/>
        <v>438</v>
      </c>
      <c r="J37" s="10">
        <f t="shared" ca="1" si="6"/>
        <v>603</v>
      </c>
      <c r="K37" s="49">
        <f t="shared" ca="1" si="7"/>
        <v>0.55833333333333335</v>
      </c>
      <c r="L37" s="26">
        <f t="shared" ca="1" si="8"/>
        <v>1.7972222222222223</v>
      </c>
      <c r="M37" s="26">
        <f t="shared" ca="1" si="9"/>
        <v>1.2166666666666666</v>
      </c>
      <c r="N37" s="10">
        <f t="shared" ca="1" si="10"/>
        <v>209</v>
      </c>
      <c r="O37">
        <f t="shared" si="11"/>
        <v>-4</v>
      </c>
    </row>
    <row r="38" spans="1:15" x14ac:dyDescent="0.25">
      <c r="A38">
        <v>14</v>
      </c>
      <c r="B38">
        <v>12</v>
      </c>
      <c r="C38" s="4" t="s">
        <v>23</v>
      </c>
      <c r="D38" s="10">
        <f t="shared" ca="1" si="0"/>
        <v>300</v>
      </c>
      <c r="E38" s="10">
        <f t="shared" ca="1" si="1"/>
        <v>174</v>
      </c>
      <c r="F38" s="10">
        <f t="shared" ca="1" si="2"/>
        <v>61</v>
      </c>
      <c r="G38" s="10">
        <f t="shared" ca="1" si="3"/>
        <v>65</v>
      </c>
      <c r="H38" s="10">
        <f t="shared" ca="1" si="4"/>
        <v>650</v>
      </c>
      <c r="I38" s="10">
        <f t="shared" ca="1" si="5"/>
        <v>287</v>
      </c>
      <c r="J38" s="10">
        <f t="shared" ca="1" si="6"/>
        <v>583</v>
      </c>
      <c r="K38" s="49">
        <f t="shared" ca="1" si="7"/>
        <v>0.64777777777777779</v>
      </c>
      <c r="L38" s="26">
        <f t="shared" ca="1" si="8"/>
        <v>2.1666666666666665</v>
      </c>
      <c r="M38" s="26">
        <f t="shared" ca="1" si="9"/>
        <v>0.95666666666666667</v>
      </c>
      <c r="N38" s="10">
        <f t="shared" ca="1" si="10"/>
        <v>363</v>
      </c>
      <c r="O38">
        <f t="shared" si="11"/>
        <v>-2</v>
      </c>
    </row>
    <row r="39" spans="1:15" x14ac:dyDescent="0.25">
      <c r="A39">
        <v>15</v>
      </c>
      <c r="B39">
        <v>13</v>
      </c>
      <c r="C39" s="4" t="s">
        <v>0</v>
      </c>
      <c r="D39" s="10">
        <f t="shared" ca="1" si="0"/>
        <v>300</v>
      </c>
      <c r="E39" s="10">
        <f t="shared" ca="1" si="1"/>
        <v>166</v>
      </c>
      <c r="F39" s="10">
        <f t="shared" ca="1" si="2"/>
        <v>62</v>
      </c>
      <c r="G39" s="10">
        <f t="shared" ca="1" si="3"/>
        <v>72</v>
      </c>
      <c r="H39" s="10">
        <f t="shared" ca="1" si="4"/>
        <v>605</v>
      </c>
      <c r="I39" s="10">
        <f t="shared" ca="1" si="5"/>
        <v>320</v>
      </c>
      <c r="J39" s="10">
        <f t="shared" ca="1" si="6"/>
        <v>560</v>
      </c>
      <c r="K39" s="49">
        <f t="shared" ca="1" si="7"/>
        <v>0.62222222222222223</v>
      </c>
      <c r="L39" s="26">
        <f t="shared" ca="1" si="8"/>
        <v>2.0166666666666666</v>
      </c>
      <c r="M39" s="26">
        <f t="shared" ca="1" si="9"/>
        <v>1.0666666666666667</v>
      </c>
      <c r="N39" s="10">
        <f t="shared" ca="1" si="10"/>
        <v>285</v>
      </c>
      <c r="O39">
        <f t="shared" si="11"/>
        <v>-2</v>
      </c>
    </row>
    <row r="40" spans="1:15" x14ac:dyDescent="0.25">
      <c r="A40">
        <v>16</v>
      </c>
      <c r="B40">
        <v>38</v>
      </c>
      <c r="C40" t="s">
        <v>130</v>
      </c>
      <c r="D40" s="10">
        <f t="shared" ca="1" si="0"/>
        <v>360</v>
      </c>
      <c r="E40" s="10">
        <f t="shared" ca="1" si="1"/>
        <v>170</v>
      </c>
      <c r="F40" s="10">
        <f t="shared" ca="1" si="2"/>
        <v>51</v>
      </c>
      <c r="G40" s="10">
        <f t="shared" ca="1" si="3"/>
        <v>139</v>
      </c>
      <c r="H40" s="10">
        <f t="shared" ca="1" si="4"/>
        <v>783</v>
      </c>
      <c r="I40" s="10">
        <f t="shared" ca="1" si="5"/>
        <v>546</v>
      </c>
      <c r="J40" s="10">
        <f t="shared" ca="1" si="6"/>
        <v>552</v>
      </c>
      <c r="K40" s="49">
        <f t="shared" ca="1" si="7"/>
        <v>0.51111111111111107</v>
      </c>
      <c r="L40" s="26">
        <f t="shared" ca="1" si="8"/>
        <v>2.1749999999999998</v>
      </c>
      <c r="M40" s="26">
        <f t="shared" ca="1" si="9"/>
        <v>1.5166666666666666</v>
      </c>
      <c r="N40" s="10">
        <f t="shared" ca="1" si="10"/>
        <v>237</v>
      </c>
      <c r="O40">
        <f t="shared" si="11"/>
        <v>22</v>
      </c>
    </row>
    <row r="41" spans="1:15" x14ac:dyDescent="0.25">
      <c r="A41">
        <v>17</v>
      </c>
      <c r="B41">
        <v>14</v>
      </c>
      <c r="C41" s="4" t="s">
        <v>51</v>
      </c>
      <c r="D41" s="10">
        <f t="shared" ca="1" si="0"/>
        <v>270</v>
      </c>
      <c r="E41" s="10">
        <f t="shared" ca="1" si="1"/>
        <v>160</v>
      </c>
      <c r="F41" s="10">
        <f t="shared" ca="1" si="2"/>
        <v>32</v>
      </c>
      <c r="G41" s="10">
        <f t="shared" ca="1" si="3"/>
        <v>78</v>
      </c>
      <c r="H41" s="10">
        <f t="shared" ca="1" si="4"/>
        <v>649</v>
      </c>
      <c r="I41" s="10">
        <f t="shared" ca="1" si="5"/>
        <v>301</v>
      </c>
      <c r="J41" s="10">
        <f t="shared" ca="1" si="6"/>
        <v>512</v>
      </c>
      <c r="K41" s="49">
        <f t="shared" ca="1" si="7"/>
        <v>0.63209876543209875</v>
      </c>
      <c r="L41" s="26">
        <f t="shared" ca="1" si="8"/>
        <v>2.4037037037037039</v>
      </c>
      <c r="M41" s="26">
        <f t="shared" ca="1" si="9"/>
        <v>1.1148148148148149</v>
      </c>
      <c r="N41" s="10">
        <f t="shared" ca="1" si="10"/>
        <v>348</v>
      </c>
      <c r="O41">
        <f t="shared" si="11"/>
        <v>-3</v>
      </c>
    </row>
    <row r="42" spans="1:15" x14ac:dyDescent="0.25">
      <c r="A42">
        <v>18</v>
      </c>
      <c r="B42">
        <v>16</v>
      </c>
      <c r="C42" s="4" t="s">
        <v>3</v>
      </c>
      <c r="D42" s="10">
        <f t="shared" ca="1" si="0"/>
        <v>330</v>
      </c>
      <c r="E42" s="10">
        <f t="shared" ca="1" si="1"/>
        <v>141</v>
      </c>
      <c r="F42" s="10">
        <f t="shared" ca="1" si="2"/>
        <v>76</v>
      </c>
      <c r="G42" s="10">
        <f t="shared" ca="1" si="3"/>
        <v>113</v>
      </c>
      <c r="H42" s="10">
        <f t="shared" ca="1" si="4"/>
        <v>523</v>
      </c>
      <c r="I42" s="10">
        <f t="shared" ca="1" si="5"/>
        <v>443</v>
      </c>
      <c r="J42" s="10">
        <f t="shared" ca="1" si="6"/>
        <v>499</v>
      </c>
      <c r="K42" s="49">
        <f t="shared" ca="1" si="7"/>
        <v>0.50404040404040407</v>
      </c>
      <c r="L42" s="26">
        <f t="shared" ca="1" si="8"/>
        <v>1.584848484848485</v>
      </c>
      <c r="M42" s="26">
        <f t="shared" ca="1" si="9"/>
        <v>1.3424242424242425</v>
      </c>
      <c r="N42" s="10">
        <f t="shared" ca="1" si="10"/>
        <v>80</v>
      </c>
      <c r="O42">
        <f t="shared" si="11"/>
        <v>-2</v>
      </c>
    </row>
    <row r="43" spans="1:15" x14ac:dyDescent="0.25">
      <c r="A43">
        <v>19</v>
      </c>
      <c r="B43">
        <v>59</v>
      </c>
      <c r="C43" t="s">
        <v>131</v>
      </c>
      <c r="D43" s="10">
        <f t="shared" ca="1" si="0"/>
        <v>270</v>
      </c>
      <c r="E43" s="10">
        <f t="shared" ca="1" si="1"/>
        <v>152</v>
      </c>
      <c r="F43" s="10">
        <f t="shared" ca="1" si="2"/>
        <v>35</v>
      </c>
      <c r="G43" s="10">
        <f t="shared" ca="1" si="3"/>
        <v>83</v>
      </c>
      <c r="H43" s="10">
        <f t="shared" ca="1" si="4"/>
        <v>664</v>
      </c>
      <c r="I43" s="10">
        <f t="shared" ca="1" si="5"/>
        <v>366</v>
      </c>
      <c r="J43" s="10">
        <f t="shared" ca="1" si="6"/>
        <v>491</v>
      </c>
      <c r="K43" s="49">
        <f t="shared" ca="1" si="7"/>
        <v>0.60617283950617284</v>
      </c>
      <c r="L43" s="26">
        <f t="shared" ca="1" si="8"/>
        <v>2.4592592592592593</v>
      </c>
      <c r="M43" s="26">
        <f t="shared" ca="1" si="9"/>
        <v>1.3555555555555556</v>
      </c>
      <c r="N43" s="10">
        <f t="shared" ca="1" si="10"/>
        <v>298</v>
      </c>
      <c r="O43">
        <f t="shared" si="11"/>
        <v>40</v>
      </c>
    </row>
    <row r="44" spans="1:15" x14ac:dyDescent="0.25">
      <c r="A44">
        <v>20</v>
      </c>
      <c r="B44">
        <v>17</v>
      </c>
      <c r="C44" s="4" t="s">
        <v>50</v>
      </c>
      <c r="D44" s="10">
        <f t="shared" ca="1" si="0"/>
        <v>360</v>
      </c>
      <c r="E44" s="10">
        <f t="shared" ca="1" si="1"/>
        <v>143</v>
      </c>
      <c r="F44" s="10">
        <f t="shared" ca="1" si="2"/>
        <v>45</v>
      </c>
      <c r="G44" s="10">
        <f t="shared" ca="1" si="3"/>
        <v>172</v>
      </c>
      <c r="H44" s="10">
        <f t="shared" ca="1" si="4"/>
        <v>549</v>
      </c>
      <c r="I44" s="10">
        <f t="shared" ca="1" si="5"/>
        <v>594</v>
      </c>
      <c r="J44" s="10">
        <f t="shared" ca="1" si="6"/>
        <v>474</v>
      </c>
      <c r="K44" s="49">
        <f t="shared" ca="1" si="7"/>
        <v>0.43888888888888888</v>
      </c>
      <c r="L44" s="26">
        <f t="shared" ca="1" si="8"/>
        <v>1.5249999999999999</v>
      </c>
      <c r="M44" s="26">
        <f t="shared" ca="1" si="9"/>
        <v>1.65</v>
      </c>
      <c r="N44" s="10">
        <f t="shared" ca="1" si="10"/>
        <v>-45</v>
      </c>
      <c r="O44">
        <f t="shared" si="11"/>
        <v>-3</v>
      </c>
    </row>
    <row r="45" spans="1:15" x14ac:dyDescent="0.25">
      <c r="A45">
        <v>21</v>
      </c>
      <c r="B45">
        <v>18</v>
      </c>
      <c r="C45" s="4" t="s">
        <v>6</v>
      </c>
      <c r="D45" s="10">
        <f t="shared" ca="1" si="0"/>
        <v>270</v>
      </c>
      <c r="E45" s="10">
        <f t="shared" ca="1" si="1"/>
        <v>111</v>
      </c>
      <c r="F45" s="10">
        <f t="shared" ca="1" si="2"/>
        <v>69</v>
      </c>
      <c r="G45" s="10">
        <f t="shared" ca="1" si="3"/>
        <v>90</v>
      </c>
      <c r="H45" s="10">
        <f t="shared" ca="1" si="4"/>
        <v>413</v>
      </c>
      <c r="I45" s="10">
        <f t="shared" ca="1" si="5"/>
        <v>354</v>
      </c>
      <c r="J45" s="10">
        <f t="shared" ca="1" si="6"/>
        <v>402</v>
      </c>
      <c r="K45" s="49">
        <f t="shared" ca="1" si="7"/>
        <v>0.49629629629629629</v>
      </c>
      <c r="L45" s="26">
        <f t="shared" ca="1" si="8"/>
        <v>1.5296296296296297</v>
      </c>
      <c r="M45" s="26">
        <f t="shared" ca="1" si="9"/>
        <v>1.3111111111111111</v>
      </c>
      <c r="N45" s="10">
        <f t="shared" ca="1" si="10"/>
        <v>59</v>
      </c>
      <c r="O45">
        <f t="shared" si="11"/>
        <v>-3</v>
      </c>
    </row>
    <row r="46" spans="1:15" x14ac:dyDescent="0.25">
      <c r="A46">
        <v>22</v>
      </c>
      <c r="B46">
        <v>29</v>
      </c>
      <c r="C46" s="4" t="s">
        <v>112</v>
      </c>
      <c r="D46" s="10">
        <f t="shared" ca="1" si="0"/>
        <v>270</v>
      </c>
      <c r="E46" s="10">
        <f t="shared" ca="1" si="1"/>
        <v>115</v>
      </c>
      <c r="F46" s="10">
        <f t="shared" ca="1" si="2"/>
        <v>36</v>
      </c>
      <c r="G46" s="10">
        <f t="shared" ca="1" si="3"/>
        <v>119</v>
      </c>
      <c r="H46" s="10">
        <f t="shared" ca="1" si="4"/>
        <v>410</v>
      </c>
      <c r="I46" s="10">
        <f t="shared" ca="1" si="5"/>
        <v>414</v>
      </c>
      <c r="J46" s="10">
        <f t="shared" ca="1" si="6"/>
        <v>395</v>
      </c>
      <c r="K46" s="49">
        <f t="shared" ca="1" si="7"/>
        <v>0.48765432098765432</v>
      </c>
      <c r="L46" s="26">
        <f t="shared" ca="1" si="8"/>
        <v>1.5185185185185186</v>
      </c>
      <c r="M46" s="26">
        <f t="shared" ca="1" si="9"/>
        <v>1.5333333333333334</v>
      </c>
      <c r="N46" s="10">
        <f t="shared" ca="1" si="10"/>
        <v>-4</v>
      </c>
      <c r="O46">
        <f t="shared" si="11"/>
        <v>7</v>
      </c>
    </row>
    <row r="47" spans="1:15" x14ac:dyDescent="0.25">
      <c r="A47">
        <v>23</v>
      </c>
      <c r="B47">
        <v>62</v>
      </c>
      <c r="C47" t="s">
        <v>146</v>
      </c>
      <c r="D47" s="10">
        <f t="shared" ca="1" si="0"/>
        <v>240</v>
      </c>
      <c r="E47" s="10">
        <f t="shared" ca="1" si="1"/>
        <v>110</v>
      </c>
      <c r="F47" s="10">
        <f t="shared" ca="1" si="2"/>
        <v>37</v>
      </c>
      <c r="G47" s="10">
        <f t="shared" ca="1" si="3"/>
        <v>93</v>
      </c>
      <c r="H47" s="10">
        <f t="shared" ca="1" si="4"/>
        <v>478</v>
      </c>
      <c r="I47" s="10">
        <f t="shared" ca="1" si="5"/>
        <v>372</v>
      </c>
      <c r="J47" s="10">
        <f t="shared" ca="1" si="6"/>
        <v>367</v>
      </c>
      <c r="K47" s="49">
        <f t="shared" ca="1" si="7"/>
        <v>0.50972222222222219</v>
      </c>
      <c r="L47" s="26">
        <f t="shared" ca="1" si="8"/>
        <v>1.9916666666666667</v>
      </c>
      <c r="M47" s="26">
        <f t="shared" ca="1" si="9"/>
        <v>1.55</v>
      </c>
      <c r="N47" s="10">
        <f t="shared" ca="1" si="10"/>
        <v>106</v>
      </c>
      <c r="O47">
        <f t="shared" si="11"/>
        <v>39</v>
      </c>
    </row>
    <row r="48" spans="1:15" x14ac:dyDescent="0.25">
      <c r="A48">
        <v>24</v>
      </c>
      <c r="B48">
        <v>19</v>
      </c>
      <c r="C48" s="4" t="s">
        <v>1</v>
      </c>
      <c r="D48" s="10">
        <f t="shared" ca="1" si="0"/>
        <v>240</v>
      </c>
      <c r="E48" s="10">
        <f t="shared" ca="1" si="1"/>
        <v>100</v>
      </c>
      <c r="F48" s="10">
        <f t="shared" ca="1" si="2"/>
        <v>63</v>
      </c>
      <c r="G48" s="10">
        <f t="shared" ca="1" si="3"/>
        <v>77</v>
      </c>
      <c r="H48" s="10">
        <f t="shared" ca="1" si="4"/>
        <v>373</v>
      </c>
      <c r="I48" s="10">
        <f t="shared" ca="1" si="5"/>
        <v>316</v>
      </c>
      <c r="J48" s="10">
        <f t="shared" ca="1" si="6"/>
        <v>363</v>
      </c>
      <c r="K48" s="49">
        <f t="shared" ca="1" si="7"/>
        <v>0.50416666666666665</v>
      </c>
      <c r="L48" s="26">
        <f t="shared" ca="1" si="8"/>
        <v>1.5541666666666667</v>
      </c>
      <c r="M48" s="26">
        <f t="shared" ca="1" si="9"/>
        <v>1.3166666666666667</v>
      </c>
      <c r="N48" s="10">
        <f t="shared" ca="1" si="10"/>
        <v>57</v>
      </c>
      <c r="O48">
        <f t="shared" si="11"/>
        <v>-5</v>
      </c>
    </row>
    <row r="49" spans="1:15" x14ac:dyDescent="0.25">
      <c r="A49">
        <v>25</v>
      </c>
      <c r="B49">
        <v>22</v>
      </c>
      <c r="C49" s="4" t="s">
        <v>56</v>
      </c>
      <c r="D49" s="10">
        <f t="shared" ca="1" si="0"/>
        <v>480</v>
      </c>
      <c r="E49" s="10">
        <f t="shared" ca="1" si="1"/>
        <v>96</v>
      </c>
      <c r="F49" s="10">
        <f t="shared" ca="1" si="2"/>
        <v>56</v>
      </c>
      <c r="G49" s="10">
        <f t="shared" ca="1" si="3"/>
        <v>328</v>
      </c>
      <c r="H49" s="10">
        <f t="shared" ca="1" si="4"/>
        <v>418</v>
      </c>
      <c r="I49" s="10">
        <f t="shared" ca="1" si="5"/>
        <v>1315</v>
      </c>
      <c r="J49" s="10">
        <f t="shared" ca="1" si="6"/>
        <v>344</v>
      </c>
      <c r="K49" s="49">
        <f t="shared" ca="1" si="7"/>
        <v>0.2388888888888889</v>
      </c>
      <c r="L49" s="26">
        <f t="shared" ca="1" si="8"/>
        <v>0.87083333333333335</v>
      </c>
      <c r="M49" s="26">
        <f t="shared" ca="1" si="9"/>
        <v>2.7395833333333335</v>
      </c>
      <c r="N49" s="10">
        <f t="shared" ca="1" si="10"/>
        <v>-897</v>
      </c>
      <c r="O49">
        <f t="shared" si="11"/>
        <v>-3</v>
      </c>
    </row>
    <row r="50" spans="1:15" x14ac:dyDescent="0.25">
      <c r="A50">
        <v>26</v>
      </c>
      <c r="B50">
        <v>25</v>
      </c>
      <c r="C50" s="4" t="s">
        <v>76</v>
      </c>
      <c r="D50" s="10">
        <f t="shared" ca="1" si="0"/>
        <v>360</v>
      </c>
      <c r="E50" s="10">
        <f t="shared" ca="1" si="1"/>
        <v>100</v>
      </c>
      <c r="F50" s="10">
        <f t="shared" ca="1" si="2"/>
        <v>43</v>
      </c>
      <c r="G50" s="10">
        <f t="shared" ca="1" si="3"/>
        <v>217</v>
      </c>
      <c r="H50" s="10">
        <f t="shared" ca="1" si="4"/>
        <v>466</v>
      </c>
      <c r="I50" s="10">
        <f t="shared" ca="1" si="5"/>
        <v>823</v>
      </c>
      <c r="J50" s="10">
        <f t="shared" ca="1" si="6"/>
        <v>343</v>
      </c>
      <c r="K50" s="49">
        <f t="shared" ca="1" si="7"/>
        <v>0.31759259259259259</v>
      </c>
      <c r="L50" s="26">
        <f t="shared" ca="1" si="8"/>
        <v>1.2944444444444445</v>
      </c>
      <c r="M50" s="26">
        <f t="shared" ca="1" si="9"/>
        <v>2.286111111111111</v>
      </c>
      <c r="N50" s="10">
        <f t="shared" ca="1" si="10"/>
        <v>-357</v>
      </c>
      <c r="O50">
        <f t="shared" si="11"/>
        <v>-1</v>
      </c>
    </row>
    <row r="51" spans="1:15" x14ac:dyDescent="0.25">
      <c r="A51">
        <v>27</v>
      </c>
      <c r="B51">
        <v>20</v>
      </c>
      <c r="C51" s="4" t="s">
        <v>52</v>
      </c>
      <c r="D51" s="10">
        <f t="shared" ca="1" si="0"/>
        <v>420</v>
      </c>
      <c r="E51" s="10">
        <f t="shared" ca="1" si="1"/>
        <v>95</v>
      </c>
      <c r="F51" s="10">
        <f t="shared" ca="1" si="2"/>
        <v>52</v>
      </c>
      <c r="G51" s="10">
        <f t="shared" ca="1" si="3"/>
        <v>273</v>
      </c>
      <c r="H51" s="10">
        <f t="shared" ca="1" si="4"/>
        <v>447</v>
      </c>
      <c r="I51" s="10">
        <f t="shared" ca="1" si="5"/>
        <v>1210</v>
      </c>
      <c r="J51" s="10">
        <f t="shared" ca="1" si="6"/>
        <v>337</v>
      </c>
      <c r="K51" s="49">
        <f t="shared" ca="1" si="7"/>
        <v>0.26746031746031745</v>
      </c>
      <c r="L51" s="26">
        <f t="shared" ca="1" si="8"/>
        <v>1.0642857142857143</v>
      </c>
      <c r="M51" s="26">
        <f t="shared" ca="1" si="9"/>
        <v>2.8809523809523809</v>
      </c>
      <c r="N51" s="10">
        <f t="shared" ca="1" si="10"/>
        <v>-763</v>
      </c>
      <c r="O51">
        <f t="shared" si="11"/>
        <v>-7</v>
      </c>
    </row>
    <row r="52" spans="1:15" x14ac:dyDescent="0.25">
      <c r="A52">
        <v>28</v>
      </c>
      <c r="B52">
        <v>21</v>
      </c>
      <c r="C52" s="4" t="s">
        <v>9</v>
      </c>
      <c r="D52" s="10">
        <f t="shared" ca="1" si="0"/>
        <v>300</v>
      </c>
      <c r="E52" s="10">
        <f t="shared" ca="1" si="1"/>
        <v>89</v>
      </c>
      <c r="F52" s="10">
        <f t="shared" ca="1" si="2"/>
        <v>67</v>
      </c>
      <c r="G52" s="10">
        <f t="shared" ca="1" si="3"/>
        <v>144</v>
      </c>
      <c r="H52" s="10">
        <f t="shared" ca="1" si="4"/>
        <v>417</v>
      </c>
      <c r="I52" s="10">
        <f t="shared" ca="1" si="5"/>
        <v>458</v>
      </c>
      <c r="J52" s="10">
        <f t="shared" ca="1" si="6"/>
        <v>334</v>
      </c>
      <c r="K52" s="49">
        <f t="shared" ca="1" si="7"/>
        <v>0.37111111111111111</v>
      </c>
      <c r="L52" s="26">
        <f t="shared" ca="1" si="8"/>
        <v>1.39</v>
      </c>
      <c r="M52" s="26">
        <f t="shared" ca="1" si="9"/>
        <v>1.5266666666666666</v>
      </c>
      <c r="N52" s="10">
        <f t="shared" ca="1" si="10"/>
        <v>-41</v>
      </c>
      <c r="O52">
        <f t="shared" si="11"/>
        <v>-7</v>
      </c>
    </row>
    <row r="53" spans="1:15" x14ac:dyDescent="0.25">
      <c r="A53">
        <v>29</v>
      </c>
      <c r="B53">
        <v>33</v>
      </c>
      <c r="C53" s="4" t="s">
        <v>68</v>
      </c>
      <c r="D53" s="10">
        <f t="shared" ca="1" si="0"/>
        <v>420</v>
      </c>
      <c r="E53" s="10">
        <f t="shared" ca="1" si="1"/>
        <v>86</v>
      </c>
      <c r="F53" s="10">
        <f t="shared" ca="1" si="2"/>
        <v>43</v>
      </c>
      <c r="G53" s="10">
        <f t="shared" ca="1" si="3"/>
        <v>291</v>
      </c>
      <c r="H53" s="10">
        <f t="shared" ca="1" si="4"/>
        <v>455</v>
      </c>
      <c r="I53" s="10">
        <f t="shared" ca="1" si="5"/>
        <v>1173</v>
      </c>
      <c r="J53" s="10">
        <f t="shared" ca="1" si="6"/>
        <v>296</v>
      </c>
      <c r="K53" s="49">
        <f t="shared" ca="1" si="7"/>
        <v>0.23492063492063492</v>
      </c>
      <c r="L53" s="26">
        <f t="shared" ca="1" si="8"/>
        <v>1.0833333333333333</v>
      </c>
      <c r="M53" s="26">
        <f t="shared" ca="1" si="9"/>
        <v>2.7928571428571427</v>
      </c>
      <c r="N53" s="10">
        <f t="shared" ca="1" si="10"/>
        <v>-718</v>
      </c>
      <c r="O53">
        <f t="shared" si="11"/>
        <v>4</v>
      </c>
    </row>
    <row r="54" spans="1:15" x14ac:dyDescent="0.25">
      <c r="A54">
        <v>30</v>
      </c>
      <c r="B54">
        <v>23</v>
      </c>
      <c r="C54" s="4" t="s">
        <v>25</v>
      </c>
      <c r="D54" s="10">
        <f t="shared" ca="1" si="0"/>
        <v>240</v>
      </c>
      <c r="E54" s="10">
        <f t="shared" ca="1" si="1"/>
        <v>77</v>
      </c>
      <c r="F54" s="10">
        <f t="shared" ca="1" si="2"/>
        <v>58</v>
      </c>
      <c r="G54" s="10">
        <f t="shared" ca="1" si="3"/>
        <v>105</v>
      </c>
      <c r="H54" s="10">
        <f t="shared" ca="1" si="4"/>
        <v>371</v>
      </c>
      <c r="I54" s="10">
        <f t="shared" ca="1" si="5"/>
        <v>387</v>
      </c>
      <c r="J54" s="10">
        <f t="shared" ca="1" si="6"/>
        <v>289</v>
      </c>
      <c r="K54" s="49">
        <f t="shared" ca="1" si="7"/>
        <v>0.40138888888888891</v>
      </c>
      <c r="L54" s="26">
        <f t="shared" ca="1" si="8"/>
        <v>1.5458333333333334</v>
      </c>
      <c r="M54" s="26">
        <f t="shared" ca="1" si="9"/>
        <v>1.6125</v>
      </c>
      <c r="N54" s="10">
        <f t="shared" ca="1" si="10"/>
        <v>-16</v>
      </c>
      <c r="O54">
        <f t="shared" si="11"/>
        <v>-7</v>
      </c>
    </row>
    <row r="55" spans="1:15" x14ac:dyDescent="0.25">
      <c r="A55">
        <v>31</v>
      </c>
      <c r="B55">
        <v>37</v>
      </c>
      <c r="C55" s="4" t="s">
        <v>115</v>
      </c>
      <c r="D55" s="10">
        <f t="shared" ca="1" si="0"/>
        <v>300</v>
      </c>
      <c r="E55" s="10">
        <f t="shared" ca="1" si="1"/>
        <v>86</v>
      </c>
      <c r="F55" s="10">
        <f t="shared" ca="1" si="2"/>
        <v>41</v>
      </c>
      <c r="G55" s="10">
        <f t="shared" ca="1" si="3"/>
        <v>173</v>
      </c>
      <c r="H55" s="10">
        <f t="shared" ca="1" si="4"/>
        <v>346</v>
      </c>
      <c r="I55" s="10">
        <f t="shared" ca="1" si="5"/>
        <v>629</v>
      </c>
      <c r="J55" s="10">
        <f t="shared" ca="1" si="6"/>
        <v>285</v>
      </c>
      <c r="K55" s="49">
        <f t="shared" ca="1" si="7"/>
        <v>0.31666666666666665</v>
      </c>
      <c r="L55" s="26">
        <f t="shared" ca="1" si="8"/>
        <v>1.1533333333333333</v>
      </c>
      <c r="M55" s="26">
        <f t="shared" ca="1" si="9"/>
        <v>2.0966666666666667</v>
      </c>
      <c r="N55" s="10">
        <f t="shared" ca="1" si="10"/>
        <v>-283</v>
      </c>
      <c r="O55">
        <f t="shared" si="11"/>
        <v>6</v>
      </c>
    </row>
    <row r="56" spans="1:15" x14ac:dyDescent="0.25">
      <c r="A56">
        <v>32</v>
      </c>
      <c r="B56">
        <v>24</v>
      </c>
      <c r="C56" s="4" t="s">
        <v>53</v>
      </c>
      <c r="D56" s="10">
        <f t="shared" ca="1" si="0"/>
        <v>270</v>
      </c>
      <c r="E56" s="10">
        <f t="shared" ca="1" si="1"/>
        <v>70</v>
      </c>
      <c r="F56" s="10">
        <f t="shared" ca="1" si="2"/>
        <v>45</v>
      </c>
      <c r="G56" s="10">
        <f t="shared" ca="1" si="3"/>
        <v>155</v>
      </c>
      <c r="H56" s="10">
        <f t="shared" ca="1" si="4"/>
        <v>295</v>
      </c>
      <c r="I56" s="10">
        <f t="shared" ca="1" si="5"/>
        <v>528</v>
      </c>
      <c r="J56" s="10">
        <f t="shared" ca="1" si="6"/>
        <v>255</v>
      </c>
      <c r="K56" s="49">
        <f t="shared" ca="1" si="7"/>
        <v>0.31481481481481483</v>
      </c>
      <c r="L56" s="26">
        <f t="shared" ca="1" si="8"/>
        <v>1.0925925925925926</v>
      </c>
      <c r="M56" s="26">
        <f t="shared" ca="1" si="9"/>
        <v>1.9555555555555555</v>
      </c>
      <c r="N56" s="10">
        <f t="shared" ca="1" si="10"/>
        <v>-233</v>
      </c>
      <c r="O56">
        <f t="shared" si="11"/>
        <v>-8</v>
      </c>
    </row>
    <row r="57" spans="1:15" x14ac:dyDescent="0.25">
      <c r="A57">
        <v>33</v>
      </c>
      <c r="B57">
        <v>67</v>
      </c>
      <c r="C57" s="4" t="s">
        <v>147</v>
      </c>
      <c r="D57" s="10">
        <f t="shared" ref="D57:D88" ca="1" si="12">SUMIF($C$103:$J$804,$C57,$D$103:$D$804)</f>
        <v>270</v>
      </c>
      <c r="E57" s="10">
        <f t="shared" ref="E57:E88" ca="1" si="13">SUMIF($C$103:$J$804,$C57,$E$103:$E$804)</f>
        <v>69</v>
      </c>
      <c r="F57" s="10">
        <f t="shared" ref="F57:F88" ca="1" si="14">SUMIF($C$103:$J$804,$C57,$F$103:$F$804)</f>
        <v>32</v>
      </c>
      <c r="G57" s="10">
        <f t="shared" ref="G57:G88" ca="1" si="15">SUMIF($C$103:$J$804,$C57,$G$103:$G$804)</f>
        <v>169</v>
      </c>
      <c r="H57" s="10">
        <f t="shared" ref="H57:H88" ca="1" si="16">SUMIF($C$103:$J$804,$C57,$H$103:$H$804)</f>
        <v>381</v>
      </c>
      <c r="I57" s="10">
        <f t="shared" ref="I57:I88" ca="1" si="17">SUMIF($C$103:$J$804,$C57,$I$103:$I$804)</f>
        <v>621</v>
      </c>
      <c r="J57" s="10">
        <f t="shared" ref="J57:J88" ca="1" si="18">SUMIF($C$103:$J$804,$C57,$J$103:$J$804)</f>
        <v>244</v>
      </c>
      <c r="K57" s="49">
        <f t="shared" ca="1" si="7"/>
        <v>0.3012345679012346</v>
      </c>
      <c r="L57" s="26">
        <f t="shared" ca="1" si="8"/>
        <v>1.4111111111111112</v>
      </c>
      <c r="M57" s="26">
        <f t="shared" ca="1" si="9"/>
        <v>2.2999999999999998</v>
      </c>
      <c r="N57" s="10">
        <f t="shared" ref="N57:N88" ca="1" si="19">H57-I57</f>
        <v>-240</v>
      </c>
      <c r="O57">
        <f t="shared" ref="O57:O98" si="20">B57-A57</f>
        <v>34</v>
      </c>
    </row>
    <row r="58" spans="1:15" x14ac:dyDescent="0.25">
      <c r="A58">
        <v>34</v>
      </c>
      <c r="B58">
        <v>26</v>
      </c>
      <c r="C58" s="4" t="s">
        <v>28</v>
      </c>
      <c r="D58" s="10">
        <f t="shared" ca="1" si="12"/>
        <v>180</v>
      </c>
      <c r="E58" s="10">
        <f t="shared" ca="1" si="13"/>
        <v>64</v>
      </c>
      <c r="F58" s="10">
        <f t="shared" ca="1" si="14"/>
        <v>37</v>
      </c>
      <c r="G58" s="10">
        <f t="shared" ca="1" si="15"/>
        <v>79</v>
      </c>
      <c r="H58" s="10">
        <f t="shared" ca="1" si="16"/>
        <v>222</v>
      </c>
      <c r="I58" s="10">
        <f t="shared" ca="1" si="17"/>
        <v>254</v>
      </c>
      <c r="J58" s="10">
        <f t="shared" ca="1" si="18"/>
        <v>229</v>
      </c>
      <c r="K58" s="49">
        <f t="shared" ca="1" si="7"/>
        <v>0.42407407407407405</v>
      </c>
      <c r="L58" s="26">
        <f t="shared" ca="1" si="8"/>
        <v>1.2333333333333334</v>
      </c>
      <c r="M58" s="26">
        <f t="shared" ca="1" si="9"/>
        <v>1.4111111111111112</v>
      </c>
      <c r="N58" s="10">
        <f t="shared" ca="1" si="19"/>
        <v>-32</v>
      </c>
      <c r="O58">
        <f t="shared" si="20"/>
        <v>-8</v>
      </c>
    </row>
    <row r="59" spans="1:15" x14ac:dyDescent="0.25">
      <c r="A59">
        <v>35</v>
      </c>
      <c r="B59">
        <v>49</v>
      </c>
      <c r="C59" s="4" t="s">
        <v>114</v>
      </c>
      <c r="D59" s="10">
        <f t="shared" ca="1" si="12"/>
        <v>210</v>
      </c>
      <c r="E59" s="10">
        <f t="shared" ca="1" si="13"/>
        <v>67</v>
      </c>
      <c r="F59" s="10">
        <f t="shared" ca="1" si="14"/>
        <v>25</v>
      </c>
      <c r="G59" s="10">
        <f t="shared" ca="1" si="15"/>
        <v>118</v>
      </c>
      <c r="H59" s="10">
        <f t="shared" ca="1" si="16"/>
        <v>313</v>
      </c>
      <c r="I59" s="10">
        <f t="shared" ca="1" si="17"/>
        <v>514</v>
      </c>
      <c r="J59" s="10">
        <f t="shared" ca="1" si="18"/>
        <v>226</v>
      </c>
      <c r="K59" s="49">
        <f t="shared" ca="1" si="7"/>
        <v>0.35873015873015873</v>
      </c>
      <c r="L59" s="26">
        <f t="shared" ca="1" si="8"/>
        <v>1.4904761904761905</v>
      </c>
      <c r="M59" s="26">
        <f t="shared" ca="1" si="9"/>
        <v>2.4476190476190478</v>
      </c>
      <c r="N59" s="10">
        <f t="shared" ca="1" si="19"/>
        <v>-201</v>
      </c>
      <c r="O59">
        <f t="shared" si="20"/>
        <v>14</v>
      </c>
    </row>
    <row r="60" spans="1:15" x14ac:dyDescent="0.25">
      <c r="A60">
        <v>36</v>
      </c>
      <c r="B60">
        <v>30</v>
      </c>
      <c r="C60" s="4" t="s">
        <v>73</v>
      </c>
      <c r="D60" s="10">
        <f t="shared" ca="1" si="12"/>
        <v>270</v>
      </c>
      <c r="E60" s="10">
        <f t="shared" ca="1" si="13"/>
        <v>60</v>
      </c>
      <c r="F60" s="10">
        <f t="shared" ca="1" si="14"/>
        <v>31</v>
      </c>
      <c r="G60" s="10">
        <f t="shared" ca="1" si="15"/>
        <v>179</v>
      </c>
      <c r="H60" s="10">
        <f t="shared" ca="1" si="16"/>
        <v>237</v>
      </c>
      <c r="I60" s="10">
        <f t="shared" ca="1" si="17"/>
        <v>748</v>
      </c>
      <c r="J60" s="10">
        <f t="shared" ca="1" si="18"/>
        <v>223</v>
      </c>
      <c r="K60" s="49">
        <f t="shared" ca="1" si="7"/>
        <v>0.27530864197530863</v>
      </c>
      <c r="L60" s="26">
        <f t="shared" ca="1" si="8"/>
        <v>0.87777777777777777</v>
      </c>
      <c r="M60" s="26">
        <f t="shared" ca="1" si="9"/>
        <v>2.7703703703703701</v>
      </c>
      <c r="N60" s="10">
        <f t="shared" ca="1" si="19"/>
        <v>-511</v>
      </c>
      <c r="O60">
        <f t="shared" si="20"/>
        <v>-6</v>
      </c>
    </row>
    <row r="61" spans="1:15" x14ac:dyDescent="0.25">
      <c r="A61">
        <v>37</v>
      </c>
      <c r="B61">
        <v>27</v>
      </c>
      <c r="C61" s="4" t="s">
        <v>55</v>
      </c>
      <c r="D61" s="10">
        <f t="shared" ca="1" si="12"/>
        <v>150</v>
      </c>
      <c r="E61" s="10">
        <f t="shared" ca="1" si="13"/>
        <v>64</v>
      </c>
      <c r="F61" s="10">
        <f t="shared" ca="1" si="14"/>
        <v>25</v>
      </c>
      <c r="G61" s="10">
        <f t="shared" ca="1" si="15"/>
        <v>61</v>
      </c>
      <c r="H61" s="10">
        <f t="shared" ca="1" si="16"/>
        <v>277</v>
      </c>
      <c r="I61" s="10">
        <f t="shared" ca="1" si="17"/>
        <v>231</v>
      </c>
      <c r="J61" s="10">
        <f t="shared" ca="1" si="18"/>
        <v>217</v>
      </c>
      <c r="K61" s="49">
        <f t="shared" ca="1" si="7"/>
        <v>0.48222222222222222</v>
      </c>
      <c r="L61" s="26">
        <f t="shared" ca="1" si="8"/>
        <v>1.8466666666666667</v>
      </c>
      <c r="M61" s="26">
        <f t="shared" ca="1" si="9"/>
        <v>1.54</v>
      </c>
      <c r="N61" s="10">
        <f t="shared" ca="1" si="19"/>
        <v>46</v>
      </c>
      <c r="O61">
        <f t="shared" si="20"/>
        <v>-10</v>
      </c>
    </row>
    <row r="62" spans="1:15" x14ac:dyDescent="0.25">
      <c r="A62">
        <v>38</v>
      </c>
      <c r="B62">
        <v>28</v>
      </c>
      <c r="C62" s="4" t="s">
        <v>7</v>
      </c>
      <c r="D62" s="10">
        <f t="shared" ca="1" si="12"/>
        <v>150</v>
      </c>
      <c r="E62" s="10">
        <f t="shared" ca="1" si="13"/>
        <v>59</v>
      </c>
      <c r="F62" s="10">
        <f t="shared" ca="1" si="14"/>
        <v>32</v>
      </c>
      <c r="G62" s="10">
        <f t="shared" ca="1" si="15"/>
        <v>59</v>
      </c>
      <c r="H62" s="10">
        <f t="shared" ca="1" si="16"/>
        <v>206</v>
      </c>
      <c r="I62" s="10">
        <f t="shared" ca="1" si="17"/>
        <v>185</v>
      </c>
      <c r="J62" s="10">
        <f t="shared" ca="1" si="18"/>
        <v>209</v>
      </c>
      <c r="K62" s="49">
        <f t="shared" ca="1" si="7"/>
        <v>0.46444444444444444</v>
      </c>
      <c r="L62" s="26">
        <f t="shared" ca="1" si="8"/>
        <v>1.3733333333333333</v>
      </c>
      <c r="M62" s="26">
        <f t="shared" ca="1" si="9"/>
        <v>1.2333333333333334</v>
      </c>
      <c r="N62" s="10">
        <f t="shared" ca="1" si="19"/>
        <v>21</v>
      </c>
      <c r="O62">
        <f t="shared" si="20"/>
        <v>-10</v>
      </c>
    </row>
    <row r="63" spans="1:15" x14ac:dyDescent="0.25">
      <c r="A63">
        <v>39</v>
      </c>
      <c r="B63">
        <v>31</v>
      </c>
      <c r="C63" s="4" t="s">
        <v>2</v>
      </c>
      <c r="D63" s="10">
        <f t="shared" ca="1" si="12"/>
        <v>180</v>
      </c>
      <c r="E63" s="10">
        <f t="shared" ca="1" si="13"/>
        <v>49</v>
      </c>
      <c r="F63" s="10">
        <f t="shared" ca="1" si="14"/>
        <v>46</v>
      </c>
      <c r="G63" s="10">
        <f t="shared" ca="1" si="15"/>
        <v>85</v>
      </c>
      <c r="H63" s="10">
        <f t="shared" ca="1" si="16"/>
        <v>250</v>
      </c>
      <c r="I63" s="10">
        <f t="shared" ca="1" si="17"/>
        <v>286</v>
      </c>
      <c r="J63" s="10">
        <f t="shared" ca="1" si="18"/>
        <v>193</v>
      </c>
      <c r="K63" s="49">
        <f t="shared" ca="1" si="7"/>
        <v>0.3574074074074074</v>
      </c>
      <c r="L63" s="26">
        <f t="shared" ca="1" si="8"/>
        <v>1.3888888888888888</v>
      </c>
      <c r="M63" s="26">
        <f t="shared" ca="1" si="9"/>
        <v>1.5888888888888888</v>
      </c>
      <c r="N63" s="10">
        <f t="shared" ca="1" si="19"/>
        <v>-36</v>
      </c>
      <c r="O63">
        <f t="shared" si="20"/>
        <v>-8</v>
      </c>
    </row>
    <row r="64" spans="1:15" x14ac:dyDescent="0.25">
      <c r="A64">
        <v>40</v>
      </c>
      <c r="B64">
        <v>32</v>
      </c>
      <c r="C64" s="4" t="s">
        <v>41</v>
      </c>
      <c r="D64" s="10">
        <f t="shared" ca="1" si="12"/>
        <v>180</v>
      </c>
      <c r="E64" s="10">
        <f t="shared" ca="1" si="13"/>
        <v>50</v>
      </c>
      <c r="F64" s="10">
        <f t="shared" ca="1" si="14"/>
        <v>28</v>
      </c>
      <c r="G64" s="10">
        <f t="shared" ca="1" si="15"/>
        <v>102</v>
      </c>
      <c r="H64" s="10">
        <f t="shared" ca="1" si="16"/>
        <v>295</v>
      </c>
      <c r="I64" s="10">
        <f t="shared" ca="1" si="17"/>
        <v>372</v>
      </c>
      <c r="J64" s="10">
        <f t="shared" ca="1" si="18"/>
        <v>178</v>
      </c>
      <c r="K64" s="49">
        <f t="shared" ca="1" si="7"/>
        <v>0.32962962962962961</v>
      </c>
      <c r="L64" s="26">
        <f t="shared" ca="1" si="8"/>
        <v>1.6388888888888888</v>
      </c>
      <c r="M64" s="26">
        <f t="shared" ca="1" si="9"/>
        <v>2.0666666666666669</v>
      </c>
      <c r="N64" s="10">
        <f t="shared" ca="1" si="19"/>
        <v>-77</v>
      </c>
      <c r="O64">
        <f t="shared" si="20"/>
        <v>-8</v>
      </c>
    </row>
    <row r="65" spans="1:15" x14ac:dyDescent="0.25">
      <c r="A65">
        <v>41</v>
      </c>
      <c r="B65">
        <v>34</v>
      </c>
      <c r="C65" s="4" t="s">
        <v>61</v>
      </c>
      <c r="D65" s="10">
        <f t="shared" ca="1" si="12"/>
        <v>150</v>
      </c>
      <c r="E65" s="10">
        <f t="shared" ca="1" si="13"/>
        <v>43</v>
      </c>
      <c r="F65" s="10">
        <f t="shared" ca="1" si="14"/>
        <v>21</v>
      </c>
      <c r="G65" s="10">
        <f t="shared" ca="1" si="15"/>
        <v>86</v>
      </c>
      <c r="H65" s="10">
        <f t="shared" ca="1" si="16"/>
        <v>161</v>
      </c>
      <c r="I65" s="10">
        <f t="shared" ca="1" si="17"/>
        <v>390</v>
      </c>
      <c r="J65" s="10">
        <f t="shared" ca="1" si="18"/>
        <v>150</v>
      </c>
      <c r="K65" s="49">
        <f t="shared" ca="1" si="7"/>
        <v>0.33333333333333331</v>
      </c>
      <c r="L65" s="26">
        <f t="shared" ca="1" si="8"/>
        <v>1.0733333333333333</v>
      </c>
      <c r="M65" s="26">
        <f t="shared" ca="1" si="9"/>
        <v>2.6</v>
      </c>
      <c r="N65" s="10">
        <f t="shared" ca="1" si="19"/>
        <v>-229</v>
      </c>
      <c r="O65">
        <f t="shared" si="20"/>
        <v>-7</v>
      </c>
    </row>
    <row r="66" spans="1:15" x14ac:dyDescent="0.25">
      <c r="A66">
        <v>42</v>
      </c>
      <c r="B66">
        <v>35</v>
      </c>
      <c r="C66" s="4" t="s">
        <v>5</v>
      </c>
      <c r="D66" s="10">
        <f t="shared" ca="1" si="12"/>
        <v>120</v>
      </c>
      <c r="E66" s="10">
        <f t="shared" ca="1" si="13"/>
        <v>39</v>
      </c>
      <c r="F66" s="10">
        <f t="shared" ca="1" si="14"/>
        <v>27</v>
      </c>
      <c r="G66" s="10">
        <f t="shared" ca="1" si="15"/>
        <v>54</v>
      </c>
      <c r="H66" s="10">
        <f t="shared" ca="1" si="16"/>
        <v>136</v>
      </c>
      <c r="I66" s="10">
        <f t="shared" ca="1" si="17"/>
        <v>168</v>
      </c>
      <c r="J66" s="10">
        <f t="shared" ca="1" si="18"/>
        <v>144</v>
      </c>
      <c r="K66" s="49">
        <f t="shared" ca="1" si="7"/>
        <v>0.4</v>
      </c>
      <c r="L66" s="26">
        <f t="shared" ca="1" si="8"/>
        <v>1.1333333333333333</v>
      </c>
      <c r="M66" s="26">
        <f t="shared" ca="1" si="9"/>
        <v>1.4</v>
      </c>
      <c r="N66" s="10">
        <f t="shared" ca="1" si="19"/>
        <v>-32</v>
      </c>
      <c r="O66">
        <f t="shared" si="20"/>
        <v>-7</v>
      </c>
    </row>
    <row r="67" spans="1:15" x14ac:dyDescent="0.25">
      <c r="A67">
        <v>43</v>
      </c>
      <c r="B67">
        <v>36</v>
      </c>
      <c r="C67" s="4" t="s">
        <v>17</v>
      </c>
      <c r="D67" s="10">
        <f t="shared" ca="1" si="12"/>
        <v>120</v>
      </c>
      <c r="E67" s="10">
        <f t="shared" ca="1" si="13"/>
        <v>35</v>
      </c>
      <c r="F67" s="10">
        <f t="shared" ca="1" si="14"/>
        <v>34</v>
      </c>
      <c r="G67" s="10">
        <f t="shared" ca="1" si="15"/>
        <v>51</v>
      </c>
      <c r="H67" s="10">
        <f t="shared" ca="1" si="16"/>
        <v>123</v>
      </c>
      <c r="I67" s="10">
        <f t="shared" ca="1" si="17"/>
        <v>169</v>
      </c>
      <c r="J67" s="10">
        <f t="shared" ca="1" si="18"/>
        <v>139</v>
      </c>
      <c r="K67" s="49">
        <f t="shared" ca="1" si="7"/>
        <v>0.38611111111111113</v>
      </c>
      <c r="L67" s="26">
        <f t="shared" ca="1" si="8"/>
        <v>1.0249999999999999</v>
      </c>
      <c r="M67" s="26">
        <f t="shared" ca="1" si="9"/>
        <v>1.4083333333333334</v>
      </c>
      <c r="N67" s="10">
        <f t="shared" ca="1" si="19"/>
        <v>-46</v>
      </c>
      <c r="O67">
        <f t="shared" si="20"/>
        <v>-7</v>
      </c>
    </row>
    <row r="68" spans="1:15" x14ac:dyDescent="0.25">
      <c r="A68">
        <v>44</v>
      </c>
      <c r="B68">
        <v>39</v>
      </c>
      <c r="C68" s="4" t="s">
        <v>47</v>
      </c>
      <c r="D68" s="10">
        <f t="shared" ca="1" si="12"/>
        <v>90</v>
      </c>
      <c r="E68" s="10">
        <f t="shared" ca="1" si="13"/>
        <v>35</v>
      </c>
      <c r="F68" s="10">
        <f t="shared" ca="1" si="14"/>
        <v>12</v>
      </c>
      <c r="G68" s="10">
        <f t="shared" ca="1" si="15"/>
        <v>43</v>
      </c>
      <c r="H68" s="10">
        <f t="shared" ca="1" si="16"/>
        <v>212</v>
      </c>
      <c r="I68" s="10">
        <f t="shared" ca="1" si="17"/>
        <v>153</v>
      </c>
      <c r="J68" s="10">
        <f t="shared" ca="1" si="18"/>
        <v>117</v>
      </c>
      <c r="K68" s="49">
        <f t="shared" ca="1" si="7"/>
        <v>0.43333333333333335</v>
      </c>
      <c r="L68" s="26">
        <f t="shared" ca="1" si="8"/>
        <v>2.3555555555555556</v>
      </c>
      <c r="M68" s="26">
        <f t="shared" ca="1" si="9"/>
        <v>1.7</v>
      </c>
      <c r="N68" s="10">
        <f t="shared" ca="1" si="19"/>
        <v>59</v>
      </c>
      <c r="O68">
        <f t="shared" si="20"/>
        <v>-5</v>
      </c>
    </row>
    <row r="69" spans="1:15" x14ac:dyDescent="0.25">
      <c r="A69">
        <v>45</v>
      </c>
      <c r="B69">
        <v>41</v>
      </c>
      <c r="C69" s="4" t="s">
        <v>13</v>
      </c>
      <c r="D69" s="10">
        <f t="shared" ca="1" si="12"/>
        <v>120</v>
      </c>
      <c r="E69" s="10">
        <f t="shared" ca="1" si="13"/>
        <v>24</v>
      </c>
      <c r="F69" s="10">
        <f t="shared" ca="1" si="14"/>
        <v>30</v>
      </c>
      <c r="G69" s="10">
        <f t="shared" ca="1" si="15"/>
        <v>66</v>
      </c>
      <c r="H69" s="10">
        <f t="shared" ca="1" si="16"/>
        <v>118</v>
      </c>
      <c r="I69" s="10">
        <f t="shared" ca="1" si="17"/>
        <v>190</v>
      </c>
      <c r="J69" s="10">
        <f t="shared" ca="1" si="18"/>
        <v>102</v>
      </c>
      <c r="K69" s="49">
        <f t="shared" ca="1" si="7"/>
        <v>0.28333333333333333</v>
      </c>
      <c r="L69" s="26">
        <f t="shared" ca="1" si="8"/>
        <v>0.98333333333333328</v>
      </c>
      <c r="M69" s="26">
        <f t="shared" ca="1" si="9"/>
        <v>1.5833333333333333</v>
      </c>
      <c r="N69" s="10">
        <f t="shared" ca="1" si="19"/>
        <v>-72</v>
      </c>
      <c r="O69">
        <f t="shared" si="20"/>
        <v>-4</v>
      </c>
    </row>
    <row r="70" spans="1:15" x14ac:dyDescent="0.25">
      <c r="A70">
        <v>46</v>
      </c>
      <c r="B70">
        <v>42</v>
      </c>
      <c r="C70" s="4" t="s">
        <v>38</v>
      </c>
      <c r="D70" s="10">
        <f t="shared" ca="1" si="12"/>
        <v>120</v>
      </c>
      <c r="E70" s="10">
        <f t="shared" ca="1" si="13"/>
        <v>29</v>
      </c>
      <c r="F70" s="10">
        <f t="shared" ca="1" si="14"/>
        <v>11</v>
      </c>
      <c r="G70" s="10">
        <f t="shared" ca="1" si="15"/>
        <v>80</v>
      </c>
      <c r="H70" s="10">
        <f t="shared" ca="1" si="16"/>
        <v>138</v>
      </c>
      <c r="I70" s="10">
        <f t="shared" ca="1" si="17"/>
        <v>322</v>
      </c>
      <c r="J70" s="10">
        <f t="shared" ca="1" si="18"/>
        <v>98</v>
      </c>
      <c r="K70" s="49">
        <f t="shared" ca="1" si="7"/>
        <v>0.2722222222222222</v>
      </c>
      <c r="L70" s="26">
        <f t="shared" ca="1" si="8"/>
        <v>1.1499999999999999</v>
      </c>
      <c r="M70" s="26">
        <f t="shared" ca="1" si="9"/>
        <v>2.6833333333333331</v>
      </c>
      <c r="N70" s="10">
        <f t="shared" ca="1" si="19"/>
        <v>-184</v>
      </c>
      <c r="O70">
        <f t="shared" si="20"/>
        <v>-4</v>
      </c>
    </row>
    <row r="71" spans="1:15" x14ac:dyDescent="0.25">
      <c r="A71">
        <v>47</v>
      </c>
      <c r="B71">
        <v>43</v>
      </c>
      <c r="C71" s="4" t="s">
        <v>10</v>
      </c>
      <c r="D71" s="10">
        <f t="shared" ca="1" si="12"/>
        <v>90</v>
      </c>
      <c r="E71" s="10">
        <f t="shared" ca="1" si="13"/>
        <v>23</v>
      </c>
      <c r="F71" s="10">
        <f t="shared" ca="1" si="14"/>
        <v>22</v>
      </c>
      <c r="G71" s="10">
        <f t="shared" ca="1" si="15"/>
        <v>45</v>
      </c>
      <c r="H71" s="10">
        <f t="shared" ca="1" si="16"/>
        <v>98</v>
      </c>
      <c r="I71" s="10">
        <f t="shared" ca="1" si="17"/>
        <v>143</v>
      </c>
      <c r="J71" s="10">
        <f t="shared" ca="1" si="18"/>
        <v>91</v>
      </c>
      <c r="K71" s="49">
        <f t="shared" ca="1" si="7"/>
        <v>0.33703703703703702</v>
      </c>
      <c r="L71" s="26">
        <f t="shared" ca="1" si="8"/>
        <v>1.0888888888888888</v>
      </c>
      <c r="M71" s="26">
        <f t="shared" ca="1" si="9"/>
        <v>1.5888888888888888</v>
      </c>
      <c r="N71" s="10">
        <f t="shared" ca="1" si="19"/>
        <v>-45</v>
      </c>
      <c r="O71">
        <f t="shared" si="20"/>
        <v>-4</v>
      </c>
    </row>
    <row r="72" spans="1:15" x14ac:dyDescent="0.25">
      <c r="A72">
        <v>48</v>
      </c>
      <c r="B72">
        <v>69</v>
      </c>
      <c r="C72" s="4" t="s">
        <v>158</v>
      </c>
      <c r="D72" s="10">
        <f t="shared" ca="1" si="12"/>
        <v>120</v>
      </c>
      <c r="E72" s="10">
        <f t="shared" ca="1" si="13"/>
        <v>25</v>
      </c>
      <c r="F72" s="10">
        <f t="shared" ca="1" si="14"/>
        <v>11</v>
      </c>
      <c r="G72" s="10">
        <f t="shared" ca="1" si="15"/>
        <v>84</v>
      </c>
      <c r="H72" s="10">
        <f t="shared" ca="1" si="16"/>
        <v>154</v>
      </c>
      <c r="I72" s="10">
        <f t="shared" ca="1" si="17"/>
        <v>329</v>
      </c>
      <c r="J72" s="10">
        <f t="shared" ca="1" si="18"/>
        <v>86</v>
      </c>
      <c r="K72" s="49">
        <f t="shared" ref="K72" ca="1" si="21">J72/(D72*3)</f>
        <v>0.2388888888888889</v>
      </c>
      <c r="L72" s="26">
        <f t="shared" ref="L72" ca="1" si="22">H72/D72</f>
        <v>1.2833333333333334</v>
      </c>
      <c r="M72" s="26">
        <f t="shared" ref="M72" ca="1" si="23">I72/D72</f>
        <v>2.7416666666666667</v>
      </c>
      <c r="N72" s="10">
        <f t="shared" ca="1" si="19"/>
        <v>-175</v>
      </c>
      <c r="O72">
        <f t="shared" si="20"/>
        <v>21</v>
      </c>
    </row>
    <row r="73" spans="1:15" x14ac:dyDescent="0.25">
      <c r="A73">
        <v>49</v>
      </c>
      <c r="B73">
        <v>44</v>
      </c>
      <c r="C73" s="4" t="s">
        <v>95</v>
      </c>
      <c r="D73" s="10">
        <f t="shared" ca="1" si="12"/>
        <v>90</v>
      </c>
      <c r="E73" s="10">
        <f t="shared" ca="1" si="13"/>
        <v>26</v>
      </c>
      <c r="F73" s="10">
        <f t="shared" ca="1" si="14"/>
        <v>6</v>
      </c>
      <c r="G73" s="10">
        <f t="shared" ca="1" si="15"/>
        <v>58</v>
      </c>
      <c r="H73" s="10">
        <f t="shared" ca="1" si="16"/>
        <v>119</v>
      </c>
      <c r="I73" s="10">
        <f t="shared" ca="1" si="17"/>
        <v>263</v>
      </c>
      <c r="J73" s="10">
        <f t="shared" ca="1" si="18"/>
        <v>84</v>
      </c>
      <c r="K73" s="49">
        <f ca="1">J73/(D73*3)</f>
        <v>0.31111111111111112</v>
      </c>
      <c r="L73" s="26">
        <f ca="1">H73/D73</f>
        <v>1.3222222222222222</v>
      </c>
      <c r="M73" s="26">
        <f ca="1">I73/D73</f>
        <v>2.9222222222222221</v>
      </c>
      <c r="N73" s="10">
        <f t="shared" ca="1" si="19"/>
        <v>-144</v>
      </c>
      <c r="O73">
        <f t="shared" si="20"/>
        <v>-5</v>
      </c>
    </row>
    <row r="74" spans="1:15" x14ac:dyDescent="0.25">
      <c r="A74">
        <v>50</v>
      </c>
      <c r="B74">
        <v>45</v>
      </c>
      <c r="C74" s="4" t="s">
        <v>30</v>
      </c>
      <c r="D74" s="10">
        <f t="shared" ca="1" si="12"/>
        <v>90</v>
      </c>
      <c r="E74" s="10">
        <f t="shared" ca="1" si="13"/>
        <v>21</v>
      </c>
      <c r="F74" s="10">
        <f t="shared" ca="1" si="14"/>
        <v>21</v>
      </c>
      <c r="G74" s="10">
        <f t="shared" ca="1" si="15"/>
        <v>48</v>
      </c>
      <c r="H74" s="10">
        <f t="shared" ca="1" si="16"/>
        <v>87</v>
      </c>
      <c r="I74" s="10">
        <f t="shared" ca="1" si="17"/>
        <v>133</v>
      </c>
      <c r="J74" s="10">
        <f t="shared" ca="1" si="18"/>
        <v>84</v>
      </c>
      <c r="K74" s="49">
        <f ca="1">J74/(D74*3)</f>
        <v>0.31111111111111112</v>
      </c>
      <c r="L74" s="26">
        <f ca="1">H74/D74</f>
        <v>0.96666666666666667</v>
      </c>
      <c r="M74" s="26">
        <f ca="1">I74/D74</f>
        <v>1.4777777777777779</v>
      </c>
      <c r="N74" s="10">
        <f t="shared" ca="1" si="19"/>
        <v>-46</v>
      </c>
      <c r="O74">
        <f t="shared" si="20"/>
        <v>-5</v>
      </c>
    </row>
    <row r="75" spans="1:15" x14ac:dyDescent="0.25">
      <c r="A75">
        <v>51</v>
      </c>
      <c r="B75">
        <v>68</v>
      </c>
      <c r="C75" s="4" t="s">
        <v>156</v>
      </c>
      <c r="D75" s="10">
        <f t="shared" ca="1" si="12"/>
        <v>95</v>
      </c>
      <c r="E75" s="10">
        <f t="shared" ca="1" si="13"/>
        <v>23</v>
      </c>
      <c r="F75" s="10">
        <f t="shared" ca="1" si="14"/>
        <v>15</v>
      </c>
      <c r="G75" s="10">
        <f t="shared" ca="1" si="15"/>
        <v>57</v>
      </c>
      <c r="H75" s="10">
        <f t="shared" ca="1" si="16"/>
        <v>115</v>
      </c>
      <c r="I75" s="10">
        <f t="shared" ca="1" si="17"/>
        <v>221</v>
      </c>
      <c r="J75" s="10">
        <f t="shared" ca="1" si="18"/>
        <v>84</v>
      </c>
      <c r="K75" s="49">
        <f ca="1">J75/(D75*3)</f>
        <v>0.29473684210526313</v>
      </c>
      <c r="L75" s="26">
        <f ca="1">H75/D75</f>
        <v>1.2105263157894737</v>
      </c>
      <c r="M75" s="26">
        <f ca="1">I75/D75</f>
        <v>2.3263157894736843</v>
      </c>
      <c r="N75" s="10">
        <f t="shared" ca="1" si="19"/>
        <v>-106</v>
      </c>
      <c r="O75">
        <f t="shared" si="20"/>
        <v>17</v>
      </c>
    </row>
    <row r="76" spans="1:15" x14ac:dyDescent="0.25">
      <c r="A76">
        <v>52</v>
      </c>
      <c r="B76">
        <v>72</v>
      </c>
      <c r="C76" s="4" t="s">
        <v>166</v>
      </c>
      <c r="D76" s="10">
        <f t="shared" ca="1" si="12"/>
        <v>60</v>
      </c>
      <c r="E76" s="10">
        <f t="shared" ca="1" si="13"/>
        <v>21</v>
      </c>
      <c r="F76" s="10">
        <f t="shared" ca="1" si="14"/>
        <v>5</v>
      </c>
      <c r="G76" s="10">
        <f t="shared" ca="1" si="15"/>
        <v>34</v>
      </c>
      <c r="H76" s="10">
        <f t="shared" ca="1" si="16"/>
        <v>105</v>
      </c>
      <c r="I76" s="10">
        <f t="shared" ca="1" si="17"/>
        <v>161</v>
      </c>
      <c r="J76" s="10">
        <f t="shared" ca="1" si="18"/>
        <v>68</v>
      </c>
      <c r="K76" s="49">
        <f t="shared" ref="K76" ca="1" si="24">J76/(D76*3)</f>
        <v>0.37777777777777777</v>
      </c>
      <c r="L76" s="26">
        <f t="shared" ref="L76" ca="1" si="25">H76/D76</f>
        <v>1.75</v>
      </c>
      <c r="M76" s="26">
        <f t="shared" ref="M76" ca="1" si="26">I76/D76</f>
        <v>2.6833333333333331</v>
      </c>
      <c r="N76" s="10">
        <f t="shared" ca="1" si="19"/>
        <v>-56</v>
      </c>
      <c r="O76">
        <f t="shared" si="20"/>
        <v>20</v>
      </c>
    </row>
    <row r="77" spans="1:15" x14ac:dyDescent="0.25">
      <c r="A77">
        <v>53</v>
      </c>
      <c r="B77">
        <v>46</v>
      </c>
      <c r="C77" s="4" t="s">
        <v>48</v>
      </c>
      <c r="D77" s="10">
        <f t="shared" ca="1" si="12"/>
        <v>60</v>
      </c>
      <c r="E77" s="10">
        <f t="shared" ca="1" si="13"/>
        <v>18</v>
      </c>
      <c r="F77" s="10">
        <f t="shared" ca="1" si="14"/>
        <v>13</v>
      </c>
      <c r="G77" s="10">
        <f t="shared" ca="1" si="15"/>
        <v>29</v>
      </c>
      <c r="H77" s="10">
        <f t="shared" ca="1" si="16"/>
        <v>116</v>
      </c>
      <c r="I77" s="10">
        <f t="shared" ca="1" si="17"/>
        <v>114</v>
      </c>
      <c r="J77" s="10">
        <f t="shared" ca="1" si="18"/>
        <v>67</v>
      </c>
      <c r="K77" s="49">
        <f ca="1">J77/(D77*3)</f>
        <v>0.37222222222222223</v>
      </c>
      <c r="L77" s="26">
        <f ca="1">H77/D77</f>
        <v>1.9333333333333333</v>
      </c>
      <c r="M77" s="26">
        <f ca="1">I77/D77</f>
        <v>1.9</v>
      </c>
      <c r="N77" s="10">
        <f t="shared" ca="1" si="19"/>
        <v>2</v>
      </c>
      <c r="O77">
        <f t="shared" si="20"/>
        <v>-7</v>
      </c>
    </row>
    <row r="78" spans="1:15" x14ac:dyDescent="0.25">
      <c r="A78">
        <v>54</v>
      </c>
      <c r="B78">
        <v>70</v>
      </c>
      <c r="C78" s="4" t="s">
        <v>161</v>
      </c>
      <c r="D78" s="10">
        <f t="shared" ca="1" si="12"/>
        <v>90</v>
      </c>
      <c r="E78" s="10">
        <f t="shared" ca="1" si="13"/>
        <v>15</v>
      </c>
      <c r="F78" s="10">
        <f t="shared" ca="1" si="14"/>
        <v>12</v>
      </c>
      <c r="G78" s="10">
        <f t="shared" ca="1" si="15"/>
        <v>63</v>
      </c>
      <c r="H78" s="10">
        <f t="shared" ca="1" si="16"/>
        <v>70</v>
      </c>
      <c r="I78" s="10">
        <f t="shared" ca="1" si="17"/>
        <v>199</v>
      </c>
      <c r="J78" s="10">
        <f t="shared" ca="1" si="18"/>
        <v>57</v>
      </c>
      <c r="K78" s="49">
        <f t="shared" ref="K78" ca="1" si="27">J78/(D78*3)</f>
        <v>0.21111111111111111</v>
      </c>
      <c r="L78" s="26">
        <f t="shared" ref="L78" ca="1" si="28">H78/D78</f>
        <v>0.77777777777777779</v>
      </c>
      <c r="M78" s="26">
        <f t="shared" ref="M78" ca="1" si="29">I78/D78</f>
        <v>2.2111111111111112</v>
      </c>
      <c r="N78" s="10">
        <f t="shared" ca="1" si="19"/>
        <v>-129</v>
      </c>
      <c r="O78">
        <f t="shared" si="20"/>
        <v>16</v>
      </c>
    </row>
    <row r="79" spans="1:15" x14ac:dyDescent="0.25">
      <c r="A79">
        <v>55</v>
      </c>
      <c r="B79">
        <v>47</v>
      </c>
      <c r="C79" s="4" t="s">
        <v>67</v>
      </c>
      <c r="D79" s="10">
        <f t="shared" ca="1" si="12"/>
        <v>60</v>
      </c>
      <c r="E79" s="10">
        <f t="shared" ca="1" si="13"/>
        <v>14</v>
      </c>
      <c r="F79" s="10">
        <f t="shared" ca="1" si="14"/>
        <v>12</v>
      </c>
      <c r="G79" s="10">
        <f t="shared" ca="1" si="15"/>
        <v>34</v>
      </c>
      <c r="H79" s="10">
        <f t="shared" ca="1" si="16"/>
        <v>48</v>
      </c>
      <c r="I79" s="10">
        <f t="shared" ca="1" si="17"/>
        <v>126</v>
      </c>
      <c r="J79" s="10">
        <f t="shared" ca="1" si="18"/>
        <v>54</v>
      </c>
      <c r="K79" s="49">
        <f ca="1">J79/(D79*3)</f>
        <v>0.3</v>
      </c>
      <c r="L79" s="26">
        <f ca="1">H79/D79</f>
        <v>0.8</v>
      </c>
      <c r="M79" s="26">
        <f ca="1">I79/D79</f>
        <v>2.1</v>
      </c>
      <c r="N79" s="10">
        <f t="shared" ca="1" si="19"/>
        <v>-78</v>
      </c>
      <c r="O79">
        <f t="shared" si="20"/>
        <v>-8</v>
      </c>
    </row>
    <row r="80" spans="1:15" x14ac:dyDescent="0.25">
      <c r="A80">
        <v>56</v>
      </c>
      <c r="B80">
        <v>48</v>
      </c>
      <c r="C80" s="4" t="s">
        <v>36</v>
      </c>
      <c r="D80" s="10">
        <f t="shared" ca="1" si="12"/>
        <v>60</v>
      </c>
      <c r="E80" s="10">
        <f t="shared" ca="1" si="13"/>
        <v>13</v>
      </c>
      <c r="F80" s="10">
        <f t="shared" ca="1" si="14"/>
        <v>14</v>
      </c>
      <c r="G80" s="10">
        <f t="shared" ca="1" si="15"/>
        <v>33</v>
      </c>
      <c r="H80" s="10">
        <f t="shared" ca="1" si="16"/>
        <v>78</v>
      </c>
      <c r="I80" s="10">
        <f t="shared" ca="1" si="17"/>
        <v>109</v>
      </c>
      <c r="J80" s="10">
        <f t="shared" ca="1" si="18"/>
        <v>53</v>
      </c>
      <c r="K80" s="49">
        <f ca="1">J80/(D80*3)</f>
        <v>0.29444444444444445</v>
      </c>
      <c r="L80" s="26">
        <f ca="1">H80/D80</f>
        <v>1.3</v>
      </c>
      <c r="M80" s="26">
        <f ca="1">I80/D80</f>
        <v>1.8166666666666667</v>
      </c>
      <c r="N80" s="10">
        <f t="shared" ca="1" si="19"/>
        <v>-31</v>
      </c>
      <c r="O80">
        <f t="shared" si="20"/>
        <v>-8</v>
      </c>
    </row>
    <row r="81" spans="1:15" x14ac:dyDescent="0.25">
      <c r="A81">
        <v>57</v>
      </c>
      <c r="B81">
        <v>65</v>
      </c>
      <c r="C81" s="4" t="s">
        <v>150</v>
      </c>
      <c r="D81" s="10">
        <f t="shared" ca="1" si="12"/>
        <v>120</v>
      </c>
      <c r="E81" s="10">
        <f t="shared" ca="1" si="13"/>
        <v>15</v>
      </c>
      <c r="F81" s="10">
        <f t="shared" ca="1" si="14"/>
        <v>8</v>
      </c>
      <c r="G81" s="10">
        <f t="shared" ca="1" si="15"/>
        <v>97</v>
      </c>
      <c r="H81" s="10">
        <f t="shared" ca="1" si="16"/>
        <v>98</v>
      </c>
      <c r="I81" s="10">
        <f t="shared" ca="1" si="17"/>
        <v>521</v>
      </c>
      <c r="J81" s="10">
        <f t="shared" ca="1" si="18"/>
        <v>53</v>
      </c>
      <c r="K81" s="49">
        <f ca="1">J81/(D81*3)</f>
        <v>0.14722222222222223</v>
      </c>
      <c r="L81" s="26">
        <f ca="1">H81/D81</f>
        <v>0.81666666666666665</v>
      </c>
      <c r="M81" s="26">
        <f ca="1">I81/D81</f>
        <v>4.3416666666666668</v>
      </c>
      <c r="N81" s="10">
        <f t="shared" ca="1" si="19"/>
        <v>-423</v>
      </c>
      <c r="O81">
        <f t="shared" si="20"/>
        <v>8</v>
      </c>
    </row>
    <row r="82" spans="1:15" x14ac:dyDescent="0.25">
      <c r="A82">
        <v>58</v>
      </c>
      <c r="B82">
        <v>50</v>
      </c>
      <c r="C82" s="4" t="s">
        <v>65</v>
      </c>
      <c r="D82" s="10">
        <f t="shared" ca="1" si="12"/>
        <v>60</v>
      </c>
      <c r="E82" s="10">
        <f t="shared" ca="1" si="13"/>
        <v>12</v>
      </c>
      <c r="F82" s="10">
        <f t="shared" ca="1" si="14"/>
        <v>7</v>
      </c>
      <c r="G82" s="10">
        <f t="shared" ca="1" si="15"/>
        <v>41</v>
      </c>
      <c r="H82" s="10">
        <f t="shared" ca="1" si="16"/>
        <v>69</v>
      </c>
      <c r="I82" s="10">
        <f t="shared" ca="1" si="17"/>
        <v>145</v>
      </c>
      <c r="J82" s="10">
        <f t="shared" ca="1" si="18"/>
        <v>43</v>
      </c>
      <c r="K82" s="49">
        <f ca="1">J82/(D82*3)</f>
        <v>0.2388888888888889</v>
      </c>
      <c r="L82" s="26">
        <f ca="1">H82/D82</f>
        <v>1.1499999999999999</v>
      </c>
      <c r="M82" s="26">
        <f ca="1">I82/D82</f>
        <v>2.4166666666666665</v>
      </c>
      <c r="N82" s="10">
        <f t="shared" ca="1" si="19"/>
        <v>-76</v>
      </c>
      <c r="O82">
        <f t="shared" si="20"/>
        <v>-8</v>
      </c>
    </row>
    <row r="83" spans="1:15" x14ac:dyDescent="0.25">
      <c r="A83">
        <v>59</v>
      </c>
      <c r="B83">
        <v>73</v>
      </c>
      <c r="C83" s="4" t="s">
        <v>165</v>
      </c>
      <c r="D83" s="10">
        <f t="shared" ca="1" si="12"/>
        <v>60</v>
      </c>
      <c r="E83" s="10">
        <f t="shared" ca="1" si="13"/>
        <v>11</v>
      </c>
      <c r="F83" s="10">
        <f t="shared" ca="1" si="14"/>
        <v>8</v>
      </c>
      <c r="G83" s="10">
        <f t="shared" ca="1" si="15"/>
        <v>41</v>
      </c>
      <c r="H83" s="10">
        <f t="shared" ca="1" si="16"/>
        <v>51</v>
      </c>
      <c r="I83" s="10">
        <f t="shared" ca="1" si="17"/>
        <v>148</v>
      </c>
      <c r="J83" s="10">
        <f t="shared" ca="1" si="18"/>
        <v>41</v>
      </c>
      <c r="K83" s="49">
        <f t="shared" ref="K83" ca="1" si="30">J83/(D83*3)</f>
        <v>0.22777777777777777</v>
      </c>
      <c r="L83" s="26">
        <f t="shared" ref="L83" ca="1" si="31">H83/D83</f>
        <v>0.85</v>
      </c>
      <c r="M83" s="26">
        <f t="shared" ref="M83" ca="1" si="32">I83/D83</f>
        <v>2.4666666666666668</v>
      </c>
      <c r="N83" s="10">
        <f t="shared" ca="1" si="19"/>
        <v>-97</v>
      </c>
      <c r="O83">
        <f t="shared" si="20"/>
        <v>14</v>
      </c>
    </row>
    <row r="84" spans="1:15" x14ac:dyDescent="0.25">
      <c r="A84">
        <v>60</v>
      </c>
      <c r="B84">
        <v>51</v>
      </c>
      <c r="C84" s="4" t="s">
        <v>8</v>
      </c>
      <c r="D84" s="10">
        <f t="shared" ca="1" si="12"/>
        <v>30</v>
      </c>
      <c r="E84" s="10">
        <f t="shared" ca="1" si="13"/>
        <v>12</v>
      </c>
      <c r="F84" s="10">
        <f t="shared" ca="1" si="14"/>
        <v>3</v>
      </c>
      <c r="G84" s="10">
        <f t="shared" ca="1" si="15"/>
        <v>15</v>
      </c>
      <c r="H84" s="10">
        <f t="shared" ca="1" si="16"/>
        <v>45</v>
      </c>
      <c r="I84" s="10">
        <f t="shared" ca="1" si="17"/>
        <v>43</v>
      </c>
      <c r="J84" s="10">
        <f t="shared" ca="1" si="18"/>
        <v>39</v>
      </c>
      <c r="K84" s="49">
        <f ca="1">J84/(D84*3)</f>
        <v>0.43333333333333335</v>
      </c>
      <c r="L84" s="26">
        <f ca="1">H84/D84</f>
        <v>1.5</v>
      </c>
      <c r="M84" s="26">
        <f ca="1">I84/D84</f>
        <v>1.4333333333333333</v>
      </c>
      <c r="N84" s="10">
        <f t="shared" ca="1" si="19"/>
        <v>2</v>
      </c>
      <c r="O84">
        <f t="shared" si="20"/>
        <v>-9</v>
      </c>
    </row>
    <row r="85" spans="1:15" x14ac:dyDescent="0.25">
      <c r="A85">
        <v>61</v>
      </c>
      <c r="B85">
        <v>52</v>
      </c>
      <c r="C85" s="4" t="s">
        <v>59</v>
      </c>
      <c r="D85" s="10">
        <f t="shared" ca="1" si="12"/>
        <v>60</v>
      </c>
      <c r="E85" s="10">
        <f t="shared" ca="1" si="13"/>
        <v>10</v>
      </c>
      <c r="F85" s="10">
        <f t="shared" ca="1" si="14"/>
        <v>8</v>
      </c>
      <c r="G85" s="10">
        <f t="shared" ca="1" si="15"/>
        <v>42</v>
      </c>
      <c r="H85" s="10">
        <f t="shared" ca="1" si="16"/>
        <v>43</v>
      </c>
      <c r="I85" s="10">
        <f t="shared" ca="1" si="17"/>
        <v>152</v>
      </c>
      <c r="J85" s="10">
        <f t="shared" ca="1" si="18"/>
        <v>38</v>
      </c>
      <c r="K85" s="49">
        <f ca="1">J85/(D85*3)</f>
        <v>0.21111111111111111</v>
      </c>
      <c r="L85" s="26">
        <f ca="1">H85/D85</f>
        <v>0.71666666666666667</v>
      </c>
      <c r="M85" s="26">
        <f ca="1">I85/D85</f>
        <v>2.5333333333333332</v>
      </c>
      <c r="N85" s="10">
        <f t="shared" ca="1" si="19"/>
        <v>-109</v>
      </c>
      <c r="O85">
        <f t="shared" si="20"/>
        <v>-9</v>
      </c>
    </row>
    <row r="86" spans="1:15" x14ac:dyDescent="0.25">
      <c r="A86">
        <v>62</v>
      </c>
      <c r="B86">
        <v>71</v>
      </c>
      <c r="C86" s="4" t="s">
        <v>163</v>
      </c>
      <c r="D86" s="10">
        <f t="shared" ca="1" si="12"/>
        <v>35</v>
      </c>
      <c r="E86" s="10">
        <f t="shared" ca="1" si="13"/>
        <v>10</v>
      </c>
      <c r="F86" s="10">
        <f t="shared" ca="1" si="14"/>
        <v>7</v>
      </c>
      <c r="G86" s="10">
        <f t="shared" ca="1" si="15"/>
        <v>18</v>
      </c>
      <c r="H86" s="10">
        <f t="shared" ca="1" si="16"/>
        <v>40</v>
      </c>
      <c r="I86" s="10">
        <f t="shared" ca="1" si="17"/>
        <v>70</v>
      </c>
      <c r="J86" s="10">
        <f t="shared" ca="1" si="18"/>
        <v>37</v>
      </c>
      <c r="K86" s="49">
        <f t="shared" ref="K86" ca="1" si="33">J86/(D86*3)</f>
        <v>0.35238095238095241</v>
      </c>
      <c r="L86" s="26">
        <f t="shared" ref="L86" ca="1" si="34">H86/D86</f>
        <v>1.1428571428571428</v>
      </c>
      <c r="M86" s="26">
        <f t="shared" ref="M86" ca="1" si="35">I86/D86</f>
        <v>2</v>
      </c>
      <c r="N86" s="10">
        <f t="shared" ca="1" si="19"/>
        <v>-30</v>
      </c>
      <c r="O86">
        <f t="shared" si="20"/>
        <v>9</v>
      </c>
    </row>
    <row r="87" spans="1:15" x14ac:dyDescent="0.25">
      <c r="A87">
        <v>63</v>
      </c>
      <c r="B87">
        <v>53</v>
      </c>
      <c r="C87" s="4" t="s">
        <v>11</v>
      </c>
      <c r="D87" s="10">
        <f t="shared" ca="1" si="12"/>
        <v>30</v>
      </c>
      <c r="E87" s="10">
        <f t="shared" ca="1" si="13"/>
        <v>10</v>
      </c>
      <c r="F87" s="10">
        <f t="shared" ca="1" si="14"/>
        <v>5</v>
      </c>
      <c r="G87" s="10">
        <f t="shared" ca="1" si="15"/>
        <v>15</v>
      </c>
      <c r="H87" s="10">
        <f t="shared" ca="1" si="16"/>
        <v>53</v>
      </c>
      <c r="I87" s="10">
        <f t="shared" ca="1" si="17"/>
        <v>57</v>
      </c>
      <c r="J87" s="10">
        <f t="shared" ca="1" si="18"/>
        <v>35</v>
      </c>
      <c r="K87" s="49">
        <f ca="1">J87/(D87*3)</f>
        <v>0.3888888888888889</v>
      </c>
      <c r="L87" s="26">
        <f ca="1">H87/D87</f>
        <v>1.7666666666666666</v>
      </c>
      <c r="M87" s="26">
        <f ca="1">I87/D87</f>
        <v>1.9</v>
      </c>
      <c r="N87" s="10">
        <f t="shared" ca="1" si="19"/>
        <v>-4</v>
      </c>
      <c r="O87">
        <f t="shared" si="20"/>
        <v>-10</v>
      </c>
    </row>
    <row r="88" spans="1:15" x14ac:dyDescent="0.25">
      <c r="A88">
        <v>64</v>
      </c>
      <c r="B88">
        <v>54</v>
      </c>
      <c r="C88" s="4" t="s">
        <v>12</v>
      </c>
      <c r="D88" s="10">
        <f t="shared" ca="1" si="12"/>
        <v>30</v>
      </c>
      <c r="E88" s="10">
        <f t="shared" ca="1" si="13"/>
        <v>10</v>
      </c>
      <c r="F88" s="10">
        <f t="shared" ca="1" si="14"/>
        <v>5</v>
      </c>
      <c r="G88" s="10">
        <f t="shared" ca="1" si="15"/>
        <v>15</v>
      </c>
      <c r="H88" s="10">
        <f t="shared" ca="1" si="16"/>
        <v>27</v>
      </c>
      <c r="I88" s="10">
        <f t="shared" ca="1" si="17"/>
        <v>50</v>
      </c>
      <c r="J88" s="10">
        <f t="shared" ca="1" si="18"/>
        <v>35</v>
      </c>
      <c r="K88" s="49">
        <f ca="1">J88/(D88*3)</f>
        <v>0.3888888888888889</v>
      </c>
      <c r="L88" s="26">
        <f ca="1">H88/D88</f>
        <v>0.9</v>
      </c>
      <c r="M88" s="26">
        <f ca="1">I88/D88</f>
        <v>1.6666666666666667</v>
      </c>
      <c r="N88" s="10">
        <f t="shared" ca="1" si="19"/>
        <v>-23</v>
      </c>
      <c r="O88">
        <f t="shared" si="20"/>
        <v>-10</v>
      </c>
    </row>
    <row r="89" spans="1:15" x14ac:dyDescent="0.25">
      <c r="A89">
        <v>65</v>
      </c>
      <c r="B89">
        <v>55</v>
      </c>
      <c r="C89" s="4" t="s">
        <v>45</v>
      </c>
      <c r="D89" s="10">
        <f t="shared" ref="D89:D98" ca="1" si="36">SUMIF($C$103:$J$804,$C89,$D$103:$D$804)</f>
        <v>30</v>
      </c>
      <c r="E89" s="10">
        <f t="shared" ref="E89:E98" ca="1" si="37">SUMIF($C$103:$J$804,$C89,$E$103:$E$804)</f>
        <v>9</v>
      </c>
      <c r="F89" s="10">
        <f t="shared" ref="F89:F98" ca="1" si="38">SUMIF($C$103:$J$804,$C89,$F$103:$F$804)</f>
        <v>4</v>
      </c>
      <c r="G89" s="10">
        <f t="shared" ref="G89:G98" ca="1" si="39">SUMIF($C$103:$J$804,$C89,$G$103:$G$804)</f>
        <v>17</v>
      </c>
      <c r="H89" s="10">
        <f t="shared" ref="H89:H98" ca="1" si="40">SUMIF($C$103:$J$804,$C89,$H$103:$H$804)</f>
        <v>45</v>
      </c>
      <c r="I89" s="10">
        <f t="shared" ref="I89:I98" ca="1" si="41">SUMIF($C$103:$J$804,$C89,$I$103:$I$804)</f>
        <v>57</v>
      </c>
      <c r="J89" s="10">
        <f t="shared" ref="J89:J98" ca="1" si="42">SUMIF($C$103:$J$804,$C89,$J$103:$J$804)</f>
        <v>31</v>
      </c>
      <c r="K89" s="49">
        <f ca="1">J89/(D89*3)</f>
        <v>0.34444444444444444</v>
      </c>
      <c r="L89" s="26">
        <f ca="1">H89/D89</f>
        <v>1.5</v>
      </c>
      <c r="M89" s="26">
        <f ca="1">I89/D89</f>
        <v>1.9</v>
      </c>
      <c r="N89" s="10">
        <f t="shared" ref="N89:N98" ca="1" si="43">H89-I89</f>
        <v>-12</v>
      </c>
      <c r="O89">
        <f t="shared" si="20"/>
        <v>-10</v>
      </c>
    </row>
    <row r="90" spans="1:15" x14ac:dyDescent="0.25">
      <c r="A90">
        <v>66</v>
      </c>
      <c r="B90">
        <v>56</v>
      </c>
      <c r="C90" s="4" t="s">
        <v>39</v>
      </c>
      <c r="D90" s="10">
        <f t="shared" ca="1" si="36"/>
        <v>30</v>
      </c>
      <c r="E90" s="10">
        <f t="shared" ca="1" si="37"/>
        <v>8</v>
      </c>
      <c r="F90" s="10">
        <f t="shared" ca="1" si="38"/>
        <v>7</v>
      </c>
      <c r="G90" s="10">
        <f t="shared" ca="1" si="39"/>
        <v>15</v>
      </c>
      <c r="H90" s="10">
        <f t="shared" ca="1" si="40"/>
        <v>44</v>
      </c>
      <c r="I90" s="10">
        <f t="shared" ca="1" si="41"/>
        <v>55</v>
      </c>
      <c r="J90" s="10">
        <f t="shared" ca="1" si="42"/>
        <v>31</v>
      </c>
      <c r="K90" s="49">
        <f ca="1">J90/(D90*3)</f>
        <v>0.34444444444444444</v>
      </c>
      <c r="L90" s="26">
        <f ca="1">H90/D90</f>
        <v>1.4666666666666666</v>
      </c>
      <c r="M90" s="26">
        <f ca="1">I90/D90</f>
        <v>1.8333333333333333</v>
      </c>
      <c r="N90" s="10">
        <f t="shared" ca="1" si="43"/>
        <v>-11</v>
      </c>
      <c r="O90">
        <f t="shared" si="20"/>
        <v>-10</v>
      </c>
    </row>
    <row r="91" spans="1:15" x14ac:dyDescent="0.25">
      <c r="A91">
        <v>67</v>
      </c>
      <c r="B91">
        <v>74</v>
      </c>
      <c r="C91" s="4" t="s">
        <v>168</v>
      </c>
      <c r="D91" s="10">
        <f t="shared" ca="1" si="36"/>
        <v>30</v>
      </c>
      <c r="E91" s="10">
        <f t="shared" ca="1" si="37"/>
        <v>5</v>
      </c>
      <c r="F91" s="10">
        <f t="shared" ca="1" si="38"/>
        <v>4</v>
      </c>
      <c r="G91" s="10">
        <f t="shared" ca="1" si="39"/>
        <v>21</v>
      </c>
      <c r="H91" s="10">
        <f t="shared" ca="1" si="40"/>
        <v>25</v>
      </c>
      <c r="I91" s="10">
        <f t="shared" ca="1" si="41"/>
        <v>81</v>
      </c>
      <c r="J91" s="10">
        <f t="shared" ca="1" si="42"/>
        <v>19</v>
      </c>
      <c r="K91" s="49">
        <f t="shared" ref="K91" ca="1" si="44">J91/(D91*3)</f>
        <v>0.21111111111111111</v>
      </c>
      <c r="L91" s="26">
        <f t="shared" ref="L91" ca="1" si="45">H91/D91</f>
        <v>0.83333333333333337</v>
      </c>
      <c r="M91" s="26">
        <f t="shared" ref="M91" ca="1" si="46">I91/D91</f>
        <v>2.7</v>
      </c>
      <c r="N91" s="10">
        <f t="shared" ca="1" si="43"/>
        <v>-56</v>
      </c>
      <c r="O91">
        <f t="shared" si="20"/>
        <v>7</v>
      </c>
    </row>
    <row r="92" spans="1:15" x14ac:dyDescent="0.25">
      <c r="A92">
        <v>68</v>
      </c>
      <c r="B92">
        <v>57</v>
      </c>
      <c r="C92" s="4" t="s">
        <v>93</v>
      </c>
      <c r="D92" s="10">
        <f t="shared" ca="1" si="36"/>
        <v>30</v>
      </c>
      <c r="E92" s="10">
        <f t="shared" ca="1" si="37"/>
        <v>4</v>
      </c>
      <c r="F92" s="10">
        <f t="shared" ca="1" si="38"/>
        <v>5</v>
      </c>
      <c r="G92" s="10">
        <f t="shared" ca="1" si="39"/>
        <v>21</v>
      </c>
      <c r="H92" s="10">
        <f t="shared" ca="1" si="40"/>
        <v>13</v>
      </c>
      <c r="I92" s="10">
        <f t="shared" ca="1" si="41"/>
        <v>71</v>
      </c>
      <c r="J92" s="10">
        <f t="shared" ca="1" si="42"/>
        <v>17</v>
      </c>
      <c r="K92" s="49">
        <f t="shared" ref="K92:K98" ca="1" si="47">J92/(D92*3)</f>
        <v>0.18888888888888888</v>
      </c>
      <c r="L92" s="26">
        <f t="shared" ref="L92:L98" ca="1" si="48">H92/D92</f>
        <v>0.43333333333333335</v>
      </c>
      <c r="M92" s="26">
        <f t="shared" ref="M92:M98" ca="1" si="49">I92/D92</f>
        <v>2.3666666666666667</v>
      </c>
      <c r="N92" s="10">
        <f t="shared" ca="1" si="43"/>
        <v>-58</v>
      </c>
      <c r="O92">
        <f t="shared" si="20"/>
        <v>-11</v>
      </c>
    </row>
    <row r="93" spans="1:15" x14ac:dyDescent="0.25">
      <c r="A93">
        <v>69</v>
      </c>
      <c r="B93">
        <v>58</v>
      </c>
      <c r="C93" s="4" t="s">
        <v>19</v>
      </c>
      <c r="D93" s="10">
        <f t="shared" ca="1" si="36"/>
        <v>24</v>
      </c>
      <c r="E93" s="10">
        <f t="shared" ca="1" si="37"/>
        <v>4</v>
      </c>
      <c r="F93" s="10">
        <f t="shared" ca="1" si="38"/>
        <v>1</v>
      </c>
      <c r="G93" s="10">
        <f t="shared" ca="1" si="39"/>
        <v>19</v>
      </c>
      <c r="H93" s="10">
        <f t="shared" ca="1" si="40"/>
        <v>23</v>
      </c>
      <c r="I93" s="10">
        <f t="shared" ca="1" si="41"/>
        <v>73</v>
      </c>
      <c r="J93" s="10">
        <f t="shared" ca="1" si="42"/>
        <v>13</v>
      </c>
      <c r="K93" s="49">
        <f t="shared" ca="1" si="47"/>
        <v>0.18055555555555555</v>
      </c>
      <c r="L93" s="26">
        <f t="shared" ca="1" si="48"/>
        <v>0.95833333333333337</v>
      </c>
      <c r="M93" s="26">
        <f t="shared" ca="1" si="49"/>
        <v>3.0416666666666665</v>
      </c>
      <c r="N93" s="10">
        <f t="shared" ca="1" si="43"/>
        <v>-50</v>
      </c>
      <c r="O93">
        <f t="shared" si="20"/>
        <v>-11</v>
      </c>
    </row>
    <row r="94" spans="1:15" x14ac:dyDescent="0.25">
      <c r="A94">
        <v>70</v>
      </c>
      <c r="B94">
        <v>60</v>
      </c>
      <c r="C94" s="4" t="s">
        <v>20</v>
      </c>
      <c r="D94" s="10">
        <f t="shared" ca="1" si="36"/>
        <v>14</v>
      </c>
      <c r="E94" s="10">
        <f t="shared" ca="1" si="37"/>
        <v>2</v>
      </c>
      <c r="F94" s="10">
        <f t="shared" ca="1" si="38"/>
        <v>1</v>
      </c>
      <c r="G94" s="10">
        <f t="shared" ca="1" si="39"/>
        <v>11</v>
      </c>
      <c r="H94" s="10">
        <f t="shared" ca="1" si="40"/>
        <v>13</v>
      </c>
      <c r="I94" s="10">
        <f t="shared" ca="1" si="41"/>
        <v>48</v>
      </c>
      <c r="J94" s="10">
        <f t="shared" ca="1" si="42"/>
        <v>7</v>
      </c>
      <c r="K94" s="49">
        <f t="shared" ca="1" si="47"/>
        <v>0.16666666666666666</v>
      </c>
      <c r="L94" s="26">
        <f t="shared" ca="1" si="48"/>
        <v>0.9285714285714286</v>
      </c>
      <c r="M94" s="26">
        <f t="shared" ca="1" si="49"/>
        <v>3.4285714285714284</v>
      </c>
      <c r="N94" s="10">
        <f t="shared" ca="1" si="43"/>
        <v>-35</v>
      </c>
      <c r="O94">
        <f t="shared" si="20"/>
        <v>-10</v>
      </c>
    </row>
    <row r="95" spans="1:15" x14ac:dyDescent="0.25">
      <c r="A95">
        <v>71</v>
      </c>
      <c r="B95">
        <v>61</v>
      </c>
      <c r="C95" s="4" t="s">
        <v>21</v>
      </c>
      <c r="D95" s="10">
        <f t="shared" ca="1" si="36"/>
        <v>27</v>
      </c>
      <c r="E95" s="10">
        <f t="shared" ca="1" si="37"/>
        <v>2</v>
      </c>
      <c r="F95" s="10">
        <f t="shared" ca="1" si="38"/>
        <v>1</v>
      </c>
      <c r="G95" s="10">
        <f t="shared" ca="1" si="39"/>
        <v>24</v>
      </c>
      <c r="H95" s="10">
        <f t="shared" ca="1" si="40"/>
        <v>14</v>
      </c>
      <c r="I95" s="10">
        <f t="shared" ca="1" si="41"/>
        <v>82</v>
      </c>
      <c r="J95" s="10">
        <f t="shared" ca="1" si="42"/>
        <v>7</v>
      </c>
      <c r="K95" s="49">
        <f t="shared" ca="1" si="47"/>
        <v>8.6419753086419748E-2</v>
      </c>
      <c r="L95" s="26">
        <f t="shared" ca="1" si="48"/>
        <v>0.51851851851851849</v>
      </c>
      <c r="M95" s="26">
        <f t="shared" ca="1" si="49"/>
        <v>3.0370370370370372</v>
      </c>
      <c r="N95" s="10">
        <f t="shared" ca="1" si="43"/>
        <v>-68</v>
      </c>
      <c r="O95">
        <f t="shared" si="20"/>
        <v>-10</v>
      </c>
    </row>
    <row r="96" spans="1:15" x14ac:dyDescent="0.25">
      <c r="A96">
        <v>72</v>
      </c>
      <c r="B96">
        <v>64</v>
      </c>
      <c r="C96" s="4" t="s">
        <v>151</v>
      </c>
      <c r="D96" s="10">
        <f t="shared" ca="1" si="36"/>
        <v>30</v>
      </c>
      <c r="E96" s="10">
        <f t="shared" ca="1" si="37"/>
        <v>0</v>
      </c>
      <c r="F96" s="10">
        <f t="shared" ca="1" si="38"/>
        <v>0</v>
      </c>
      <c r="G96" s="10">
        <f t="shared" ca="1" si="39"/>
        <v>30</v>
      </c>
      <c r="H96" s="10">
        <f t="shared" ca="1" si="40"/>
        <v>6</v>
      </c>
      <c r="I96" s="10">
        <f t="shared" ca="1" si="41"/>
        <v>163</v>
      </c>
      <c r="J96" s="10">
        <f t="shared" ca="1" si="42"/>
        <v>0</v>
      </c>
      <c r="K96" s="49">
        <f t="shared" ca="1" si="47"/>
        <v>0</v>
      </c>
      <c r="L96" s="26">
        <f t="shared" ca="1" si="48"/>
        <v>0.2</v>
      </c>
      <c r="M96" s="26">
        <f t="shared" ca="1" si="49"/>
        <v>5.4333333333333336</v>
      </c>
      <c r="N96" s="10">
        <f t="shared" ca="1" si="43"/>
        <v>-157</v>
      </c>
      <c r="O96">
        <f t="shared" si="20"/>
        <v>-8</v>
      </c>
    </row>
    <row r="97" spans="1:15" x14ac:dyDescent="0.25">
      <c r="A97">
        <v>73</v>
      </c>
      <c r="B97">
        <v>66</v>
      </c>
      <c r="C97" s="4" t="s">
        <v>154</v>
      </c>
      <c r="D97" s="10">
        <f t="shared" ca="1" si="36"/>
        <v>30</v>
      </c>
      <c r="E97" s="10">
        <f t="shared" ca="1" si="37"/>
        <v>0</v>
      </c>
      <c r="F97" s="10">
        <f t="shared" ca="1" si="38"/>
        <v>0</v>
      </c>
      <c r="G97" s="10">
        <f t="shared" ca="1" si="39"/>
        <v>30</v>
      </c>
      <c r="H97" s="10">
        <f t="shared" ca="1" si="40"/>
        <v>6</v>
      </c>
      <c r="I97" s="10">
        <f t="shared" ca="1" si="41"/>
        <v>193</v>
      </c>
      <c r="J97" s="10">
        <f t="shared" ca="1" si="42"/>
        <v>0</v>
      </c>
      <c r="K97" s="49">
        <f t="shared" ca="1" si="47"/>
        <v>0</v>
      </c>
      <c r="L97" s="26">
        <f t="shared" ca="1" si="48"/>
        <v>0.2</v>
      </c>
      <c r="M97" s="26">
        <f t="shared" ca="1" si="49"/>
        <v>6.4333333333333336</v>
      </c>
      <c r="N97" s="10">
        <f t="shared" ca="1" si="43"/>
        <v>-187</v>
      </c>
      <c r="O97">
        <f t="shared" si="20"/>
        <v>-7</v>
      </c>
    </row>
    <row r="98" spans="1:15" x14ac:dyDescent="0.25">
      <c r="A98">
        <v>74</v>
      </c>
      <c r="B98">
        <v>63</v>
      </c>
      <c r="C98" s="4" t="s">
        <v>148</v>
      </c>
      <c r="D98" s="10">
        <f t="shared" ca="1" si="36"/>
        <v>30</v>
      </c>
      <c r="E98" s="10">
        <f t="shared" ca="1" si="37"/>
        <v>0</v>
      </c>
      <c r="F98" s="10">
        <f t="shared" ca="1" si="38"/>
        <v>0</v>
      </c>
      <c r="G98" s="10">
        <f t="shared" ca="1" si="39"/>
        <v>30</v>
      </c>
      <c r="H98" s="10">
        <f t="shared" ca="1" si="40"/>
        <v>5</v>
      </c>
      <c r="I98" s="10">
        <f t="shared" ca="1" si="41"/>
        <v>189</v>
      </c>
      <c r="J98" s="10">
        <f t="shared" ca="1" si="42"/>
        <v>0</v>
      </c>
      <c r="K98" s="49">
        <f t="shared" ca="1" si="47"/>
        <v>0</v>
      </c>
      <c r="L98" s="26">
        <f t="shared" ca="1" si="48"/>
        <v>0.16666666666666666</v>
      </c>
      <c r="M98" s="26">
        <f t="shared" ca="1" si="49"/>
        <v>6.3</v>
      </c>
      <c r="N98" s="10">
        <f t="shared" ca="1" si="43"/>
        <v>-184</v>
      </c>
      <c r="O98">
        <f t="shared" si="20"/>
        <v>-11</v>
      </c>
    </row>
    <row r="99" spans="1:15" x14ac:dyDescent="0.25">
      <c r="K99" s="24"/>
    </row>
    <row r="102" spans="1:15" x14ac:dyDescent="0.25">
      <c r="B102" s="50" t="s">
        <v>171</v>
      </c>
      <c r="C102" s="50"/>
      <c r="D102" s="50"/>
      <c r="E102" s="50"/>
      <c r="F102" s="50"/>
      <c r="G102" s="50"/>
      <c r="H102" s="50"/>
      <c r="I102" s="50"/>
      <c r="J102" s="50"/>
    </row>
    <row r="103" spans="1:15" x14ac:dyDescent="0.25">
      <c r="B103">
        <v>1</v>
      </c>
      <c r="C103" s="32" t="s">
        <v>58</v>
      </c>
      <c r="D103" s="35">
        <v>30</v>
      </c>
      <c r="E103" s="35">
        <v>22</v>
      </c>
      <c r="F103" s="35">
        <v>5</v>
      </c>
      <c r="G103" s="35">
        <v>3</v>
      </c>
      <c r="H103" s="35">
        <v>71</v>
      </c>
      <c r="I103" s="35">
        <v>20</v>
      </c>
      <c r="J103" s="35">
        <v>71</v>
      </c>
    </row>
    <row r="104" spans="1:15" x14ac:dyDescent="0.25">
      <c r="B104">
        <v>2</v>
      </c>
      <c r="C104" s="32" t="s">
        <v>131</v>
      </c>
      <c r="D104" s="35">
        <v>30</v>
      </c>
      <c r="E104" s="35">
        <v>21</v>
      </c>
      <c r="F104" s="35">
        <v>6</v>
      </c>
      <c r="G104" s="35">
        <v>3</v>
      </c>
      <c r="H104" s="35">
        <v>90</v>
      </c>
      <c r="I104" s="35">
        <v>33</v>
      </c>
      <c r="J104" s="35">
        <v>69</v>
      </c>
    </row>
    <row r="105" spans="1:15" x14ac:dyDescent="0.25">
      <c r="B105">
        <v>3</v>
      </c>
      <c r="C105" s="32" t="s">
        <v>64</v>
      </c>
      <c r="D105" s="35">
        <v>30</v>
      </c>
      <c r="E105" s="35">
        <v>22</v>
      </c>
      <c r="F105" s="35">
        <v>2</v>
      </c>
      <c r="G105" s="35">
        <v>6</v>
      </c>
      <c r="H105" s="35">
        <v>104</v>
      </c>
      <c r="I105" s="35">
        <v>28</v>
      </c>
      <c r="J105" s="35">
        <v>68</v>
      </c>
    </row>
    <row r="106" spans="1:15" x14ac:dyDescent="0.25">
      <c r="B106">
        <v>4</v>
      </c>
      <c r="C106" s="32" t="s">
        <v>71</v>
      </c>
      <c r="D106" s="35">
        <v>30</v>
      </c>
      <c r="E106" s="35">
        <v>21</v>
      </c>
      <c r="F106" s="35">
        <v>3</v>
      </c>
      <c r="G106" s="35">
        <v>6</v>
      </c>
      <c r="H106" s="35">
        <v>78</v>
      </c>
      <c r="I106" s="35">
        <v>22</v>
      </c>
      <c r="J106" s="35">
        <v>66</v>
      </c>
    </row>
    <row r="107" spans="1:15" x14ac:dyDescent="0.25">
      <c r="B107">
        <v>5</v>
      </c>
      <c r="C107" s="32" t="s">
        <v>32</v>
      </c>
      <c r="D107" s="35">
        <v>30</v>
      </c>
      <c r="E107" s="35">
        <v>20</v>
      </c>
      <c r="F107" s="35">
        <v>4</v>
      </c>
      <c r="G107" s="35">
        <v>6</v>
      </c>
      <c r="H107" s="35">
        <v>73</v>
      </c>
      <c r="I107" s="35">
        <v>32</v>
      </c>
      <c r="J107" s="35">
        <v>64</v>
      </c>
    </row>
    <row r="108" spans="1:15" x14ac:dyDescent="0.25">
      <c r="B108">
        <v>6</v>
      </c>
      <c r="C108" s="32" t="s">
        <v>128</v>
      </c>
      <c r="D108" s="35">
        <v>30</v>
      </c>
      <c r="E108" s="35">
        <v>18</v>
      </c>
      <c r="F108" s="35">
        <v>6</v>
      </c>
      <c r="G108" s="35">
        <v>6</v>
      </c>
      <c r="H108" s="35">
        <v>74</v>
      </c>
      <c r="I108" s="35">
        <v>33</v>
      </c>
      <c r="J108" s="35">
        <v>60</v>
      </c>
    </row>
    <row r="109" spans="1:15" x14ac:dyDescent="0.25">
      <c r="B109">
        <v>7</v>
      </c>
      <c r="C109" s="8" t="s">
        <v>146</v>
      </c>
      <c r="D109" s="35">
        <v>30</v>
      </c>
      <c r="E109" s="35">
        <v>18</v>
      </c>
      <c r="F109" s="35">
        <v>2</v>
      </c>
      <c r="G109" s="35">
        <v>10</v>
      </c>
      <c r="H109" s="35">
        <v>67</v>
      </c>
      <c r="I109" s="35">
        <v>25</v>
      </c>
      <c r="J109" s="35">
        <v>56</v>
      </c>
    </row>
    <row r="110" spans="1:15" x14ac:dyDescent="0.25">
      <c r="B110">
        <v>8</v>
      </c>
      <c r="C110" s="32" t="s">
        <v>130</v>
      </c>
      <c r="D110" s="35">
        <v>30</v>
      </c>
      <c r="E110" s="35">
        <v>16</v>
      </c>
      <c r="F110" s="35">
        <v>3</v>
      </c>
      <c r="G110" s="35">
        <v>11</v>
      </c>
      <c r="H110" s="35">
        <v>84</v>
      </c>
      <c r="I110" s="35">
        <v>49</v>
      </c>
      <c r="J110" s="35">
        <v>51</v>
      </c>
    </row>
    <row r="111" spans="1:15" x14ac:dyDescent="0.25">
      <c r="B111">
        <v>9</v>
      </c>
      <c r="C111" s="32" t="s">
        <v>114</v>
      </c>
      <c r="D111" s="35">
        <v>30</v>
      </c>
      <c r="E111" s="35">
        <v>12</v>
      </c>
      <c r="F111" s="35">
        <v>8</v>
      </c>
      <c r="G111" s="35">
        <v>10</v>
      </c>
      <c r="H111" s="35">
        <v>47</v>
      </c>
      <c r="I111" s="35">
        <v>48</v>
      </c>
      <c r="J111" s="35">
        <v>44</v>
      </c>
    </row>
    <row r="112" spans="1:15" x14ac:dyDescent="0.25">
      <c r="B112">
        <v>10</v>
      </c>
      <c r="C112" s="32" t="s">
        <v>166</v>
      </c>
      <c r="D112" s="35">
        <v>30</v>
      </c>
      <c r="E112" s="35">
        <v>11</v>
      </c>
      <c r="F112" s="35">
        <v>4</v>
      </c>
      <c r="G112" s="35">
        <v>15</v>
      </c>
      <c r="H112" s="35">
        <v>51</v>
      </c>
      <c r="I112" s="35">
        <v>64</v>
      </c>
      <c r="J112" s="35">
        <v>37</v>
      </c>
    </row>
    <row r="113" spans="2:10" x14ac:dyDescent="0.25">
      <c r="B113">
        <v>11</v>
      </c>
      <c r="C113" s="32" t="s">
        <v>147</v>
      </c>
      <c r="D113" s="35">
        <v>30</v>
      </c>
      <c r="E113" s="35">
        <v>8</v>
      </c>
      <c r="F113" s="35">
        <v>3</v>
      </c>
      <c r="G113" s="35">
        <v>19</v>
      </c>
      <c r="H113" s="35">
        <v>42</v>
      </c>
      <c r="I113" s="35">
        <v>85</v>
      </c>
      <c r="J113" s="35">
        <v>27</v>
      </c>
    </row>
    <row r="114" spans="2:10" x14ac:dyDescent="0.25">
      <c r="B114">
        <v>12</v>
      </c>
      <c r="C114" s="32" t="s">
        <v>165</v>
      </c>
      <c r="D114" s="35">
        <v>30</v>
      </c>
      <c r="E114" s="35">
        <v>6</v>
      </c>
      <c r="F114" s="35">
        <v>4</v>
      </c>
      <c r="G114" s="35">
        <v>20</v>
      </c>
      <c r="H114" s="35">
        <v>18</v>
      </c>
      <c r="I114" s="35">
        <v>73</v>
      </c>
      <c r="J114" s="35">
        <v>22</v>
      </c>
    </row>
    <row r="115" spans="2:10" x14ac:dyDescent="0.25">
      <c r="B115">
        <v>13</v>
      </c>
      <c r="C115" s="32" t="s">
        <v>168</v>
      </c>
      <c r="D115" s="35">
        <v>30</v>
      </c>
      <c r="E115" s="35">
        <v>5</v>
      </c>
      <c r="F115" s="35">
        <v>4</v>
      </c>
      <c r="G115" s="35">
        <v>21</v>
      </c>
      <c r="H115" s="35">
        <v>25</v>
      </c>
      <c r="I115" s="35">
        <v>81</v>
      </c>
      <c r="J115" s="35">
        <v>19</v>
      </c>
    </row>
    <row r="116" spans="2:10" x14ac:dyDescent="0.25">
      <c r="B116">
        <v>14</v>
      </c>
      <c r="C116" s="32" t="s">
        <v>68</v>
      </c>
      <c r="D116" s="35">
        <v>30</v>
      </c>
      <c r="E116" s="35">
        <v>4</v>
      </c>
      <c r="F116" s="35">
        <v>2</v>
      </c>
      <c r="G116" s="35">
        <v>24</v>
      </c>
      <c r="H116" s="35">
        <v>26</v>
      </c>
      <c r="I116" s="35">
        <v>77</v>
      </c>
      <c r="J116" s="35">
        <v>14</v>
      </c>
    </row>
    <row r="117" spans="2:10" x14ac:dyDescent="0.25">
      <c r="B117">
        <v>15</v>
      </c>
      <c r="C117" s="32" t="s">
        <v>56</v>
      </c>
      <c r="D117" s="35">
        <v>30</v>
      </c>
      <c r="E117" s="35">
        <v>3</v>
      </c>
      <c r="F117" s="35">
        <v>4</v>
      </c>
      <c r="G117" s="35">
        <v>23</v>
      </c>
      <c r="H117" s="35">
        <v>15</v>
      </c>
      <c r="I117" s="35">
        <v>107</v>
      </c>
      <c r="J117" s="35">
        <v>13</v>
      </c>
    </row>
    <row r="118" spans="2:10" x14ac:dyDescent="0.25">
      <c r="B118">
        <v>16</v>
      </c>
      <c r="C118" s="32" t="s">
        <v>170</v>
      </c>
      <c r="D118" s="35">
        <v>30</v>
      </c>
      <c r="E118" s="35">
        <v>2</v>
      </c>
      <c r="F118" s="35">
        <v>2</v>
      </c>
      <c r="G118" s="35">
        <v>26</v>
      </c>
      <c r="H118" s="35">
        <v>18</v>
      </c>
      <c r="I118" s="35">
        <v>106</v>
      </c>
      <c r="J118" s="35">
        <v>8</v>
      </c>
    </row>
    <row r="120" spans="2:10" x14ac:dyDescent="0.25">
      <c r="B120" s="50" t="s">
        <v>167</v>
      </c>
      <c r="C120" s="50"/>
      <c r="D120" s="50"/>
      <c r="E120" s="50"/>
      <c r="F120" s="50"/>
      <c r="G120" s="50"/>
      <c r="H120" s="50"/>
      <c r="I120" s="50"/>
      <c r="J120" s="50"/>
    </row>
    <row r="121" spans="2:10" x14ac:dyDescent="0.25">
      <c r="B121">
        <v>1</v>
      </c>
      <c r="C121" s="32" t="s">
        <v>64</v>
      </c>
      <c r="D121" s="35">
        <v>30</v>
      </c>
      <c r="E121" s="35">
        <v>22</v>
      </c>
      <c r="F121" s="35">
        <v>4</v>
      </c>
      <c r="G121" s="35">
        <v>4</v>
      </c>
      <c r="H121" s="35">
        <v>110</v>
      </c>
      <c r="I121" s="35">
        <v>20</v>
      </c>
      <c r="J121" s="35">
        <v>70</v>
      </c>
    </row>
    <row r="122" spans="2:10" x14ac:dyDescent="0.25">
      <c r="B122">
        <v>2</v>
      </c>
      <c r="C122" s="32" t="s">
        <v>32</v>
      </c>
      <c r="D122" s="35">
        <v>30</v>
      </c>
      <c r="E122" s="35">
        <v>22</v>
      </c>
      <c r="F122" s="35">
        <v>0</v>
      </c>
      <c r="G122" s="35">
        <v>8</v>
      </c>
      <c r="H122" s="35">
        <v>80</v>
      </c>
      <c r="I122" s="35">
        <v>27</v>
      </c>
      <c r="J122" s="35">
        <v>66</v>
      </c>
    </row>
    <row r="123" spans="2:10" x14ac:dyDescent="0.25">
      <c r="B123">
        <v>3</v>
      </c>
      <c r="C123" s="32" t="s">
        <v>58</v>
      </c>
      <c r="D123" s="35">
        <v>30</v>
      </c>
      <c r="E123" s="35">
        <v>21</v>
      </c>
      <c r="F123" s="35">
        <v>2</v>
      </c>
      <c r="G123" s="35">
        <v>7</v>
      </c>
      <c r="H123" s="35">
        <v>95</v>
      </c>
      <c r="I123" s="35">
        <v>36</v>
      </c>
      <c r="J123" s="35">
        <v>65</v>
      </c>
    </row>
    <row r="124" spans="2:10" x14ac:dyDescent="0.25">
      <c r="B124">
        <v>4</v>
      </c>
      <c r="C124" s="32" t="s">
        <v>146</v>
      </c>
      <c r="D124" s="35">
        <v>30</v>
      </c>
      <c r="E124" s="35">
        <v>18</v>
      </c>
      <c r="F124" s="35">
        <v>8</v>
      </c>
      <c r="G124" s="35">
        <v>4</v>
      </c>
      <c r="H124" s="35">
        <v>88</v>
      </c>
      <c r="I124" s="35">
        <v>25</v>
      </c>
      <c r="J124" s="35">
        <v>62</v>
      </c>
    </row>
    <row r="125" spans="2:10" x14ac:dyDescent="0.25">
      <c r="B125">
        <v>5</v>
      </c>
      <c r="C125" s="32" t="s">
        <v>128</v>
      </c>
      <c r="D125" s="35">
        <v>30</v>
      </c>
      <c r="E125" s="35">
        <v>18</v>
      </c>
      <c r="F125" s="35">
        <v>7</v>
      </c>
      <c r="G125" s="35">
        <v>5</v>
      </c>
      <c r="H125" s="35">
        <v>86</v>
      </c>
      <c r="I125" s="35">
        <v>23</v>
      </c>
      <c r="J125" s="35">
        <v>61</v>
      </c>
    </row>
    <row r="126" spans="2:10" x14ac:dyDescent="0.25">
      <c r="B126">
        <v>6</v>
      </c>
      <c r="C126" s="32" t="s">
        <v>130</v>
      </c>
      <c r="D126" s="35">
        <v>30</v>
      </c>
      <c r="E126" s="35">
        <v>18</v>
      </c>
      <c r="F126" s="35">
        <v>6</v>
      </c>
      <c r="G126" s="35">
        <v>6</v>
      </c>
      <c r="H126" s="35">
        <v>86</v>
      </c>
      <c r="I126" s="35">
        <v>28</v>
      </c>
      <c r="J126" s="35">
        <v>60</v>
      </c>
    </row>
    <row r="127" spans="2:10" x14ac:dyDescent="0.25">
      <c r="B127">
        <v>7</v>
      </c>
      <c r="C127" s="32" t="s">
        <v>71</v>
      </c>
      <c r="D127" s="35">
        <v>30</v>
      </c>
      <c r="E127" s="35">
        <v>19</v>
      </c>
      <c r="F127" s="35">
        <v>3</v>
      </c>
      <c r="G127" s="35">
        <v>8</v>
      </c>
      <c r="H127" s="35">
        <v>86</v>
      </c>
      <c r="I127" s="35">
        <v>35</v>
      </c>
      <c r="J127" s="35">
        <v>60</v>
      </c>
    </row>
    <row r="128" spans="2:10" x14ac:dyDescent="0.25">
      <c r="B128">
        <v>8</v>
      </c>
      <c r="C128" s="32" t="s">
        <v>131</v>
      </c>
      <c r="D128" s="35">
        <v>30</v>
      </c>
      <c r="E128" s="35">
        <v>18</v>
      </c>
      <c r="F128" s="35">
        <v>4</v>
      </c>
      <c r="G128" s="35">
        <v>8</v>
      </c>
      <c r="H128" s="35">
        <v>92</v>
      </c>
      <c r="I128" s="35">
        <v>34</v>
      </c>
      <c r="J128" s="35">
        <v>58</v>
      </c>
    </row>
    <row r="129" spans="2:10" x14ac:dyDescent="0.25">
      <c r="B129">
        <v>9</v>
      </c>
      <c r="C129" s="32" t="s">
        <v>114</v>
      </c>
      <c r="D129" s="35">
        <v>30</v>
      </c>
      <c r="E129" s="35">
        <v>15</v>
      </c>
      <c r="F129" s="35">
        <v>6</v>
      </c>
      <c r="G129" s="35">
        <v>9</v>
      </c>
      <c r="H129" s="35">
        <v>82</v>
      </c>
      <c r="I129" s="35">
        <v>40</v>
      </c>
      <c r="J129" s="35">
        <v>51</v>
      </c>
    </row>
    <row r="130" spans="2:10" x14ac:dyDescent="0.25">
      <c r="B130">
        <v>10</v>
      </c>
      <c r="C130" s="32" t="s">
        <v>147</v>
      </c>
      <c r="D130" s="35">
        <v>30</v>
      </c>
      <c r="E130" s="35">
        <v>10</v>
      </c>
      <c r="F130" s="35">
        <v>4</v>
      </c>
      <c r="G130" s="35">
        <v>16</v>
      </c>
      <c r="H130" s="35">
        <v>59</v>
      </c>
      <c r="I130" s="35">
        <v>69</v>
      </c>
      <c r="J130" s="35">
        <v>34</v>
      </c>
    </row>
    <row r="131" spans="2:10" x14ac:dyDescent="0.25">
      <c r="B131">
        <v>11</v>
      </c>
      <c r="C131" s="32" t="s">
        <v>166</v>
      </c>
      <c r="D131" s="35">
        <v>30</v>
      </c>
      <c r="E131" s="35">
        <v>10</v>
      </c>
      <c r="F131" s="35">
        <v>1</v>
      </c>
      <c r="G131" s="35">
        <v>19</v>
      </c>
      <c r="H131" s="35">
        <v>54</v>
      </c>
      <c r="I131" s="35">
        <v>97</v>
      </c>
      <c r="J131" s="35">
        <v>31</v>
      </c>
    </row>
    <row r="132" spans="2:10" x14ac:dyDescent="0.25">
      <c r="B132">
        <v>12</v>
      </c>
      <c r="C132" s="32" t="s">
        <v>165</v>
      </c>
      <c r="D132" s="35">
        <v>30</v>
      </c>
      <c r="E132" s="35">
        <v>5</v>
      </c>
      <c r="F132" s="35">
        <v>4</v>
      </c>
      <c r="G132" s="35">
        <v>21</v>
      </c>
      <c r="H132" s="35">
        <v>33</v>
      </c>
      <c r="I132" s="35">
        <v>75</v>
      </c>
      <c r="J132" s="35">
        <v>19</v>
      </c>
    </row>
    <row r="133" spans="2:10" x14ac:dyDescent="0.25">
      <c r="B133">
        <v>13</v>
      </c>
      <c r="C133" s="32" t="s">
        <v>68</v>
      </c>
      <c r="D133" s="35">
        <v>30</v>
      </c>
      <c r="E133" s="35">
        <v>5</v>
      </c>
      <c r="F133" s="35">
        <v>4</v>
      </c>
      <c r="G133" s="35">
        <v>21</v>
      </c>
      <c r="H133" s="35">
        <v>35</v>
      </c>
      <c r="I133" s="35">
        <v>82</v>
      </c>
      <c r="J133" s="35">
        <v>19</v>
      </c>
    </row>
    <row r="134" spans="2:10" x14ac:dyDescent="0.25">
      <c r="B134">
        <v>14</v>
      </c>
      <c r="C134" s="32" t="s">
        <v>158</v>
      </c>
      <c r="D134" s="35">
        <v>30</v>
      </c>
      <c r="E134" s="35">
        <v>5</v>
      </c>
      <c r="F134" s="35">
        <v>2</v>
      </c>
      <c r="G134" s="35">
        <v>23</v>
      </c>
      <c r="H134" s="35">
        <v>35</v>
      </c>
      <c r="I134" s="35">
        <v>85</v>
      </c>
      <c r="J134" s="35">
        <v>17</v>
      </c>
    </row>
    <row r="135" spans="2:10" x14ac:dyDescent="0.25">
      <c r="B135">
        <v>15</v>
      </c>
      <c r="C135" s="32" t="s">
        <v>161</v>
      </c>
      <c r="D135" s="35">
        <v>30</v>
      </c>
      <c r="E135" s="35">
        <v>4</v>
      </c>
      <c r="F135" s="35">
        <v>5</v>
      </c>
      <c r="G135" s="35">
        <v>21</v>
      </c>
      <c r="H135" s="35">
        <v>19</v>
      </c>
      <c r="I135" s="35">
        <v>72</v>
      </c>
      <c r="J135" s="35">
        <v>17</v>
      </c>
    </row>
    <row r="136" spans="2:10" x14ac:dyDescent="0.25">
      <c r="B136">
        <v>16</v>
      </c>
      <c r="C136" s="8" t="s">
        <v>163</v>
      </c>
      <c r="D136" s="35">
        <v>5</v>
      </c>
      <c r="E136" s="35">
        <v>0</v>
      </c>
      <c r="F136" s="35">
        <v>0</v>
      </c>
      <c r="G136" s="35">
        <v>5</v>
      </c>
      <c r="H136" s="35">
        <v>2</v>
      </c>
      <c r="I136" s="35">
        <v>16</v>
      </c>
      <c r="J136" s="35">
        <v>0</v>
      </c>
    </row>
    <row r="138" spans="2:10" x14ac:dyDescent="0.25">
      <c r="B138" s="50" t="s">
        <v>164</v>
      </c>
      <c r="C138" s="50"/>
      <c r="D138" s="50"/>
      <c r="E138" s="50"/>
      <c r="F138" s="50"/>
      <c r="G138" s="50"/>
      <c r="H138" s="50"/>
      <c r="I138" s="50"/>
      <c r="J138" s="50"/>
    </row>
    <row r="139" spans="2:10" x14ac:dyDescent="0.25">
      <c r="B139">
        <v>1</v>
      </c>
      <c r="C139" s="38" t="s">
        <v>128</v>
      </c>
      <c r="D139" s="35">
        <v>30</v>
      </c>
      <c r="E139" s="35">
        <v>25</v>
      </c>
      <c r="F139" s="35">
        <v>4</v>
      </c>
      <c r="G139" s="35">
        <v>1</v>
      </c>
      <c r="H139" s="35">
        <v>88</v>
      </c>
      <c r="I139" s="35">
        <v>15</v>
      </c>
      <c r="J139" s="35">
        <v>79</v>
      </c>
    </row>
    <row r="140" spans="2:10" x14ac:dyDescent="0.25">
      <c r="B140">
        <v>2</v>
      </c>
      <c r="C140" s="38" t="s">
        <v>64</v>
      </c>
      <c r="D140" s="35">
        <v>30</v>
      </c>
      <c r="E140" s="35">
        <v>24</v>
      </c>
      <c r="F140" s="35">
        <v>4</v>
      </c>
      <c r="G140" s="35">
        <v>2</v>
      </c>
      <c r="H140" s="35">
        <v>96</v>
      </c>
      <c r="I140" s="35">
        <v>18</v>
      </c>
      <c r="J140" s="35">
        <v>76</v>
      </c>
    </row>
    <row r="141" spans="2:10" x14ac:dyDescent="0.25">
      <c r="B141">
        <v>3</v>
      </c>
      <c r="C141" s="38" t="s">
        <v>130</v>
      </c>
      <c r="D141" s="35">
        <v>30</v>
      </c>
      <c r="E141" s="35">
        <v>24</v>
      </c>
      <c r="F141" s="35">
        <v>0</v>
      </c>
      <c r="G141" s="35">
        <v>6</v>
      </c>
      <c r="H141" s="35">
        <v>90</v>
      </c>
      <c r="I141" s="35">
        <v>23</v>
      </c>
      <c r="J141" s="35">
        <v>72</v>
      </c>
    </row>
    <row r="142" spans="2:10" x14ac:dyDescent="0.25">
      <c r="B142">
        <v>4</v>
      </c>
      <c r="C142" s="38" t="s">
        <v>58</v>
      </c>
      <c r="D142" s="35">
        <v>30</v>
      </c>
      <c r="E142" s="35">
        <v>19</v>
      </c>
      <c r="F142" s="35">
        <v>2</v>
      </c>
      <c r="G142" s="35">
        <v>9</v>
      </c>
      <c r="H142" s="35">
        <v>64</v>
      </c>
      <c r="I142" s="35">
        <v>33</v>
      </c>
      <c r="J142" s="35">
        <v>59</v>
      </c>
    </row>
    <row r="143" spans="2:10" x14ac:dyDescent="0.25">
      <c r="B143">
        <v>5</v>
      </c>
      <c r="C143" s="38" t="s">
        <v>32</v>
      </c>
      <c r="D143" s="35">
        <v>30</v>
      </c>
      <c r="E143" s="35">
        <v>17</v>
      </c>
      <c r="F143" s="35">
        <v>6</v>
      </c>
      <c r="G143" s="35">
        <v>7</v>
      </c>
      <c r="H143" s="35">
        <v>84</v>
      </c>
      <c r="I143" s="35">
        <v>34</v>
      </c>
      <c r="J143" s="35">
        <v>57</v>
      </c>
    </row>
    <row r="144" spans="2:10" x14ac:dyDescent="0.25">
      <c r="B144">
        <v>6</v>
      </c>
      <c r="C144" s="38" t="s">
        <v>71</v>
      </c>
      <c r="D144" s="35">
        <v>30</v>
      </c>
      <c r="E144" s="35">
        <v>15</v>
      </c>
      <c r="F144" s="35">
        <v>9</v>
      </c>
      <c r="G144" s="35">
        <v>6</v>
      </c>
      <c r="H144" s="35">
        <v>60</v>
      </c>
      <c r="I144" s="35">
        <v>33</v>
      </c>
      <c r="J144" s="35">
        <v>54</v>
      </c>
    </row>
    <row r="145" spans="2:10" x14ac:dyDescent="0.25">
      <c r="B145">
        <v>7</v>
      </c>
      <c r="C145" s="38" t="s">
        <v>131</v>
      </c>
      <c r="D145" s="35">
        <v>30</v>
      </c>
      <c r="E145" s="35">
        <v>14</v>
      </c>
      <c r="F145" s="35">
        <v>6</v>
      </c>
      <c r="G145" s="35">
        <v>10</v>
      </c>
      <c r="H145" s="35">
        <v>77</v>
      </c>
      <c r="I145" s="35">
        <v>37</v>
      </c>
      <c r="J145" s="35">
        <v>48</v>
      </c>
    </row>
    <row r="146" spans="2:10" x14ac:dyDescent="0.25">
      <c r="B146">
        <v>8</v>
      </c>
      <c r="C146" s="38" t="s">
        <v>146</v>
      </c>
      <c r="D146" s="35">
        <v>30</v>
      </c>
      <c r="E146" s="35">
        <v>14</v>
      </c>
      <c r="F146" s="35">
        <v>5</v>
      </c>
      <c r="G146" s="35">
        <v>11</v>
      </c>
      <c r="H146" s="35">
        <v>64</v>
      </c>
      <c r="I146" s="35">
        <v>39</v>
      </c>
      <c r="J146" s="35">
        <v>47</v>
      </c>
    </row>
    <row r="147" spans="2:10" x14ac:dyDescent="0.25">
      <c r="B147">
        <v>9</v>
      </c>
      <c r="C147" s="38" t="s">
        <v>114</v>
      </c>
      <c r="D147" s="35">
        <v>30</v>
      </c>
      <c r="E147" s="35">
        <v>14</v>
      </c>
      <c r="F147" s="35">
        <v>3</v>
      </c>
      <c r="G147" s="35">
        <v>13</v>
      </c>
      <c r="H147" s="35">
        <v>57</v>
      </c>
      <c r="I147" s="35">
        <v>50</v>
      </c>
      <c r="J147" s="35">
        <v>45</v>
      </c>
    </row>
    <row r="148" spans="2:10" x14ac:dyDescent="0.25">
      <c r="B148">
        <v>10</v>
      </c>
      <c r="C148" s="38" t="s">
        <v>163</v>
      </c>
      <c r="D148" s="35">
        <v>30</v>
      </c>
      <c r="E148" s="35">
        <v>10</v>
      </c>
      <c r="F148" s="35">
        <v>7</v>
      </c>
      <c r="G148" s="35">
        <v>13</v>
      </c>
      <c r="H148" s="35">
        <v>38</v>
      </c>
      <c r="I148" s="35">
        <v>54</v>
      </c>
      <c r="J148" s="35">
        <v>37</v>
      </c>
    </row>
    <row r="149" spans="2:10" x14ac:dyDescent="0.25">
      <c r="B149">
        <v>11</v>
      </c>
      <c r="C149" s="38" t="s">
        <v>147</v>
      </c>
      <c r="D149" s="35">
        <v>30</v>
      </c>
      <c r="E149" s="35">
        <v>9</v>
      </c>
      <c r="F149" s="35">
        <v>6</v>
      </c>
      <c r="G149" s="35">
        <v>15</v>
      </c>
      <c r="H149" s="35">
        <v>59</v>
      </c>
      <c r="I149" s="35">
        <v>65</v>
      </c>
      <c r="J149" s="35">
        <v>33</v>
      </c>
    </row>
    <row r="150" spans="2:10" x14ac:dyDescent="0.25">
      <c r="B150">
        <v>12</v>
      </c>
      <c r="C150" s="38" t="s">
        <v>158</v>
      </c>
      <c r="D150" s="35">
        <v>30</v>
      </c>
      <c r="E150" s="35">
        <v>8</v>
      </c>
      <c r="F150" s="35">
        <v>2</v>
      </c>
      <c r="G150" s="35">
        <v>20</v>
      </c>
      <c r="H150" s="35">
        <v>28</v>
      </c>
      <c r="I150" s="35">
        <v>71</v>
      </c>
      <c r="J150" s="35">
        <v>26</v>
      </c>
    </row>
    <row r="151" spans="2:10" x14ac:dyDescent="0.25">
      <c r="B151">
        <v>13</v>
      </c>
      <c r="C151" s="38" t="s">
        <v>68</v>
      </c>
      <c r="D151" s="35">
        <v>30</v>
      </c>
      <c r="E151" s="35">
        <v>6</v>
      </c>
      <c r="F151" s="35">
        <v>5</v>
      </c>
      <c r="G151" s="35">
        <v>19</v>
      </c>
      <c r="H151" s="35">
        <v>24</v>
      </c>
      <c r="I151" s="35">
        <v>89</v>
      </c>
      <c r="J151" s="35">
        <v>23</v>
      </c>
    </row>
    <row r="152" spans="2:10" x14ac:dyDescent="0.25">
      <c r="B152">
        <v>14</v>
      </c>
      <c r="C152" s="38" t="s">
        <v>161</v>
      </c>
      <c r="D152" s="35">
        <v>30</v>
      </c>
      <c r="E152" s="35">
        <v>4</v>
      </c>
      <c r="F152" s="35">
        <v>4</v>
      </c>
      <c r="G152" s="35">
        <v>22</v>
      </c>
      <c r="H152" s="35">
        <v>21</v>
      </c>
      <c r="I152" s="35">
        <v>68</v>
      </c>
      <c r="J152" s="35">
        <v>16</v>
      </c>
    </row>
    <row r="153" spans="2:10" x14ac:dyDescent="0.25">
      <c r="B153">
        <v>15</v>
      </c>
      <c r="C153" s="38" t="s">
        <v>56</v>
      </c>
      <c r="D153" s="35">
        <v>30</v>
      </c>
      <c r="E153" s="35">
        <v>4</v>
      </c>
      <c r="F153" s="35">
        <v>3</v>
      </c>
      <c r="G153" s="35">
        <v>23</v>
      </c>
      <c r="H153" s="35">
        <v>20</v>
      </c>
      <c r="I153" s="35">
        <v>90</v>
      </c>
      <c r="J153" s="35">
        <v>15</v>
      </c>
    </row>
    <row r="154" spans="2:10" x14ac:dyDescent="0.25">
      <c r="B154">
        <v>16</v>
      </c>
      <c r="C154" s="38" t="s">
        <v>156</v>
      </c>
      <c r="D154" s="37">
        <v>5</v>
      </c>
      <c r="E154" s="37">
        <v>0</v>
      </c>
      <c r="F154" s="37">
        <v>0</v>
      </c>
      <c r="G154" s="37">
        <v>5</v>
      </c>
      <c r="H154" s="35">
        <v>3</v>
      </c>
      <c r="I154" s="35">
        <v>14</v>
      </c>
      <c r="J154" s="37">
        <v>0</v>
      </c>
    </row>
    <row r="156" spans="2:10" x14ac:dyDescent="0.25">
      <c r="B156" s="50" t="s">
        <v>162</v>
      </c>
      <c r="C156" s="50"/>
      <c r="D156" s="50"/>
      <c r="E156" s="50"/>
      <c r="F156" s="50"/>
      <c r="G156" s="50"/>
      <c r="H156" s="50"/>
      <c r="I156" s="50"/>
      <c r="J156" s="50"/>
    </row>
    <row r="157" spans="2:10" x14ac:dyDescent="0.25">
      <c r="B157">
        <v>1</v>
      </c>
      <c r="C157" s="32" t="s">
        <v>32</v>
      </c>
      <c r="D157" s="35">
        <v>30</v>
      </c>
      <c r="E157" s="35">
        <v>24</v>
      </c>
      <c r="F157" s="35">
        <v>2</v>
      </c>
      <c r="G157" s="35">
        <v>4</v>
      </c>
      <c r="H157" s="35">
        <v>104</v>
      </c>
      <c r="I157" s="35">
        <v>29</v>
      </c>
      <c r="J157" s="35">
        <v>74</v>
      </c>
    </row>
    <row r="158" spans="2:10" x14ac:dyDescent="0.25">
      <c r="B158">
        <v>2</v>
      </c>
      <c r="C158" s="32" t="s">
        <v>128</v>
      </c>
      <c r="D158" s="35">
        <v>30</v>
      </c>
      <c r="E158" s="35">
        <v>23</v>
      </c>
      <c r="F158" s="35">
        <v>1</v>
      </c>
      <c r="G158" s="35">
        <v>6</v>
      </c>
      <c r="H158" s="35">
        <v>98</v>
      </c>
      <c r="I158" s="35">
        <v>21</v>
      </c>
      <c r="J158" s="35">
        <v>70</v>
      </c>
    </row>
    <row r="159" spans="2:10" x14ac:dyDescent="0.25">
      <c r="B159">
        <v>3</v>
      </c>
      <c r="C159" s="32" t="s">
        <v>146</v>
      </c>
      <c r="D159" s="35">
        <v>30</v>
      </c>
      <c r="E159" s="35">
        <v>22</v>
      </c>
      <c r="F159" s="35">
        <v>4</v>
      </c>
      <c r="G159" s="35">
        <v>4</v>
      </c>
      <c r="H159" s="35">
        <v>100</v>
      </c>
      <c r="I159" s="35">
        <v>25</v>
      </c>
      <c r="J159" s="35">
        <v>70</v>
      </c>
    </row>
    <row r="160" spans="2:10" x14ac:dyDescent="0.25">
      <c r="B160">
        <v>4</v>
      </c>
      <c r="C160" s="32" t="s">
        <v>131</v>
      </c>
      <c r="D160" s="35">
        <v>30</v>
      </c>
      <c r="E160" s="35">
        <v>22</v>
      </c>
      <c r="F160" s="35">
        <v>4</v>
      </c>
      <c r="G160" s="35">
        <v>4</v>
      </c>
      <c r="H160" s="35">
        <v>88</v>
      </c>
      <c r="I160" s="35">
        <v>25</v>
      </c>
      <c r="J160" s="35">
        <v>70</v>
      </c>
    </row>
    <row r="161" spans="2:10" x14ac:dyDescent="0.25">
      <c r="B161">
        <v>5</v>
      </c>
      <c r="C161" s="32" t="s">
        <v>64</v>
      </c>
      <c r="D161" s="35">
        <v>30</v>
      </c>
      <c r="E161" s="35">
        <v>20</v>
      </c>
      <c r="F161" s="35">
        <v>1</v>
      </c>
      <c r="G161" s="35">
        <v>9</v>
      </c>
      <c r="H161" s="35">
        <v>103</v>
      </c>
      <c r="I161" s="35">
        <v>32</v>
      </c>
      <c r="J161" s="35">
        <v>61</v>
      </c>
    </row>
    <row r="162" spans="2:10" x14ac:dyDescent="0.25">
      <c r="B162">
        <v>6</v>
      </c>
      <c r="C162" s="32" t="s">
        <v>130</v>
      </c>
      <c r="D162" s="35">
        <v>30</v>
      </c>
      <c r="E162" s="35">
        <v>17</v>
      </c>
      <c r="F162" s="35">
        <v>6</v>
      </c>
      <c r="G162" s="35">
        <v>7</v>
      </c>
      <c r="H162" s="35">
        <v>87</v>
      </c>
      <c r="I162" s="35">
        <v>42</v>
      </c>
      <c r="J162" s="35">
        <v>57</v>
      </c>
    </row>
    <row r="163" spans="2:10" x14ac:dyDescent="0.25">
      <c r="B163">
        <v>7</v>
      </c>
      <c r="C163" s="32" t="s">
        <v>71</v>
      </c>
      <c r="D163" s="35">
        <v>30</v>
      </c>
      <c r="E163" s="35">
        <v>15</v>
      </c>
      <c r="F163" s="35">
        <v>7</v>
      </c>
      <c r="G163" s="35">
        <v>8</v>
      </c>
      <c r="H163" s="35">
        <v>75</v>
      </c>
      <c r="I163" s="35">
        <v>37</v>
      </c>
      <c r="J163" s="35">
        <v>52</v>
      </c>
    </row>
    <row r="164" spans="2:10" x14ac:dyDescent="0.25">
      <c r="B164">
        <v>8</v>
      </c>
      <c r="C164" s="32" t="s">
        <v>58</v>
      </c>
      <c r="D164" s="35">
        <v>30</v>
      </c>
      <c r="E164" s="35">
        <v>16</v>
      </c>
      <c r="F164" s="35">
        <v>4</v>
      </c>
      <c r="G164" s="35">
        <v>10</v>
      </c>
      <c r="H164" s="35">
        <v>60</v>
      </c>
      <c r="I164" s="35">
        <v>43</v>
      </c>
      <c r="J164" s="35">
        <v>52</v>
      </c>
    </row>
    <row r="165" spans="2:10" x14ac:dyDescent="0.25">
      <c r="B165">
        <v>9</v>
      </c>
      <c r="C165" s="32" t="s">
        <v>147</v>
      </c>
      <c r="D165" s="35">
        <v>30</v>
      </c>
      <c r="E165" s="35">
        <v>12</v>
      </c>
      <c r="F165" s="35">
        <v>1</v>
      </c>
      <c r="G165" s="35">
        <v>17</v>
      </c>
      <c r="H165" s="35">
        <v>48</v>
      </c>
      <c r="I165" s="35">
        <v>73</v>
      </c>
      <c r="J165" s="35">
        <v>37</v>
      </c>
    </row>
    <row r="166" spans="2:10" x14ac:dyDescent="0.25">
      <c r="B166">
        <v>10</v>
      </c>
      <c r="C166" s="32" t="s">
        <v>114</v>
      </c>
      <c r="D166" s="35">
        <v>30</v>
      </c>
      <c r="E166" s="35">
        <v>11</v>
      </c>
      <c r="F166" s="35">
        <v>2</v>
      </c>
      <c r="G166" s="35">
        <v>17</v>
      </c>
      <c r="H166" s="35">
        <v>50</v>
      </c>
      <c r="I166" s="35">
        <v>58</v>
      </c>
      <c r="J166" s="35">
        <v>35</v>
      </c>
    </row>
    <row r="167" spans="2:10" x14ac:dyDescent="0.25">
      <c r="B167">
        <v>11</v>
      </c>
      <c r="C167" s="32" t="s">
        <v>156</v>
      </c>
      <c r="D167" s="35">
        <v>30</v>
      </c>
      <c r="E167" s="35">
        <v>8</v>
      </c>
      <c r="F167" s="35">
        <v>6</v>
      </c>
      <c r="G167" s="35">
        <v>16</v>
      </c>
      <c r="H167" s="35">
        <v>33</v>
      </c>
      <c r="I167" s="35">
        <v>55</v>
      </c>
      <c r="J167" s="35">
        <v>30</v>
      </c>
    </row>
    <row r="168" spans="2:10" x14ac:dyDescent="0.25">
      <c r="B168">
        <v>12</v>
      </c>
      <c r="C168" s="32" t="s">
        <v>68</v>
      </c>
      <c r="D168" s="35">
        <v>30</v>
      </c>
      <c r="E168" s="35">
        <v>9</v>
      </c>
      <c r="F168" s="35">
        <v>3</v>
      </c>
      <c r="G168" s="35">
        <v>18</v>
      </c>
      <c r="H168" s="35">
        <v>44</v>
      </c>
      <c r="I168" s="35">
        <v>72</v>
      </c>
      <c r="J168" s="35">
        <v>30</v>
      </c>
    </row>
    <row r="169" spans="2:10" x14ac:dyDescent="0.25">
      <c r="B169">
        <v>13</v>
      </c>
      <c r="C169" s="32" t="s">
        <v>158</v>
      </c>
      <c r="D169" s="35">
        <v>30</v>
      </c>
      <c r="E169" s="35">
        <v>8</v>
      </c>
      <c r="F169" s="35">
        <v>3</v>
      </c>
      <c r="G169" s="35">
        <v>19</v>
      </c>
      <c r="H169" s="35">
        <v>50</v>
      </c>
      <c r="I169" s="35">
        <v>84</v>
      </c>
      <c r="J169" s="35">
        <v>27</v>
      </c>
    </row>
    <row r="170" spans="2:10" x14ac:dyDescent="0.25">
      <c r="B170">
        <v>14</v>
      </c>
      <c r="C170" s="32" t="s">
        <v>161</v>
      </c>
      <c r="D170" s="35">
        <v>30</v>
      </c>
      <c r="E170" s="35">
        <v>7</v>
      </c>
      <c r="F170" s="35">
        <v>3</v>
      </c>
      <c r="G170" s="35">
        <v>20</v>
      </c>
      <c r="H170" s="35">
        <v>30</v>
      </c>
      <c r="I170" s="35">
        <v>59</v>
      </c>
      <c r="J170" s="35">
        <v>24</v>
      </c>
    </row>
    <row r="171" spans="2:10" x14ac:dyDescent="0.25">
      <c r="B171">
        <v>15</v>
      </c>
      <c r="C171" s="32" t="s">
        <v>150</v>
      </c>
      <c r="D171" s="35">
        <v>30</v>
      </c>
      <c r="E171" s="35">
        <v>2</v>
      </c>
      <c r="F171" s="35">
        <v>1</v>
      </c>
      <c r="G171" s="35">
        <v>27</v>
      </c>
      <c r="H171" s="35">
        <v>21</v>
      </c>
      <c r="I171" s="35">
        <v>167</v>
      </c>
      <c r="J171" s="35">
        <v>7</v>
      </c>
    </row>
    <row r="172" spans="2:10" x14ac:dyDescent="0.25">
      <c r="B172">
        <v>16</v>
      </c>
      <c r="C172" s="36" t="s">
        <v>34</v>
      </c>
      <c r="D172" s="35">
        <v>30</v>
      </c>
      <c r="E172" s="35">
        <v>0</v>
      </c>
      <c r="F172" s="35">
        <v>0</v>
      </c>
      <c r="G172" s="35">
        <v>30</v>
      </c>
      <c r="H172" s="35">
        <v>7</v>
      </c>
      <c r="I172" s="35">
        <v>176</v>
      </c>
      <c r="J172" s="35">
        <v>0</v>
      </c>
    </row>
    <row r="174" spans="2:10" x14ac:dyDescent="0.25">
      <c r="B174" s="50" t="s">
        <v>159</v>
      </c>
      <c r="C174" s="50"/>
      <c r="D174" s="50"/>
      <c r="E174" s="50"/>
      <c r="F174" s="50"/>
      <c r="G174" s="50"/>
      <c r="H174" s="50"/>
      <c r="I174" s="50"/>
      <c r="J174" s="50"/>
    </row>
    <row r="175" spans="2:10" x14ac:dyDescent="0.25">
      <c r="B175">
        <v>1</v>
      </c>
      <c r="C175" s="32" t="s">
        <v>64</v>
      </c>
      <c r="D175" s="35">
        <v>30</v>
      </c>
      <c r="E175" s="35">
        <v>28</v>
      </c>
      <c r="F175" s="35">
        <v>1</v>
      </c>
      <c r="G175" s="35">
        <v>1</v>
      </c>
      <c r="H175" s="35">
        <v>122</v>
      </c>
      <c r="I175" s="35">
        <v>20</v>
      </c>
      <c r="J175" s="35">
        <v>85</v>
      </c>
    </row>
    <row r="176" spans="2:10" x14ac:dyDescent="0.25">
      <c r="B176">
        <v>2</v>
      </c>
      <c r="C176" s="32" t="s">
        <v>128</v>
      </c>
      <c r="D176" s="35">
        <v>30</v>
      </c>
      <c r="E176" s="35">
        <v>26</v>
      </c>
      <c r="F176" s="35">
        <v>3</v>
      </c>
      <c r="G176" s="35">
        <v>1</v>
      </c>
      <c r="H176" s="35">
        <v>118</v>
      </c>
      <c r="I176" s="35">
        <v>17</v>
      </c>
      <c r="J176" s="35">
        <v>81</v>
      </c>
    </row>
    <row r="177" spans="2:10" x14ac:dyDescent="0.25">
      <c r="B177">
        <v>3</v>
      </c>
      <c r="C177" s="32" t="s">
        <v>32</v>
      </c>
      <c r="D177" s="35">
        <v>30</v>
      </c>
      <c r="E177" s="35">
        <v>21</v>
      </c>
      <c r="F177" s="35">
        <v>4</v>
      </c>
      <c r="G177" s="35">
        <v>5</v>
      </c>
      <c r="H177" s="35">
        <v>88</v>
      </c>
      <c r="I177" s="35">
        <v>29</v>
      </c>
      <c r="J177" s="35">
        <v>67</v>
      </c>
    </row>
    <row r="178" spans="2:10" x14ac:dyDescent="0.25">
      <c r="B178">
        <v>4</v>
      </c>
      <c r="C178" s="32" t="s">
        <v>131</v>
      </c>
      <c r="D178" s="35">
        <v>30</v>
      </c>
      <c r="E178" s="35">
        <v>20</v>
      </c>
      <c r="F178" s="35">
        <v>2</v>
      </c>
      <c r="G178" s="35">
        <v>8</v>
      </c>
      <c r="H178" s="35">
        <v>94</v>
      </c>
      <c r="I178" s="35">
        <v>32</v>
      </c>
      <c r="J178" s="35">
        <v>62</v>
      </c>
    </row>
    <row r="179" spans="2:10" x14ac:dyDescent="0.25">
      <c r="B179">
        <v>5</v>
      </c>
      <c r="C179" s="32" t="s">
        <v>71</v>
      </c>
      <c r="D179" s="35">
        <v>30</v>
      </c>
      <c r="E179" s="35">
        <v>18</v>
      </c>
      <c r="F179" s="35">
        <v>4</v>
      </c>
      <c r="G179" s="35">
        <v>8</v>
      </c>
      <c r="H179" s="35">
        <v>71</v>
      </c>
      <c r="I179" s="35">
        <v>32</v>
      </c>
      <c r="J179" s="35">
        <v>58</v>
      </c>
    </row>
    <row r="180" spans="2:10" x14ac:dyDescent="0.25">
      <c r="B180">
        <v>6</v>
      </c>
      <c r="C180" s="32" t="s">
        <v>58</v>
      </c>
      <c r="D180" s="35">
        <v>30</v>
      </c>
      <c r="E180" s="35">
        <v>18</v>
      </c>
      <c r="F180" s="35">
        <v>4</v>
      </c>
      <c r="G180" s="35">
        <v>8</v>
      </c>
      <c r="H180" s="35">
        <v>66</v>
      </c>
      <c r="I180" s="35">
        <v>28</v>
      </c>
      <c r="J180" s="35">
        <v>58</v>
      </c>
    </row>
    <row r="181" spans="2:10" x14ac:dyDescent="0.25">
      <c r="B181">
        <v>7</v>
      </c>
      <c r="C181" s="32" t="s">
        <v>146</v>
      </c>
      <c r="D181" s="35">
        <v>30</v>
      </c>
      <c r="E181" s="35">
        <v>15</v>
      </c>
      <c r="F181" s="35">
        <v>6</v>
      </c>
      <c r="G181" s="35">
        <v>9</v>
      </c>
      <c r="H181" s="35">
        <v>64</v>
      </c>
      <c r="I181" s="35">
        <v>37</v>
      </c>
      <c r="J181" s="35">
        <v>51</v>
      </c>
    </row>
    <row r="182" spans="2:10" x14ac:dyDescent="0.25">
      <c r="B182">
        <v>8</v>
      </c>
      <c r="C182" s="32" t="s">
        <v>130</v>
      </c>
      <c r="D182" s="35">
        <v>30</v>
      </c>
      <c r="E182" s="35">
        <v>14</v>
      </c>
      <c r="F182" s="35">
        <v>5</v>
      </c>
      <c r="G182" s="35">
        <v>11</v>
      </c>
      <c r="H182" s="35">
        <v>83</v>
      </c>
      <c r="I182" s="35">
        <v>44</v>
      </c>
      <c r="J182" s="35">
        <v>47</v>
      </c>
    </row>
    <row r="183" spans="2:10" x14ac:dyDescent="0.25">
      <c r="B183">
        <v>9</v>
      </c>
      <c r="C183" s="32" t="s">
        <v>156</v>
      </c>
      <c r="D183" s="35">
        <v>30</v>
      </c>
      <c r="E183" s="35">
        <v>12</v>
      </c>
      <c r="F183" s="35">
        <v>6</v>
      </c>
      <c r="G183" s="35">
        <v>12</v>
      </c>
      <c r="H183" s="35">
        <v>60</v>
      </c>
      <c r="I183" s="35">
        <v>65</v>
      </c>
      <c r="J183" s="35">
        <v>42</v>
      </c>
    </row>
    <row r="184" spans="2:10" x14ac:dyDescent="0.25">
      <c r="B184">
        <v>10</v>
      </c>
      <c r="C184" s="32" t="s">
        <v>147</v>
      </c>
      <c r="D184" s="35">
        <v>30</v>
      </c>
      <c r="E184" s="35">
        <v>10</v>
      </c>
      <c r="F184" s="35">
        <v>2</v>
      </c>
      <c r="G184" s="35">
        <v>18</v>
      </c>
      <c r="H184" s="35">
        <v>48</v>
      </c>
      <c r="I184" s="35">
        <v>68</v>
      </c>
      <c r="J184" s="35">
        <v>32</v>
      </c>
    </row>
    <row r="185" spans="2:10" x14ac:dyDescent="0.25">
      <c r="B185">
        <v>11</v>
      </c>
      <c r="C185" s="32" t="s">
        <v>68</v>
      </c>
      <c r="D185" s="35">
        <v>30</v>
      </c>
      <c r="E185" s="35">
        <v>9</v>
      </c>
      <c r="F185" s="35">
        <v>2</v>
      </c>
      <c r="G185" s="35">
        <v>19</v>
      </c>
      <c r="H185" s="35">
        <v>43</v>
      </c>
      <c r="I185" s="35">
        <v>75</v>
      </c>
      <c r="J185" s="35">
        <v>29</v>
      </c>
    </row>
    <row r="186" spans="2:10" x14ac:dyDescent="0.25">
      <c r="B186">
        <v>12</v>
      </c>
      <c r="C186" s="32" t="s">
        <v>150</v>
      </c>
      <c r="D186" s="35">
        <v>30</v>
      </c>
      <c r="E186" s="35">
        <v>6</v>
      </c>
      <c r="F186" s="35">
        <v>1</v>
      </c>
      <c r="G186" s="35">
        <v>23</v>
      </c>
      <c r="H186" s="35">
        <v>30</v>
      </c>
      <c r="I186" s="35">
        <v>99</v>
      </c>
      <c r="J186" s="35">
        <v>19</v>
      </c>
    </row>
    <row r="187" spans="2:10" x14ac:dyDescent="0.25">
      <c r="B187">
        <v>13</v>
      </c>
      <c r="C187" s="32" t="s">
        <v>115</v>
      </c>
      <c r="D187" s="35">
        <v>30</v>
      </c>
      <c r="E187" s="35">
        <v>6</v>
      </c>
      <c r="F187" s="35">
        <v>1</v>
      </c>
      <c r="G187" s="35">
        <v>23</v>
      </c>
      <c r="H187" s="35">
        <v>24</v>
      </c>
      <c r="I187" s="35">
        <v>111</v>
      </c>
      <c r="J187" s="35">
        <v>19</v>
      </c>
    </row>
    <row r="188" spans="2:10" x14ac:dyDescent="0.25">
      <c r="B188">
        <v>14</v>
      </c>
      <c r="C188" s="32" t="s">
        <v>158</v>
      </c>
      <c r="D188" s="35">
        <v>30</v>
      </c>
      <c r="E188" s="35">
        <v>4</v>
      </c>
      <c r="F188" s="35">
        <v>4</v>
      </c>
      <c r="G188" s="35">
        <v>22</v>
      </c>
      <c r="H188" s="35">
        <v>41</v>
      </c>
      <c r="I188" s="35">
        <v>89</v>
      </c>
      <c r="J188" s="35">
        <v>16</v>
      </c>
    </row>
    <row r="189" spans="2:10" x14ac:dyDescent="0.25">
      <c r="B189">
        <v>15</v>
      </c>
      <c r="C189" s="36" t="s">
        <v>160</v>
      </c>
      <c r="D189" s="35">
        <v>4</v>
      </c>
      <c r="E189" s="35">
        <v>0</v>
      </c>
      <c r="F189" s="35">
        <v>0</v>
      </c>
      <c r="G189" s="35">
        <v>4</v>
      </c>
      <c r="H189" s="35">
        <v>2</v>
      </c>
      <c r="I189" s="35">
        <v>13</v>
      </c>
      <c r="J189" s="35">
        <v>0</v>
      </c>
    </row>
    <row r="190" spans="2:10" x14ac:dyDescent="0.25">
      <c r="B190">
        <v>16</v>
      </c>
      <c r="C190" s="36" t="s">
        <v>33</v>
      </c>
      <c r="D190" s="35">
        <v>22</v>
      </c>
      <c r="E190" s="35">
        <v>9</v>
      </c>
      <c r="F190" s="35">
        <v>3</v>
      </c>
      <c r="G190" s="35">
        <v>10</v>
      </c>
      <c r="H190" s="35">
        <v>47</v>
      </c>
      <c r="I190" s="35">
        <v>44</v>
      </c>
      <c r="J190" s="35">
        <v>30</v>
      </c>
    </row>
    <row r="192" spans="2:10" x14ac:dyDescent="0.25">
      <c r="B192" s="50" t="s">
        <v>157</v>
      </c>
      <c r="C192" s="50"/>
      <c r="D192" s="50"/>
      <c r="E192" s="50"/>
      <c r="F192" s="50"/>
      <c r="G192" s="50"/>
      <c r="H192" s="50"/>
      <c r="I192" s="50"/>
      <c r="J192" s="50"/>
    </row>
    <row r="193" spans="2:10" x14ac:dyDescent="0.25">
      <c r="B193">
        <v>1</v>
      </c>
      <c r="C193" s="32" t="s">
        <v>64</v>
      </c>
      <c r="D193" s="35">
        <v>30</v>
      </c>
      <c r="E193" s="35">
        <v>26</v>
      </c>
      <c r="F193" s="35">
        <v>2</v>
      </c>
      <c r="G193" s="35">
        <v>2</v>
      </c>
      <c r="H193" s="35">
        <v>122</v>
      </c>
      <c r="I193" s="35">
        <v>23</v>
      </c>
      <c r="J193" s="35">
        <v>80</v>
      </c>
    </row>
    <row r="194" spans="2:10" x14ac:dyDescent="0.25">
      <c r="B194">
        <v>2</v>
      </c>
      <c r="C194" s="32" t="s">
        <v>128</v>
      </c>
      <c r="D194" s="35">
        <v>30</v>
      </c>
      <c r="E194" s="35">
        <v>23</v>
      </c>
      <c r="F194" s="35">
        <v>4</v>
      </c>
      <c r="G194" s="35">
        <v>3</v>
      </c>
      <c r="H194" s="35">
        <v>100</v>
      </c>
      <c r="I194" s="35">
        <v>24</v>
      </c>
      <c r="J194" s="35">
        <v>73</v>
      </c>
    </row>
    <row r="195" spans="2:10" x14ac:dyDescent="0.25">
      <c r="B195">
        <v>3</v>
      </c>
      <c r="C195" s="32" t="s">
        <v>32</v>
      </c>
      <c r="D195" s="35">
        <v>30</v>
      </c>
      <c r="E195" s="35">
        <v>22</v>
      </c>
      <c r="F195" s="35">
        <v>4</v>
      </c>
      <c r="G195" s="35">
        <v>4</v>
      </c>
      <c r="H195" s="35">
        <v>80</v>
      </c>
      <c r="I195" s="35">
        <v>20</v>
      </c>
      <c r="J195" s="35">
        <v>70</v>
      </c>
    </row>
    <row r="196" spans="2:10" x14ac:dyDescent="0.25">
      <c r="B196">
        <v>4</v>
      </c>
      <c r="C196" s="32" t="s">
        <v>131</v>
      </c>
      <c r="D196" s="35">
        <v>30</v>
      </c>
      <c r="E196" s="35">
        <v>19</v>
      </c>
      <c r="F196" s="35">
        <v>5</v>
      </c>
      <c r="G196" s="35">
        <v>6</v>
      </c>
      <c r="H196" s="35">
        <v>78</v>
      </c>
      <c r="I196" s="35">
        <v>27</v>
      </c>
      <c r="J196" s="35">
        <v>62</v>
      </c>
    </row>
    <row r="197" spans="2:10" x14ac:dyDescent="0.25">
      <c r="B197">
        <v>5</v>
      </c>
      <c r="C197" s="32" t="s">
        <v>33</v>
      </c>
      <c r="D197" s="35">
        <v>30</v>
      </c>
      <c r="E197" s="35">
        <v>19</v>
      </c>
      <c r="F197" s="35">
        <v>4</v>
      </c>
      <c r="G197" s="35">
        <v>7</v>
      </c>
      <c r="H197" s="35">
        <v>81</v>
      </c>
      <c r="I197" s="35">
        <v>30</v>
      </c>
      <c r="J197" s="35">
        <v>61</v>
      </c>
    </row>
    <row r="198" spans="2:10" x14ac:dyDescent="0.25">
      <c r="B198">
        <v>6</v>
      </c>
      <c r="C198" s="32" t="s">
        <v>71</v>
      </c>
      <c r="D198" s="35">
        <v>30</v>
      </c>
      <c r="E198" s="35">
        <v>17</v>
      </c>
      <c r="F198" s="35">
        <v>2</v>
      </c>
      <c r="G198" s="35">
        <v>11</v>
      </c>
      <c r="H198" s="35">
        <v>69</v>
      </c>
      <c r="I198" s="35">
        <v>40</v>
      </c>
      <c r="J198" s="35">
        <v>53</v>
      </c>
    </row>
    <row r="199" spans="2:10" x14ac:dyDescent="0.25">
      <c r="B199">
        <v>7</v>
      </c>
      <c r="C199" s="32" t="s">
        <v>58</v>
      </c>
      <c r="D199" s="35">
        <v>30</v>
      </c>
      <c r="E199" s="35">
        <v>12</v>
      </c>
      <c r="F199" s="35">
        <v>7</v>
      </c>
      <c r="G199" s="35">
        <v>11</v>
      </c>
      <c r="H199" s="35">
        <v>52</v>
      </c>
      <c r="I199" s="35">
        <v>46</v>
      </c>
      <c r="J199" s="35">
        <v>43</v>
      </c>
    </row>
    <row r="200" spans="2:10" x14ac:dyDescent="0.25">
      <c r="B200">
        <v>8</v>
      </c>
      <c r="C200" s="32" t="s">
        <v>130</v>
      </c>
      <c r="D200" s="35">
        <v>30</v>
      </c>
      <c r="E200" s="35">
        <v>12</v>
      </c>
      <c r="F200" s="35">
        <v>6</v>
      </c>
      <c r="G200" s="35">
        <v>12</v>
      </c>
      <c r="H200" s="35">
        <v>65</v>
      </c>
      <c r="I200" s="35">
        <v>45</v>
      </c>
      <c r="J200" s="35">
        <v>42</v>
      </c>
    </row>
    <row r="201" spans="2:10" x14ac:dyDescent="0.25">
      <c r="B201">
        <v>9</v>
      </c>
      <c r="C201" s="32" t="s">
        <v>146</v>
      </c>
      <c r="D201" s="35">
        <v>30</v>
      </c>
      <c r="E201" s="35">
        <v>12</v>
      </c>
      <c r="F201" s="35">
        <v>5</v>
      </c>
      <c r="G201" s="35">
        <v>13</v>
      </c>
      <c r="H201" s="35">
        <v>44</v>
      </c>
      <c r="I201" s="35">
        <v>50</v>
      </c>
      <c r="J201" s="35">
        <v>41</v>
      </c>
    </row>
    <row r="202" spans="2:10" x14ac:dyDescent="0.25">
      <c r="B202">
        <v>10</v>
      </c>
      <c r="C202" s="32" t="s">
        <v>43</v>
      </c>
      <c r="D202" s="35">
        <v>30</v>
      </c>
      <c r="E202" s="35">
        <v>11</v>
      </c>
      <c r="F202" s="35">
        <v>5</v>
      </c>
      <c r="G202" s="35">
        <v>14</v>
      </c>
      <c r="H202" s="35">
        <v>46</v>
      </c>
      <c r="I202" s="35">
        <v>46</v>
      </c>
      <c r="J202" s="35">
        <v>38</v>
      </c>
    </row>
    <row r="203" spans="2:10" x14ac:dyDescent="0.25">
      <c r="B203">
        <v>11</v>
      </c>
      <c r="C203" s="32" t="s">
        <v>115</v>
      </c>
      <c r="D203" s="35">
        <v>30</v>
      </c>
      <c r="E203" s="35">
        <v>11</v>
      </c>
      <c r="F203" s="35">
        <v>2</v>
      </c>
      <c r="G203" s="35">
        <v>17</v>
      </c>
      <c r="H203" s="35">
        <v>40</v>
      </c>
      <c r="I203" s="35">
        <v>70</v>
      </c>
      <c r="J203" s="35">
        <v>35</v>
      </c>
    </row>
    <row r="204" spans="2:10" x14ac:dyDescent="0.25">
      <c r="B204">
        <v>12</v>
      </c>
      <c r="C204" s="32" t="s">
        <v>147</v>
      </c>
      <c r="D204" s="35">
        <v>30</v>
      </c>
      <c r="E204" s="35">
        <v>7</v>
      </c>
      <c r="F204" s="35">
        <v>3</v>
      </c>
      <c r="G204" s="35">
        <v>20</v>
      </c>
      <c r="H204" s="35">
        <v>34</v>
      </c>
      <c r="I204" s="35">
        <v>64</v>
      </c>
      <c r="J204" s="35">
        <v>24</v>
      </c>
    </row>
    <row r="205" spans="2:10" x14ac:dyDescent="0.25">
      <c r="B205">
        <v>13</v>
      </c>
      <c r="C205" s="32" t="s">
        <v>156</v>
      </c>
      <c r="D205" s="35">
        <v>30</v>
      </c>
      <c r="E205" s="35">
        <v>3</v>
      </c>
      <c r="F205" s="35">
        <v>3</v>
      </c>
      <c r="G205" s="35">
        <v>24</v>
      </c>
      <c r="H205" s="35">
        <v>19</v>
      </c>
      <c r="I205" s="35">
        <v>87</v>
      </c>
      <c r="J205" s="35">
        <v>12</v>
      </c>
    </row>
    <row r="206" spans="2:10" x14ac:dyDescent="0.25">
      <c r="B206">
        <v>14</v>
      </c>
      <c r="C206" s="32" t="s">
        <v>150</v>
      </c>
      <c r="D206" s="35">
        <v>30</v>
      </c>
      <c r="E206" s="35">
        <v>3</v>
      </c>
      <c r="F206" s="35">
        <v>2</v>
      </c>
      <c r="G206" s="35">
        <v>25</v>
      </c>
      <c r="H206" s="35">
        <v>19</v>
      </c>
      <c r="I206" s="35">
        <v>134</v>
      </c>
      <c r="J206" s="35">
        <v>11</v>
      </c>
    </row>
    <row r="207" spans="2:10" x14ac:dyDescent="0.25">
      <c r="B207">
        <v>15</v>
      </c>
      <c r="C207" s="36" t="s">
        <v>34</v>
      </c>
      <c r="D207" s="35">
        <v>24</v>
      </c>
      <c r="E207" s="35">
        <v>0</v>
      </c>
      <c r="F207" s="35">
        <v>1</v>
      </c>
      <c r="G207" s="35">
        <v>23</v>
      </c>
      <c r="H207" s="35">
        <v>4</v>
      </c>
      <c r="I207" s="35">
        <v>133</v>
      </c>
      <c r="J207" s="35">
        <v>1</v>
      </c>
    </row>
    <row r="208" spans="2:10" x14ac:dyDescent="0.25">
      <c r="B208">
        <v>16</v>
      </c>
      <c r="C208" s="36" t="s">
        <v>34</v>
      </c>
      <c r="D208" s="35">
        <v>0</v>
      </c>
      <c r="E208" s="35">
        <v>0</v>
      </c>
      <c r="F208" s="35">
        <v>0</v>
      </c>
      <c r="G208" s="35">
        <v>0</v>
      </c>
      <c r="H208" s="35">
        <v>4</v>
      </c>
      <c r="I208" s="35">
        <v>133</v>
      </c>
      <c r="J208" s="35">
        <v>0</v>
      </c>
    </row>
    <row r="210" spans="2:10" x14ac:dyDescent="0.25">
      <c r="B210" s="50" t="s">
        <v>155</v>
      </c>
      <c r="C210" s="50"/>
      <c r="D210" s="50"/>
      <c r="E210" s="50"/>
      <c r="F210" s="50"/>
      <c r="G210" s="50"/>
      <c r="H210" s="50"/>
      <c r="I210" s="50"/>
      <c r="J210" s="50"/>
    </row>
    <row r="211" spans="2:10" x14ac:dyDescent="0.25">
      <c r="B211">
        <v>1</v>
      </c>
      <c r="C211" s="32" t="s">
        <v>128</v>
      </c>
      <c r="D211" s="35">
        <v>30</v>
      </c>
      <c r="E211" s="35">
        <v>24</v>
      </c>
      <c r="F211" s="35">
        <v>4</v>
      </c>
      <c r="G211" s="35">
        <v>2</v>
      </c>
      <c r="H211" s="35">
        <v>92</v>
      </c>
      <c r="I211" s="35">
        <v>27</v>
      </c>
      <c r="J211" s="35">
        <v>76</v>
      </c>
    </row>
    <row r="212" spans="2:10" x14ac:dyDescent="0.25">
      <c r="B212">
        <v>2</v>
      </c>
      <c r="C212" s="32" t="s">
        <v>64</v>
      </c>
      <c r="D212" s="35">
        <v>30</v>
      </c>
      <c r="E212" s="35">
        <v>22</v>
      </c>
      <c r="F212" s="35">
        <v>3</v>
      </c>
      <c r="G212" s="35">
        <v>5</v>
      </c>
      <c r="H212" s="35">
        <v>90</v>
      </c>
      <c r="I212" s="35">
        <v>21</v>
      </c>
      <c r="J212" s="35">
        <v>69</v>
      </c>
    </row>
    <row r="213" spans="2:10" x14ac:dyDescent="0.25">
      <c r="B213">
        <v>3</v>
      </c>
      <c r="C213" s="32" t="s">
        <v>32</v>
      </c>
      <c r="D213" s="35">
        <v>30</v>
      </c>
      <c r="E213" s="35">
        <v>21</v>
      </c>
      <c r="F213" s="35">
        <v>6</v>
      </c>
      <c r="G213" s="35">
        <v>3</v>
      </c>
      <c r="H213" s="35">
        <v>73</v>
      </c>
      <c r="I213" s="35">
        <v>16</v>
      </c>
      <c r="J213" s="35">
        <v>69</v>
      </c>
    </row>
    <row r="214" spans="2:10" x14ac:dyDescent="0.25">
      <c r="B214">
        <v>4</v>
      </c>
      <c r="C214" s="32" t="s">
        <v>131</v>
      </c>
      <c r="D214" s="35">
        <v>30</v>
      </c>
      <c r="E214" s="35">
        <v>20</v>
      </c>
      <c r="F214" s="35">
        <v>2</v>
      </c>
      <c r="G214" s="35">
        <v>8</v>
      </c>
      <c r="H214" s="35">
        <v>69</v>
      </c>
      <c r="I214" s="35">
        <v>35</v>
      </c>
      <c r="J214" s="35">
        <v>62</v>
      </c>
    </row>
    <row r="215" spans="2:10" x14ac:dyDescent="0.25">
      <c r="B215">
        <v>5</v>
      </c>
      <c r="C215" s="32" t="s">
        <v>33</v>
      </c>
      <c r="D215" s="35">
        <v>30</v>
      </c>
      <c r="E215" s="35">
        <v>18</v>
      </c>
      <c r="F215" s="35">
        <v>1</v>
      </c>
      <c r="G215" s="35">
        <v>11</v>
      </c>
      <c r="H215" s="35">
        <v>86</v>
      </c>
      <c r="I215" s="35">
        <v>45</v>
      </c>
      <c r="J215" s="35">
        <v>55</v>
      </c>
    </row>
    <row r="216" spans="2:10" x14ac:dyDescent="0.25">
      <c r="B216">
        <v>6</v>
      </c>
      <c r="C216" s="32" t="s">
        <v>58</v>
      </c>
      <c r="D216" s="35">
        <v>30</v>
      </c>
      <c r="E216" s="35">
        <v>15</v>
      </c>
      <c r="F216" s="35">
        <v>7</v>
      </c>
      <c r="G216" s="35">
        <v>8</v>
      </c>
      <c r="H216" s="35">
        <v>56</v>
      </c>
      <c r="I216" s="35">
        <v>31</v>
      </c>
      <c r="J216" s="35">
        <v>52</v>
      </c>
    </row>
    <row r="217" spans="2:10" x14ac:dyDescent="0.25">
      <c r="B217">
        <v>7</v>
      </c>
      <c r="C217" s="32" t="s">
        <v>71</v>
      </c>
      <c r="D217" s="35">
        <v>30</v>
      </c>
      <c r="E217" s="35">
        <v>14</v>
      </c>
      <c r="F217" s="35">
        <v>5</v>
      </c>
      <c r="G217" s="35">
        <v>11</v>
      </c>
      <c r="H217" s="35">
        <v>63</v>
      </c>
      <c r="I217" s="35">
        <v>45</v>
      </c>
      <c r="J217" s="35">
        <v>47</v>
      </c>
    </row>
    <row r="218" spans="2:10" x14ac:dyDescent="0.25">
      <c r="B218">
        <v>8</v>
      </c>
      <c r="C218" s="32" t="s">
        <v>112</v>
      </c>
      <c r="D218" s="35">
        <v>30</v>
      </c>
      <c r="E218" s="35">
        <v>14</v>
      </c>
      <c r="F218" s="35">
        <v>5</v>
      </c>
      <c r="G218" s="35">
        <v>11</v>
      </c>
      <c r="H218" s="35">
        <v>54</v>
      </c>
      <c r="I218" s="35">
        <v>36</v>
      </c>
      <c r="J218" s="35">
        <v>47</v>
      </c>
    </row>
    <row r="219" spans="2:10" x14ac:dyDescent="0.25">
      <c r="B219">
        <v>9</v>
      </c>
      <c r="C219" s="32" t="s">
        <v>43</v>
      </c>
      <c r="D219" s="35">
        <v>30</v>
      </c>
      <c r="E219" s="35">
        <v>13</v>
      </c>
      <c r="F219" s="35">
        <v>6</v>
      </c>
      <c r="G219" s="35">
        <v>11</v>
      </c>
      <c r="H219" s="35">
        <v>52</v>
      </c>
      <c r="I219" s="35">
        <v>37</v>
      </c>
      <c r="J219" s="35">
        <v>45</v>
      </c>
    </row>
    <row r="220" spans="2:10" x14ac:dyDescent="0.25">
      <c r="B220">
        <v>10</v>
      </c>
      <c r="C220" s="32" t="s">
        <v>130</v>
      </c>
      <c r="D220" s="35">
        <v>30</v>
      </c>
      <c r="E220" s="35">
        <v>12</v>
      </c>
      <c r="F220" s="35">
        <v>3</v>
      </c>
      <c r="G220" s="35">
        <v>15</v>
      </c>
      <c r="H220" s="35">
        <v>45</v>
      </c>
      <c r="I220" s="35">
        <v>47</v>
      </c>
      <c r="J220" s="35">
        <v>39</v>
      </c>
    </row>
    <row r="221" spans="2:10" x14ac:dyDescent="0.25">
      <c r="B221">
        <v>11</v>
      </c>
      <c r="C221" s="32" t="s">
        <v>115</v>
      </c>
      <c r="D221" s="35">
        <v>30</v>
      </c>
      <c r="E221" s="35">
        <v>9</v>
      </c>
      <c r="F221" s="35">
        <v>6</v>
      </c>
      <c r="G221" s="35">
        <v>15</v>
      </c>
      <c r="H221" s="35">
        <v>35</v>
      </c>
      <c r="I221" s="35">
        <v>40</v>
      </c>
      <c r="J221" s="35">
        <v>33</v>
      </c>
    </row>
    <row r="222" spans="2:10" x14ac:dyDescent="0.25">
      <c r="B222">
        <v>12</v>
      </c>
      <c r="C222" s="32" t="s">
        <v>76</v>
      </c>
      <c r="D222" s="35">
        <v>30</v>
      </c>
      <c r="E222" s="35">
        <v>10</v>
      </c>
      <c r="F222" s="35">
        <v>3</v>
      </c>
      <c r="G222" s="35">
        <v>17</v>
      </c>
      <c r="H222" s="35">
        <v>48</v>
      </c>
      <c r="I222" s="35">
        <v>64</v>
      </c>
      <c r="J222" s="35">
        <v>33</v>
      </c>
    </row>
    <row r="223" spans="2:10" x14ac:dyDescent="0.25">
      <c r="B223">
        <v>13</v>
      </c>
      <c r="C223" s="32" t="s">
        <v>146</v>
      </c>
      <c r="D223" s="35">
        <v>30</v>
      </c>
      <c r="E223" s="35">
        <v>9</v>
      </c>
      <c r="F223" s="35">
        <v>6</v>
      </c>
      <c r="G223" s="35">
        <v>15</v>
      </c>
      <c r="H223" s="35">
        <v>40</v>
      </c>
      <c r="I223" s="35">
        <v>62</v>
      </c>
      <c r="J223" s="35">
        <v>33</v>
      </c>
    </row>
    <row r="224" spans="2:10" x14ac:dyDescent="0.25">
      <c r="B224">
        <v>14</v>
      </c>
      <c r="C224" s="32" t="s">
        <v>147</v>
      </c>
      <c r="D224" s="35">
        <v>30</v>
      </c>
      <c r="E224" s="35">
        <v>3</v>
      </c>
      <c r="F224" s="35">
        <v>5</v>
      </c>
      <c r="G224" s="35">
        <v>22</v>
      </c>
      <c r="H224" s="35">
        <v>23</v>
      </c>
      <c r="I224" s="35">
        <v>64</v>
      </c>
      <c r="J224" s="35">
        <v>14</v>
      </c>
    </row>
    <row r="225" spans="2:10" x14ac:dyDescent="0.25">
      <c r="B225">
        <v>15</v>
      </c>
      <c r="C225" s="32" t="s">
        <v>153</v>
      </c>
      <c r="D225" s="35">
        <v>30</v>
      </c>
      <c r="E225" s="35">
        <v>3</v>
      </c>
      <c r="F225" s="35">
        <v>4</v>
      </c>
      <c r="G225" s="35">
        <v>23</v>
      </c>
      <c r="H225" s="35">
        <v>21</v>
      </c>
      <c r="I225" s="35">
        <v>89</v>
      </c>
      <c r="J225" s="35">
        <v>13</v>
      </c>
    </row>
    <row r="226" spans="2:10" x14ac:dyDescent="0.25">
      <c r="B226">
        <v>16</v>
      </c>
      <c r="C226" s="32" t="s">
        <v>154</v>
      </c>
      <c r="D226" s="35">
        <v>30</v>
      </c>
      <c r="E226" s="35">
        <v>0</v>
      </c>
      <c r="F226" s="35">
        <v>0</v>
      </c>
      <c r="G226" s="35">
        <v>30</v>
      </c>
      <c r="H226" s="35">
        <v>6</v>
      </c>
      <c r="I226" s="35">
        <v>193</v>
      </c>
      <c r="J226" s="35">
        <v>0</v>
      </c>
    </row>
    <row r="228" spans="2:10" x14ac:dyDescent="0.25">
      <c r="B228" s="50" t="s">
        <v>152</v>
      </c>
      <c r="C228" s="50"/>
      <c r="D228" s="50"/>
      <c r="E228" s="50"/>
      <c r="F228" s="50"/>
      <c r="G228" s="50"/>
      <c r="H228" s="50"/>
      <c r="I228" s="50"/>
      <c r="J228" s="50"/>
    </row>
    <row r="229" spans="2:10" x14ac:dyDescent="0.25">
      <c r="B229">
        <v>1</v>
      </c>
      <c r="C229" s="32" t="s">
        <v>64</v>
      </c>
      <c r="D229" s="35">
        <v>30</v>
      </c>
      <c r="E229" s="35">
        <v>23</v>
      </c>
      <c r="F229" s="35">
        <v>3</v>
      </c>
      <c r="G229" s="35">
        <v>4</v>
      </c>
      <c r="H229" s="35">
        <v>84</v>
      </c>
      <c r="I229" s="35">
        <v>15</v>
      </c>
      <c r="J229" s="35">
        <f t="shared" ref="J229:J244" si="50">E229*3+F229</f>
        <v>72</v>
      </c>
    </row>
    <row r="230" spans="2:10" x14ac:dyDescent="0.25">
      <c r="B230">
        <v>2</v>
      </c>
      <c r="C230" s="32" t="s">
        <v>112</v>
      </c>
      <c r="D230" s="35">
        <v>30</v>
      </c>
      <c r="E230" s="35">
        <v>19</v>
      </c>
      <c r="F230" s="35">
        <v>4</v>
      </c>
      <c r="G230" s="35">
        <v>7</v>
      </c>
      <c r="H230" s="35">
        <v>66</v>
      </c>
      <c r="I230" s="35">
        <v>25</v>
      </c>
      <c r="J230" s="35">
        <f t="shared" si="50"/>
        <v>61</v>
      </c>
    </row>
    <row r="231" spans="2:10" x14ac:dyDescent="0.25">
      <c r="B231">
        <v>3</v>
      </c>
      <c r="C231" s="32" t="s">
        <v>32</v>
      </c>
      <c r="D231" s="35">
        <v>30</v>
      </c>
      <c r="E231" s="35">
        <v>18</v>
      </c>
      <c r="F231" s="35">
        <v>5</v>
      </c>
      <c r="G231" s="35">
        <v>7</v>
      </c>
      <c r="H231" s="35">
        <v>64</v>
      </c>
      <c r="I231" s="35">
        <v>35</v>
      </c>
      <c r="J231" s="35">
        <f t="shared" si="50"/>
        <v>59</v>
      </c>
    </row>
    <row r="232" spans="2:10" x14ac:dyDescent="0.25">
      <c r="B232">
        <v>4</v>
      </c>
      <c r="C232" s="32" t="s">
        <v>58</v>
      </c>
      <c r="D232" s="35">
        <v>30</v>
      </c>
      <c r="E232" s="35">
        <v>17</v>
      </c>
      <c r="F232" s="35">
        <v>5</v>
      </c>
      <c r="G232" s="35">
        <v>8</v>
      </c>
      <c r="H232" s="35">
        <v>52</v>
      </c>
      <c r="I232" s="35">
        <v>33</v>
      </c>
      <c r="J232" s="35">
        <f t="shared" si="50"/>
        <v>56</v>
      </c>
    </row>
    <row r="233" spans="2:10" x14ac:dyDescent="0.25">
      <c r="B233">
        <v>5</v>
      </c>
      <c r="C233" s="32" t="s">
        <v>33</v>
      </c>
      <c r="D233" s="35">
        <v>30</v>
      </c>
      <c r="E233" s="35">
        <v>16</v>
      </c>
      <c r="F233" s="35">
        <v>6</v>
      </c>
      <c r="G233" s="35">
        <v>8</v>
      </c>
      <c r="H233" s="35">
        <v>77</v>
      </c>
      <c r="I233" s="35">
        <v>41</v>
      </c>
      <c r="J233" s="35">
        <f t="shared" si="50"/>
        <v>54</v>
      </c>
    </row>
    <row r="234" spans="2:10" x14ac:dyDescent="0.25">
      <c r="B234">
        <v>6</v>
      </c>
      <c r="C234" s="32" t="s">
        <v>43</v>
      </c>
      <c r="D234" s="35">
        <v>30</v>
      </c>
      <c r="E234" s="35">
        <v>15</v>
      </c>
      <c r="F234" s="35">
        <v>7</v>
      </c>
      <c r="G234" s="35">
        <v>8</v>
      </c>
      <c r="H234" s="35">
        <v>70</v>
      </c>
      <c r="I234" s="35">
        <v>35</v>
      </c>
      <c r="J234" s="35">
        <f t="shared" si="50"/>
        <v>52</v>
      </c>
    </row>
    <row r="235" spans="2:10" x14ac:dyDescent="0.25">
      <c r="B235">
        <v>7</v>
      </c>
      <c r="C235" s="32" t="s">
        <v>92</v>
      </c>
      <c r="D235" s="35">
        <v>30</v>
      </c>
      <c r="E235" s="35">
        <v>16</v>
      </c>
      <c r="F235" s="35">
        <v>2</v>
      </c>
      <c r="G235" s="35">
        <v>12</v>
      </c>
      <c r="H235" s="35">
        <v>66</v>
      </c>
      <c r="I235" s="35">
        <v>38</v>
      </c>
      <c r="J235" s="35">
        <f t="shared" si="50"/>
        <v>50</v>
      </c>
    </row>
    <row r="236" spans="2:10" x14ac:dyDescent="0.25">
      <c r="B236">
        <v>8</v>
      </c>
      <c r="C236" s="32" t="s">
        <v>71</v>
      </c>
      <c r="D236" s="35">
        <v>30</v>
      </c>
      <c r="E236" s="35">
        <v>16</v>
      </c>
      <c r="F236" s="35">
        <v>2</v>
      </c>
      <c r="G236" s="35">
        <v>12</v>
      </c>
      <c r="H236" s="35">
        <v>74</v>
      </c>
      <c r="I236" s="35">
        <v>48</v>
      </c>
      <c r="J236" s="35">
        <f t="shared" si="50"/>
        <v>50</v>
      </c>
    </row>
    <row r="237" spans="2:10" x14ac:dyDescent="0.25">
      <c r="B237">
        <v>9</v>
      </c>
      <c r="C237" s="32" t="s">
        <v>128</v>
      </c>
      <c r="D237" s="35">
        <v>30</v>
      </c>
      <c r="E237" s="35">
        <v>14</v>
      </c>
      <c r="F237" s="35">
        <v>6</v>
      </c>
      <c r="G237" s="35">
        <v>10</v>
      </c>
      <c r="H237" s="35">
        <v>45</v>
      </c>
      <c r="I237" s="35">
        <v>37</v>
      </c>
      <c r="J237" s="35">
        <f t="shared" si="50"/>
        <v>48</v>
      </c>
    </row>
    <row r="238" spans="2:10" x14ac:dyDescent="0.25">
      <c r="B238">
        <v>10</v>
      </c>
      <c r="C238" s="32" t="s">
        <v>131</v>
      </c>
      <c r="D238" s="35">
        <v>30</v>
      </c>
      <c r="E238" s="35">
        <v>14</v>
      </c>
      <c r="F238" s="35">
        <v>5</v>
      </c>
      <c r="G238" s="35">
        <v>11</v>
      </c>
      <c r="H238" s="35">
        <v>61</v>
      </c>
      <c r="I238" s="35">
        <v>42</v>
      </c>
      <c r="J238" s="35">
        <f t="shared" si="50"/>
        <v>47</v>
      </c>
    </row>
    <row r="239" spans="2:10" x14ac:dyDescent="0.25">
      <c r="B239">
        <v>11</v>
      </c>
      <c r="C239" s="32" t="s">
        <v>115</v>
      </c>
      <c r="D239" s="35">
        <v>30</v>
      </c>
      <c r="E239" s="35">
        <v>12</v>
      </c>
      <c r="F239" s="35">
        <v>5</v>
      </c>
      <c r="G239" s="35">
        <v>13</v>
      </c>
      <c r="H239" s="35">
        <v>47</v>
      </c>
      <c r="I239" s="35">
        <v>45</v>
      </c>
      <c r="J239" s="35">
        <f t="shared" si="50"/>
        <v>41</v>
      </c>
    </row>
    <row r="240" spans="2:10" x14ac:dyDescent="0.25">
      <c r="B240">
        <v>12</v>
      </c>
      <c r="C240" s="32" t="s">
        <v>76</v>
      </c>
      <c r="D240" s="35">
        <v>30</v>
      </c>
      <c r="E240" s="35">
        <v>10</v>
      </c>
      <c r="F240" s="35">
        <v>4</v>
      </c>
      <c r="G240" s="35">
        <v>16</v>
      </c>
      <c r="H240" s="35">
        <v>54</v>
      </c>
      <c r="I240" s="35">
        <v>55</v>
      </c>
      <c r="J240" s="35">
        <f t="shared" si="50"/>
        <v>34</v>
      </c>
    </row>
    <row r="241" spans="2:10" x14ac:dyDescent="0.25">
      <c r="B241">
        <v>13</v>
      </c>
      <c r="C241" s="32" t="s">
        <v>130</v>
      </c>
      <c r="D241" s="35">
        <v>30</v>
      </c>
      <c r="E241" s="35">
        <v>8</v>
      </c>
      <c r="F241" s="35">
        <v>5</v>
      </c>
      <c r="G241" s="35">
        <v>17</v>
      </c>
      <c r="H241" s="35">
        <v>50</v>
      </c>
      <c r="I241" s="35">
        <v>77</v>
      </c>
      <c r="J241" s="35">
        <f t="shared" si="50"/>
        <v>29</v>
      </c>
    </row>
    <row r="242" spans="2:10" x14ac:dyDescent="0.25">
      <c r="B242">
        <v>14</v>
      </c>
      <c r="C242" s="32" t="s">
        <v>147</v>
      </c>
      <c r="D242" s="35">
        <v>30</v>
      </c>
      <c r="E242" s="35">
        <v>4</v>
      </c>
      <c r="F242" s="35">
        <v>5</v>
      </c>
      <c r="G242" s="35">
        <v>21</v>
      </c>
      <c r="H242" s="35">
        <v>34</v>
      </c>
      <c r="I242" s="35">
        <v>68</v>
      </c>
      <c r="J242" s="35">
        <f t="shared" si="50"/>
        <v>17</v>
      </c>
    </row>
    <row r="243" spans="2:10" x14ac:dyDescent="0.25">
      <c r="B243">
        <v>15</v>
      </c>
      <c r="C243" s="32" t="s">
        <v>150</v>
      </c>
      <c r="D243" s="35">
        <v>30</v>
      </c>
      <c r="E243" s="35">
        <v>4</v>
      </c>
      <c r="F243" s="35">
        <v>4</v>
      </c>
      <c r="G243" s="35">
        <v>22</v>
      </c>
      <c r="H243" s="35">
        <v>28</v>
      </c>
      <c r="I243" s="35">
        <v>121</v>
      </c>
      <c r="J243" s="35">
        <f t="shared" si="50"/>
        <v>16</v>
      </c>
    </row>
    <row r="244" spans="2:10" x14ac:dyDescent="0.25">
      <c r="B244">
        <v>16</v>
      </c>
      <c r="C244" s="32" t="s">
        <v>151</v>
      </c>
      <c r="D244" s="35">
        <v>30</v>
      </c>
      <c r="E244" s="35">
        <v>0</v>
      </c>
      <c r="F244" s="35">
        <v>0</v>
      </c>
      <c r="G244" s="35">
        <v>30</v>
      </c>
      <c r="H244" s="35">
        <v>6</v>
      </c>
      <c r="I244" s="35">
        <v>163</v>
      </c>
      <c r="J244" s="35">
        <f t="shared" si="50"/>
        <v>0</v>
      </c>
    </row>
    <row r="246" spans="2:10" x14ac:dyDescent="0.25">
      <c r="B246" s="50" t="s">
        <v>149</v>
      </c>
      <c r="C246" s="50"/>
      <c r="D246" s="50"/>
      <c r="E246" s="50"/>
      <c r="F246" s="50"/>
      <c r="G246" s="50"/>
      <c r="H246" s="50"/>
      <c r="I246" s="50"/>
      <c r="J246" s="50"/>
    </row>
    <row r="247" spans="2:10" x14ac:dyDescent="0.25">
      <c r="B247">
        <v>1</v>
      </c>
      <c r="C247" s="32" t="s">
        <v>112</v>
      </c>
      <c r="D247" s="35">
        <v>30</v>
      </c>
      <c r="E247" s="35">
        <v>21</v>
      </c>
      <c r="F247" s="35">
        <v>2</v>
      </c>
      <c r="G247" s="35">
        <v>7</v>
      </c>
      <c r="H247" s="35">
        <v>63</v>
      </c>
      <c r="I247" s="35">
        <v>27</v>
      </c>
      <c r="J247">
        <v>79</v>
      </c>
    </row>
    <row r="248" spans="2:10" x14ac:dyDescent="0.25">
      <c r="B248">
        <v>2</v>
      </c>
      <c r="C248" s="32" t="s">
        <v>92</v>
      </c>
      <c r="D248" s="35">
        <v>30</v>
      </c>
      <c r="E248" s="35">
        <v>20</v>
      </c>
      <c r="F248" s="35">
        <v>3</v>
      </c>
      <c r="G248" s="35">
        <v>7</v>
      </c>
      <c r="H248" s="35">
        <v>86</v>
      </c>
      <c r="I248" s="35">
        <v>19</v>
      </c>
      <c r="J248">
        <v>79</v>
      </c>
    </row>
    <row r="249" spans="2:10" x14ac:dyDescent="0.25">
      <c r="B249">
        <v>3</v>
      </c>
      <c r="C249" s="32" t="s">
        <v>43</v>
      </c>
      <c r="D249" s="35">
        <v>30</v>
      </c>
      <c r="E249" s="35">
        <v>19</v>
      </c>
      <c r="F249" s="35">
        <v>5</v>
      </c>
      <c r="G249" s="35">
        <v>6</v>
      </c>
      <c r="H249" s="35">
        <v>73</v>
      </c>
      <c r="I249" s="35">
        <v>21</v>
      </c>
      <c r="J249">
        <v>69</v>
      </c>
    </row>
    <row r="250" spans="2:10" x14ac:dyDescent="0.25">
      <c r="B250">
        <v>4</v>
      </c>
      <c r="C250" s="32" t="s">
        <v>64</v>
      </c>
      <c r="D250" s="35">
        <v>30</v>
      </c>
      <c r="E250" s="35">
        <v>19</v>
      </c>
      <c r="F250" s="35">
        <v>4</v>
      </c>
      <c r="G250" s="35">
        <v>7</v>
      </c>
      <c r="H250" s="35">
        <v>87</v>
      </c>
      <c r="I250" s="35">
        <v>27</v>
      </c>
      <c r="J250">
        <v>67</v>
      </c>
    </row>
    <row r="251" spans="2:10" x14ac:dyDescent="0.25">
      <c r="B251">
        <v>5</v>
      </c>
      <c r="C251" s="32" t="s">
        <v>32</v>
      </c>
      <c r="D251" s="35">
        <v>30</v>
      </c>
      <c r="E251" s="35">
        <v>18</v>
      </c>
      <c r="F251" s="35">
        <v>3</v>
      </c>
      <c r="G251" s="35">
        <v>9</v>
      </c>
      <c r="H251" s="35">
        <v>65</v>
      </c>
      <c r="I251" s="35">
        <v>29</v>
      </c>
      <c r="J251">
        <v>56</v>
      </c>
    </row>
    <row r="252" spans="2:10" x14ac:dyDescent="0.25">
      <c r="B252">
        <v>6</v>
      </c>
      <c r="C252" s="32" t="s">
        <v>58</v>
      </c>
      <c r="D252" s="35">
        <v>30</v>
      </c>
      <c r="E252" s="35">
        <v>18</v>
      </c>
      <c r="F252" s="35">
        <v>3</v>
      </c>
      <c r="G252" s="35">
        <v>9</v>
      </c>
      <c r="H252" s="35">
        <v>53</v>
      </c>
      <c r="I252" s="35">
        <v>24</v>
      </c>
      <c r="J252">
        <v>53</v>
      </c>
    </row>
    <row r="253" spans="2:10" x14ac:dyDescent="0.25">
      <c r="B253">
        <v>7</v>
      </c>
      <c r="C253" s="32" t="s">
        <v>33</v>
      </c>
      <c r="D253" s="35">
        <v>30</v>
      </c>
      <c r="E253" s="35">
        <v>17</v>
      </c>
      <c r="F253" s="35">
        <v>5</v>
      </c>
      <c r="G253" s="35">
        <v>8</v>
      </c>
      <c r="H253" s="35">
        <v>64</v>
      </c>
      <c r="I253" s="35">
        <v>33</v>
      </c>
      <c r="J253">
        <v>52</v>
      </c>
    </row>
    <row r="254" spans="2:10" x14ac:dyDescent="0.25">
      <c r="B254">
        <v>8</v>
      </c>
      <c r="C254" s="32" t="s">
        <v>71</v>
      </c>
      <c r="D254" s="35">
        <v>30</v>
      </c>
      <c r="E254" s="35">
        <v>17</v>
      </c>
      <c r="F254" s="35">
        <v>3</v>
      </c>
      <c r="G254" s="35">
        <v>10</v>
      </c>
      <c r="H254" s="35">
        <v>69</v>
      </c>
      <c r="I254" s="35">
        <v>30</v>
      </c>
      <c r="J254">
        <v>48</v>
      </c>
    </row>
    <row r="255" spans="2:10" x14ac:dyDescent="0.25">
      <c r="B255">
        <v>9</v>
      </c>
      <c r="C255" s="32" t="s">
        <v>128</v>
      </c>
      <c r="D255" s="35">
        <v>30</v>
      </c>
      <c r="E255" s="35">
        <v>15</v>
      </c>
      <c r="F255" s="35">
        <v>9</v>
      </c>
      <c r="G255" s="35">
        <v>6</v>
      </c>
      <c r="H255" s="35">
        <v>53</v>
      </c>
      <c r="I255" s="35">
        <v>31</v>
      </c>
      <c r="J255">
        <v>41</v>
      </c>
    </row>
    <row r="256" spans="2:10" x14ac:dyDescent="0.25">
      <c r="B256">
        <v>10</v>
      </c>
      <c r="C256" s="32" t="s">
        <v>130</v>
      </c>
      <c r="D256" s="35">
        <v>30</v>
      </c>
      <c r="E256" s="35">
        <v>13</v>
      </c>
      <c r="F256" s="35">
        <v>7</v>
      </c>
      <c r="G256" s="35">
        <v>10</v>
      </c>
      <c r="H256" s="35">
        <v>47</v>
      </c>
      <c r="I256" s="35">
        <v>37</v>
      </c>
      <c r="J256">
        <v>37</v>
      </c>
    </row>
    <row r="257" spans="2:10" x14ac:dyDescent="0.25">
      <c r="B257">
        <v>11</v>
      </c>
      <c r="C257" s="32" t="s">
        <v>115</v>
      </c>
      <c r="D257" s="35">
        <v>30</v>
      </c>
      <c r="E257" s="35">
        <v>14</v>
      </c>
      <c r="F257" s="35">
        <v>3</v>
      </c>
      <c r="G257" s="35">
        <v>13</v>
      </c>
      <c r="H257" s="35">
        <v>59</v>
      </c>
      <c r="I257" s="35">
        <v>42</v>
      </c>
      <c r="J257">
        <v>31</v>
      </c>
    </row>
    <row r="258" spans="2:10" x14ac:dyDescent="0.25">
      <c r="B258">
        <v>12</v>
      </c>
      <c r="C258" s="32" t="s">
        <v>76</v>
      </c>
      <c r="D258" s="35">
        <v>30</v>
      </c>
      <c r="E258" s="35">
        <v>9</v>
      </c>
      <c r="F258" s="35">
        <v>2</v>
      </c>
      <c r="G258" s="35">
        <v>19</v>
      </c>
      <c r="H258" s="35">
        <v>31</v>
      </c>
      <c r="I258" s="35">
        <v>69</v>
      </c>
      <c r="J258">
        <v>29</v>
      </c>
    </row>
    <row r="259" spans="2:10" x14ac:dyDescent="0.25">
      <c r="B259">
        <v>13</v>
      </c>
      <c r="C259" s="32" t="s">
        <v>147</v>
      </c>
      <c r="D259" s="35">
        <v>30</v>
      </c>
      <c r="E259" s="35">
        <v>6</v>
      </c>
      <c r="F259" s="35">
        <v>3</v>
      </c>
      <c r="G259" s="35">
        <v>21</v>
      </c>
      <c r="H259" s="35">
        <v>34</v>
      </c>
      <c r="I259" s="35">
        <v>65</v>
      </c>
      <c r="J259">
        <v>26</v>
      </c>
    </row>
    <row r="260" spans="2:10" x14ac:dyDescent="0.25">
      <c r="B260">
        <v>14</v>
      </c>
      <c r="C260" s="32" t="s">
        <v>73</v>
      </c>
      <c r="D260" s="35">
        <v>30</v>
      </c>
      <c r="E260" s="35">
        <v>4</v>
      </c>
      <c r="F260" s="35">
        <v>1</v>
      </c>
      <c r="G260" s="35">
        <v>25</v>
      </c>
      <c r="H260" s="35">
        <v>27</v>
      </c>
      <c r="I260" s="35">
        <v>100</v>
      </c>
      <c r="J260">
        <v>25</v>
      </c>
    </row>
    <row r="261" spans="2:10" x14ac:dyDescent="0.25">
      <c r="B261">
        <v>15</v>
      </c>
      <c r="C261" s="32" t="s">
        <v>68</v>
      </c>
      <c r="D261" s="35">
        <v>30</v>
      </c>
      <c r="E261" s="35">
        <v>3</v>
      </c>
      <c r="F261" s="35">
        <v>1</v>
      </c>
      <c r="G261" s="35">
        <v>26</v>
      </c>
      <c r="H261" s="35">
        <v>24</v>
      </c>
      <c r="I261" s="35">
        <v>97</v>
      </c>
      <c r="J261">
        <v>5</v>
      </c>
    </row>
    <row r="262" spans="2:10" x14ac:dyDescent="0.25">
      <c r="B262">
        <v>16</v>
      </c>
      <c r="C262" s="32" t="s">
        <v>148</v>
      </c>
      <c r="D262" s="35">
        <v>30</v>
      </c>
      <c r="E262" s="35">
        <v>0</v>
      </c>
      <c r="F262" s="35">
        <v>0</v>
      </c>
      <c r="G262" s="35">
        <v>30</v>
      </c>
      <c r="H262" s="35">
        <v>5</v>
      </c>
      <c r="I262" s="35">
        <v>189</v>
      </c>
      <c r="J262">
        <v>0</v>
      </c>
    </row>
    <row r="264" spans="2:10" x14ac:dyDescent="0.25">
      <c r="B264" s="50" t="s">
        <v>145</v>
      </c>
      <c r="C264" s="50"/>
      <c r="D264" s="50"/>
      <c r="E264" s="50"/>
      <c r="F264" s="50"/>
      <c r="G264" s="50"/>
      <c r="H264" s="50"/>
      <c r="I264" s="50"/>
      <c r="J264" s="50"/>
    </row>
    <row r="265" spans="2:10" x14ac:dyDescent="0.25">
      <c r="B265">
        <v>1</v>
      </c>
      <c r="C265" t="s">
        <v>92</v>
      </c>
      <c r="D265">
        <v>30</v>
      </c>
      <c r="E265">
        <v>26</v>
      </c>
      <c r="F265">
        <v>2</v>
      </c>
      <c r="G265">
        <v>2</v>
      </c>
      <c r="H265">
        <v>89</v>
      </c>
      <c r="I265">
        <v>13</v>
      </c>
      <c r="J265">
        <v>80</v>
      </c>
    </row>
    <row r="266" spans="2:10" x14ac:dyDescent="0.25">
      <c r="B266">
        <v>2</v>
      </c>
      <c r="C266" t="s">
        <v>43</v>
      </c>
      <c r="D266">
        <v>30</v>
      </c>
      <c r="E266">
        <v>20</v>
      </c>
      <c r="F266">
        <v>4</v>
      </c>
      <c r="G266">
        <v>6</v>
      </c>
      <c r="H266">
        <v>67</v>
      </c>
      <c r="I266">
        <v>23</v>
      </c>
      <c r="J266">
        <v>64</v>
      </c>
    </row>
    <row r="267" spans="2:10" x14ac:dyDescent="0.25">
      <c r="B267">
        <v>3</v>
      </c>
      <c r="C267" t="s">
        <v>70</v>
      </c>
      <c r="D267">
        <v>30</v>
      </c>
      <c r="E267">
        <v>19</v>
      </c>
      <c r="F267">
        <v>2</v>
      </c>
      <c r="G267">
        <v>9</v>
      </c>
      <c r="H267">
        <v>77</v>
      </c>
      <c r="I267">
        <v>30</v>
      </c>
      <c r="J267">
        <v>59</v>
      </c>
    </row>
    <row r="268" spans="2:10" x14ac:dyDescent="0.25">
      <c r="B268">
        <v>4</v>
      </c>
      <c r="C268" t="s">
        <v>64</v>
      </c>
      <c r="D268">
        <v>30</v>
      </c>
      <c r="E268">
        <v>18</v>
      </c>
      <c r="F268">
        <v>5</v>
      </c>
      <c r="G268">
        <v>7</v>
      </c>
      <c r="H268">
        <v>56</v>
      </c>
      <c r="I268">
        <v>20</v>
      </c>
      <c r="J268">
        <v>59</v>
      </c>
    </row>
    <row r="269" spans="2:10" x14ac:dyDescent="0.25">
      <c r="B269">
        <v>5</v>
      </c>
      <c r="C269" t="s">
        <v>32</v>
      </c>
      <c r="D269">
        <v>30</v>
      </c>
      <c r="E269">
        <v>16</v>
      </c>
      <c r="F269">
        <v>5</v>
      </c>
      <c r="G269">
        <v>9</v>
      </c>
      <c r="H269">
        <v>44</v>
      </c>
      <c r="I269">
        <v>25</v>
      </c>
      <c r="J269">
        <v>53</v>
      </c>
    </row>
    <row r="270" spans="2:10" x14ac:dyDescent="0.25">
      <c r="B270">
        <v>6</v>
      </c>
      <c r="C270" t="s">
        <v>33</v>
      </c>
      <c r="D270">
        <v>30</v>
      </c>
      <c r="E270">
        <v>15</v>
      </c>
      <c r="F270">
        <v>6</v>
      </c>
      <c r="G270">
        <v>9</v>
      </c>
      <c r="H270">
        <v>64</v>
      </c>
      <c r="I270">
        <v>35</v>
      </c>
      <c r="J270">
        <v>51</v>
      </c>
    </row>
    <row r="271" spans="2:10" x14ac:dyDescent="0.25">
      <c r="B271">
        <v>7</v>
      </c>
      <c r="C271" t="s">
        <v>58</v>
      </c>
      <c r="D271">
        <v>30</v>
      </c>
      <c r="E271">
        <v>13</v>
      </c>
      <c r="F271">
        <v>9</v>
      </c>
      <c r="G271">
        <v>8</v>
      </c>
      <c r="H271">
        <v>41</v>
      </c>
      <c r="I271">
        <v>29</v>
      </c>
      <c r="J271">
        <v>48</v>
      </c>
    </row>
    <row r="272" spans="2:10" x14ac:dyDescent="0.25">
      <c r="B272">
        <v>8</v>
      </c>
      <c r="C272" t="s">
        <v>71</v>
      </c>
      <c r="D272">
        <v>30</v>
      </c>
      <c r="E272">
        <v>14</v>
      </c>
      <c r="F272">
        <v>5</v>
      </c>
      <c r="G272">
        <v>11</v>
      </c>
      <c r="H272">
        <v>58</v>
      </c>
      <c r="I272">
        <v>42</v>
      </c>
      <c r="J272">
        <v>47</v>
      </c>
    </row>
    <row r="273" spans="2:10" x14ac:dyDescent="0.25">
      <c r="B273">
        <v>9</v>
      </c>
      <c r="C273" t="s">
        <v>112</v>
      </c>
      <c r="D273">
        <v>30</v>
      </c>
      <c r="E273">
        <v>12</v>
      </c>
      <c r="F273">
        <v>9</v>
      </c>
      <c r="G273">
        <v>9</v>
      </c>
      <c r="H273">
        <v>34</v>
      </c>
      <c r="I273">
        <v>31</v>
      </c>
      <c r="J273">
        <v>45</v>
      </c>
    </row>
    <row r="274" spans="2:10" x14ac:dyDescent="0.25">
      <c r="B274">
        <v>10</v>
      </c>
      <c r="C274" t="s">
        <v>130</v>
      </c>
      <c r="D274">
        <v>30</v>
      </c>
      <c r="E274">
        <v>12</v>
      </c>
      <c r="F274">
        <v>3</v>
      </c>
      <c r="G274">
        <v>15</v>
      </c>
      <c r="H274">
        <v>51</v>
      </c>
      <c r="I274">
        <v>53</v>
      </c>
      <c r="J274">
        <v>39</v>
      </c>
    </row>
    <row r="275" spans="2:10" x14ac:dyDescent="0.25">
      <c r="B275">
        <v>11</v>
      </c>
      <c r="C275" t="s">
        <v>115</v>
      </c>
      <c r="D275">
        <v>30</v>
      </c>
      <c r="E275">
        <v>11</v>
      </c>
      <c r="F275">
        <v>3</v>
      </c>
      <c r="G275">
        <v>16</v>
      </c>
      <c r="H275">
        <v>40</v>
      </c>
      <c r="I275">
        <v>72</v>
      </c>
      <c r="J275">
        <v>36</v>
      </c>
    </row>
    <row r="276" spans="2:10" x14ac:dyDescent="0.25">
      <c r="B276">
        <v>12</v>
      </c>
      <c r="C276" t="s">
        <v>76</v>
      </c>
      <c r="D276">
        <v>30</v>
      </c>
      <c r="E276">
        <v>11</v>
      </c>
      <c r="F276">
        <v>1</v>
      </c>
      <c r="G276">
        <v>18</v>
      </c>
      <c r="H276">
        <v>38</v>
      </c>
      <c r="I276">
        <v>55</v>
      </c>
      <c r="J276">
        <v>34</v>
      </c>
    </row>
    <row r="277" spans="2:10" x14ac:dyDescent="0.25">
      <c r="B277">
        <v>13</v>
      </c>
      <c r="C277" t="s">
        <v>73</v>
      </c>
      <c r="D277">
        <v>30</v>
      </c>
      <c r="E277">
        <v>9</v>
      </c>
      <c r="F277">
        <v>4</v>
      </c>
      <c r="G277">
        <v>17</v>
      </c>
      <c r="H277">
        <v>43</v>
      </c>
      <c r="I277">
        <v>68</v>
      </c>
      <c r="J277">
        <v>31</v>
      </c>
    </row>
    <row r="278" spans="2:10" x14ac:dyDescent="0.25">
      <c r="B278">
        <v>14</v>
      </c>
      <c r="C278" t="s">
        <v>128</v>
      </c>
      <c r="D278">
        <v>30</v>
      </c>
      <c r="E278">
        <v>8</v>
      </c>
      <c r="F278">
        <v>3</v>
      </c>
      <c r="G278">
        <v>19</v>
      </c>
      <c r="H278">
        <v>34</v>
      </c>
      <c r="I278">
        <v>52</v>
      </c>
      <c r="J278">
        <v>27</v>
      </c>
    </row>
    <row r="279" spans="2:10" x14ac:dyDescent="0.25">
      <c r="B279">
        <v>15</v>
      </c>
      <c r="C279" t="s">
        <v>56</v>
      </c>
      <c r="D279">
        <v>30</v>
      </c>
      <c r="E279">
        <v>3</v>
      </c>
      <c r="F279">
        <v>0</v>
      </c>
      <c r="G279">
        <v>27</v>
      </c>
      <c r="H279">
        <v>8</v>
      </c>
      <c r="I279">
        <v>98</v>
      </c>
      <c r="J279">
        <v>9</v>
      </c>
    </row>
    <row r="280" spans="2:10" x14ac:dyDescent="0.25">
      <c r="B280">
        <v>16</v>
      </c>
      <c r="C280" t="s">
        <v>146</v>
      </c>
      <c r="D280">
        <v>30</v>
      </c>
      <c r="E280">
        <v>2</v>
      </c>
      <c r="F280">
        <v>1</v>
      </c>
      <c r="G280">
        <v>27</v>
      </c>
      <c r="H280">
        <v>11</v>
      </c>
      <c r="I280">
        <v>109</v>
      </c>
      <c r="J280">
        <v>7</v>
      </c>
    </row>
    <row r="282" spans="2:10" x14ac:dyDescent="0.25">
      <c r="B282" s="50" t="s">
        <v>134</v>
      </c>
      <c r="C282" s="50"/>
      <c r="D282" s="50"/>
      <c r="E282" s="50"/>
      <c r="F282" s="50"/>
      <c r="G282" s="50"/>
      <c r="H282" s="50"/>
      <c r="I282" s="50"/>
      <c r="J282" s="50"/>
    </row>
    <row r="283" spans="2:10" x14ac:dyDescent="0.25">
      <c r="B283">
        <v>1</v>
      </c>
      <c r="C283" t="s">
        <v>64</v>
      </c>
      <c r="D283">
        <v>30</v>
      </c>
      <c r="E283">
        <v>26</v>
      </c>
      <c r="F283">
        <v>1</v>
      </c>
      <c r="G283">
        <v>3</v>
      </c>
      <c r="H283">
        <v>108</v>
      </c>
      <c r="I283">
        <v>23</v>
      </c>
      <c r="J283">
        <v>79</v>
      </c>
    </row>
    <row r="284" spans="2:10" x14ac:dyDescent="0.25">
      <c r="B284">
        <v>2</v>
      </c>
      <c r="C284" t="s">
        <v>92</v>
      </c>
      <c r="D284">
        <v>30</v>
      </c>
      <c r="E284">
        <v>26</v>
      </c>
      <c r="F284">
        <v>1</v>
      </c>
      <c r="G284">
        <v>3</v>
      </c>
      <c r="H284">
        <v>88</v>
      </c>
      <c r="I284">
        <v>16</v>
      </c>
      <c r="J284">
        <v>79</v>
      </c>
    </row>
    <row r="285" spans="2:10" x14ac:dyDescent="0.25">
      <c r="B285">
        <v>3</v>
      </c>
      <c r="C285" t="s">
        <v>70</v>
      </c>
      <c r="D285">
        <v>30</v>
      </c>
      <c r="E285">
        <v>23</v>
      </c>
      <c r="F285">
        <v>0</v>
      </c>
      <c r="G285">
        <v>7</v>
      </c>
      <c r="H285">
        <v>101</v>
      </c>
      <c r="I285">
        <v>30</v>
      </c>
      <c r="J285">
        <v>69</v>
      </c>
    </row>
    <row r="286" spans="2:10" x14ac:dyDescent="0.25">
      <c r="B286">
        <v>4</v>
      </c>
      <c r="C286" t="s">
        <v>33</v>
      </c>
      <c r="D286">
        <v>30</v>
      </c>
      <c r="E286">
        <v>22</v>
      </c>
      <c r="F286">
        <v>1</v>
      </c>
      <c r="G286">
        <v>7</v>
      </c>
      <c r="H286">
        <v>90</v>
      </c>
      <c r="I286">
        <v>31</v>
      </c>
      <c r="J286">
        <v>67</v>
      </c>
    </row>
    <row r="287" spans="2:10" x14ac:dyDescent="0.25">
      <c r="B287">
        <v>5</v>
      </c>
      <c r="C287" t="s">
        <v>58</v>
      </c>
      <c r="D287">
        <v>30</v>
      </c>
      <c r="E287">
        <v>17</v>
      </c>
      <c r="F287">
        <v>5</v>
      </c>
      <c r="G287">
        <v>8</v>
      </c>
      <c r="H287">
        <v>70</v>
      </c>
      <c r="I287">
        <v>29</v>
      </c>
      <c r="J287">
        <v>56</v>
      </c>
    </row>
    <row r="288" spans="2:10" x14ac:dyDescent="0.25">
      <c r="B288">
        <v>6</v>
      </c>
      <c r="C288" t="s">
        <v>32</v>
      </c>
      <c r="D288">
        <v>30</v>
      </c>
      <c r="E288">
        <v>17</v>
      </c>
      <c r="F288">
        <v>2</v>
      </c>
      <c r="G288">
        <v>11</v>
      </c>
      <c r="H288">
        <v>58</v>
      </c>
      <c r="I288">
        <v>34</v>
      </c>
      <c r="J288">
        <v>53</v>
      </c>
    </row>
    <row r="289" spans="2:11" x14ac:dyDescent="0.25">
      <c r="B289">
        <v>7</v>
      </c>
      <c r="C289" t="s">
        <v>71</v>
      </c>
      <c r="D289">
        <v>30</v>
      </c>
      <c r="E289">
        <v>16</v>
      </c>
      <c r="F289">
        <v>4</v>
      </c>
      <c r="G289">
        <v>10</v>
      </c>
      <c r="H289">
        <v>65</v>
      </c>
      <c r="I289">
        <v>38</v>
      </c>
      <c r="J289">
        <v>52</v>
      </c>
    </row>
    <row r="290" spans="2:11" x14ac:dyDescent="0.25">
      <c r="B290">
        <v>8</v>
      </c>
      <c r="C290" t="s">
        <v>43</v>
      </c>
      <c r="D290">
        <v>30</v>
      </c>
      <c r="E290">
        <v>14</v>
      </c>
      <c r="F290">
        <v>6</v>
      </c>
      <c r="G290">
        <v>10</v>
      </c>
      <c r="H290">
        <v>50</v>
      </c>
      <c r="I290">
        <v>39</v>
      </c>
      <c r="J290">
        <v>48</v>
      </c>
    </row>
    <row r="291" spans="2:11" x14ac:dyDescent="0.25">
      <c r="B291">
        <v>9</v>
      </c>
      <c r="C291" t="s">
        <v>130</v>
      </c>
      <c r="D291">
        <v>30</v>
      </c>
      <c r="E291">
        <v>12</v>
      </c>
      <c r="F291">
        <v>5</v>
      </c>
      <c r="G291">
        <v>13</v>
      </c>
      <c r="H291">
        <v>45</v>
      </c>
      <c r="I291">
        <v>51</v>
      </c>
      <c r="J291">
        <v>41</v>
      </c>
    </row>
    <row r="292" spans="2:11" x14ac:dyDescent="0.25">
      <c r="B292">
        <v>10</v>
      </c>
      <c r="C292" t="s">
        <v>112</v>
      </c>
      <c r="D292">
        <v>30</v>
      </c>
      <c r="E292">
        <v>11</v>
      </c>
      <c r="F292">
        <v>4</v>
      </c>
      <c r="G292">
        <v>15</v>
      </c>
      <c r="H292">
        <v>33</v>
      </c>
      <c r="I292">
        <v>53</v>
      </c>
      <c r="J292">
        <v>37</v>
      </c>
    </row>
    <row r="293" spans="2:11" x14ac:dyDescent="0.25">
      <c r="B293">
        <v>11</v>
      </c>
      <c r="C293" t="s">
        <v>128</v>
      </c>
      <c r="D293">
        <v>30</v>
      </c>
      <c r="E293">
        <v>10</v>
      </c>
      <c r="F293">
        <v>1</v>
      </c>
      <c r="G293">
        <v>19</v>
      </c>
      <c r="H293">
        <v>44</v>
      </c>
      <c r="I293">
        <v>67</v>
      </c>
      <c r="J293">
        <v>31</v>
      </c>
    </row>
    <row r="294" spans="2:11" x14ac:dyDescent="0.25">
      <c r="B294">
        <v>12</v>
      </c>
      <c r="C294" t="s">
        <v>73</v>
      </c>
      <c r="D294">
        <v>30</v>
      </c>
      <c r="E294">
        <v>9</v>
      </c>
      <c r="F294">
        <v>2</v>
      </c>
      <c r="G294">
        <v>19</v>
      </c>
      <c r="H294">
        <v>32</v>
      </c>
      <c r="I294">
        <v>80</v>
      </c>
      <c r="J294">
        <v>29</v>
      </c>
    </row>
    <row r="295" spans="2:11" x14ac:dyDescent="0.25">
      <c r="B295">
        <v>13</v>
      </c>
      <c r="C295" t="s">
        <v>76</v>
      </c>
      <c r="D295">
        <v>30</v>
      </c>
      <c r="E295">
        <v>8</v>
      </c>
      <c r="F295">
        <v>2</v>
      </c>
      <c r="G295">
        <v>20</v>
      </c>
      <c r="H295">
        <v>30</v>
      </c>
      <c r="I295">
        <v>81</v>
      </c>
      <c r="J295">
        <v>26</v>
      </c>
    </row>
    <row r="296" spans="2:11" x14ac:dyDescent="0.25">
      <c r="B296">
        <v>14</v>
      </c>
      <c r="C296" t="s">
        <v>115</v>
      </c>
      <c r="D296">
        <v>30</v>
      </c>
      <c r="E296">
        <v>8</v>
      </c>
      <c r="F296">
        <v>1</v>
      </c>
      <c r="G296">
        <v>21</v>
      </c>
      <c r="H296">
        <v>40</v>
      </c>
      <c r="I296">
        <v>61</v>
      </c>
      <c r="J296">
        <v>25</v>
      </c>
    </row>
    <row r="297" spans="2:11" x14ac:dyDescent="0.25">
      <c r="B297">
        <v>15</v>
      </c>
      <c r="C297" t="s">
        <v>68</v>
      </c>
      <c r="D297">
        <v>30</v>
      </c>
      <c r="E297">
        <v>1</v>
      </c>
      <c r="F297">
        <v>2</v>
      </c>
      <c r="G297">
        <v>27</v>
      </c>
      <c r="H297">
        <v>18</v>
      </c>
      <c r="I297">
        <v>104</v>
      </c>
      <c r="J297">
        <v>5</v>
      </c>
    </row>
    <row r="298" spans="2:11" x14ac:dyDescent="0.25">
      <c r="B298">
        <v>16</v>
      </c>
      <c r="C298" t="s">
        <v>133</v>
      </c>
      <c r="D298">
        <v>22</v>
      </c>
      <c r="E298">
        <v>0</v>
      </c>
      <c r="F298">
        <v>0</v>
      </c>
      <c r="G298">
        <v>22</v>
      </c>
      <c r="H298">
        <v>8</v>
      </c>
      <c r="I298">
        <v>127</v>
      </c>
      <c r="J298">
        <v>0</v>
      </c>
    </row>
    <row r="300" spans="2:11" x14ac:dyDescent="0.25">
      <c r="K300" s="24"/>
    </row>
    <row r="301" spans="2:11" x14ac:dyDescent="0.25">
      <c r="B301" s="50" t="s">
        <v>132</v>
      </c>
      <c r="C301" s="50"/>
      <c r="D301" s="50"/>
      <c r="E301" s="50"/>
      <c r="F301" s="50"/>
      <c r="G301" s="50"/>
      <c r="H301" s="50"/>
      <c r="I301" s="50"/>
      <c r="J301" s="50"/>
      <c r="K301" s="24"/>
    </row>
    <row r="302" spans="2:11" x14ac:dyDescent="0.25">
      <c r="B302">
        <v>1</v>
      </c>
      <c r="C302" t="s">
        <v>70</v>
      </c>
      <c r="D302">
        <v>30</v>
      </c>
      <c r="E302">
        <v>23</v>
      </c>
      <c r="F302">
        <v>3</v>
      </c>
      <c r="G302">
        <v>4</v>
      </c>
      <c r="H302">
        <v>95</v>
      </c>
      <c r="I302">
        <v>30</v>
      </c>
      <c r="J302">
        <v>72</v>
      </c>
      <c r="K302" s="24"/>
    </row>
    <row r="303" spans="2:11" x14ac:dyDescent="0.25">
      <c r="B303">
        <v>2</v>
      </c>
      <c r="C303" t="s">
        <v>92</v>
      </c>
      <c r="D303">
        <v>30</v>
      </c>
      <c r="E303">
        <v>21</v>
      </c>
      <c r="F303">
        <v>4</v>
      </c>
      <c r="G303">
        <v>5</v>
      </c>
      <c r="H303">
        <v>78</v>
      </c>
      <c r="I303">
        <v>22</v>
      </c>
      <c r="J303">
        <v>67</v>
      </c>
    </row>
    <row r="304" spans="2:11" x14ac:dyDescent="0.25">
      <c r="B304">
        <v>3</v>
      </c>
      <c r="C304" t="s">
        <v>43</v>
      </c>
      <c r="D304">
        <v>30</v>
      </c>
      <c r="E304">
        <v>22</v>
      </c>
      <c r="F304">
        <v>1</v>
      </c>
      <c r="G304">
        <v>7</v>
      </c>
      <c r="H304">
        <v>76</v>
      </c>
      <c r="I304">
        <v>29</v>
      </c>
      <c r="J304">
        <v>67</v>
      </c>
    </row>
    <row r="305" spans="2:10" x14ac:dyDescent="0.25">
      <c r="B305">
        <v>4</v>
      </c>
      <c r="C305" t="s">
        <v>58</v>
      </c>
      <c r="D305">
        <v>30</v>
      </c>
      <c r="E305">
        <v>20</v>
      </c>
      <c r="F305">
        <v>5</v>
      </c>
      <c r="G305">
        <v>5</v>
      </c>
      <c r="H305">
        <v>72</v>
      </c>
      <c r="I305">
        <v>25</v>
      </c>
      <c r="J305">
        <v>65</v>
      </c>
    </row>
    <row r="306" spans="2:10" x14ac:dyDescent="0.25">
      <c r="B306">
        <v>5</v>
      </c>
      <c r="C306" t="s">
        <v>33</v>
      </c>
      <c r="D306">
        <v>30</v>
      </c>
      <c r="E306">
        <v>20</v>
      </c>
      <c r="F306">
        <v>4</v>
      </c>
      <c r="G306">
        <v>6</v>
      </c>
      <c r="H306">
        <v>90</v>
      </c>
      <c r="I306">
        <v>36</v>
      </c>
      <c r="J306">
        <v>64</v>
      </c>
    </row>
    <row r="307" spans="2:10" x14ac:dyDescent="0.25">
      <c r="B307">
        <v>6</v>
      </c>
      <c r="C307" t="s">
        <v>64</v>
      </c>
      <c r="D307">
        <v>30</v>
      </c>
      <c r="E307">
        <v>18</v>
      </c>
      <c r="F307">
        <v>3</v>
      </c>
      <c r="G307">
        <v>9</v>
      </c>
      <c r="H307">
        <v>76</v>
      </c>
      <c r="I307">
        <v>29</v>
      </c>
      <c r="J307">
        <v>57</v>
      </c>
    </row>
    <row r="308" spans="2:10" x14ac:dyDescent="0.25">
      <c r="B308">
        <v>7</v>
      </c>
      <c r="C308" t="s">
        <v>32</v>
      </c>
      <c r="D308">
        <v>30</v>
      </c>
      <c r="E308">
        <v>16</v>
      </c>
      <c r="F308">
        <v>4</v>
      </c>
      <c r="G308">
        <v>10</v>
      </c>
      <c r="H308">
        <v>65</v>
      </c>
      <c r="I308">
        <v>35</v>
      </c>
      <c r="J308">
        <v>52</v>
      </c>
    </row>
    <row r="309" spans="2:10" x14ac:dyDescent="0.25">
      <c r="B309">
        <v>8</v>
      </c>
      <c r="C309" t="s">
        <v>71</v>
      </c>
      <c r="D309">
        <v>30</v>
      </c>
      <c r="E309">
        <v>13</v>
      </c>
      <c r="F309">
        <v>5</v>
      </c>
      <c r="G309">
        <v>12</v>
      </c>
      <c r="H309">
        <v>46</v>
      </c>
      <c r="I309">
        <v>52</v>
      </c>
      <c r="J309">
        <v>44</v>
      </c>
    </row>
    <row r="310" spans="2:10" x14ac:dyDescent="0.25">
      <c r="B310">
        <v>9</v>
      </c>
      <c r="C310" t="s">
        <v>73</v>
      </c>
      <c r="D310">
        <v>30</v>
      </c>
      <c r="E310">
        <v>13</v>
      </c>
      <c r="F310">
        <v>5</v>
      </c>
      <c r="G310">
        <v>12</v>
      </c>
      <c r="H310">
        <v>44</v>
      </c>
      <c r="I310">
        <v>52</v>
      </c>
      <c r="J310">
        <v>44</v>
      </c>
    </row>
    <row r="311" spans="2:10" x14ac:dyDescent="0.25">
      <c r="B311">
        <v>10</v>
      </c>
      <c r="C311" t="s">
        <v>130</v>
      </c>
      <c r="D311">
        <v>30</v>
      </c>
      <c r="E311">
        <v>12</v>
      </c>
      <c r="F311">
        <v>2</v>
      </c>
      <c r="G311">
        <v>16</v>
      </c>
      <c r="H311">
        <v>50</v>
      </c>
      <c r="I311">
        <v>50</v>
      </c>
      <c r="J311">
        <v>38</v>
      </c>
    </row>
    <row r="312" spans="2:10" x14ac:dyDescent="0.25">
      <c r="B312">
        <v>11</v>
      </c>
      <c r="C312" t="s">
        <v>112</v>
      </c>
      <c r="D312">
        <v>30</v>
      </c>
      <c r="E312">
        <v>9</v>
      </c>
      <c r="F312">
        <v>4</v>
      </c>
      <c r="G312">
        <v>17</v>
      </c>
      <c r="H312">
        <v>37</v>
      </c>
      <c r="I312">
        <v>64</v>
      </c>
      <c r="J312">
        <v>31</v>
      </c>
    </row>
    <row r="313" spans="2:10" x14ac:dyDescent="0.25">
      <c r="B313">
        <v>12</v>
      </c>
      <c r="C313" t="s">
        <v>128</v>
      </c>
      <c r="D313">
        <v>30</v>
      </c>
      <c r="E313">
        <v>6</v>
      </c>
      <c r="F313">
        <v>8</v>
      </c>
      <c r="G313">
        <v>16</v>
      </c>
      <c r="H313">
        <v>39</v>
      </c>
      <c r="I313">
        <v>56</v>
      </c>
      <c r="J313">
        <v>26</v>
      </c>
    </row>
    <row r="314" spans="2:10" x14ac:dyDescent="0.25">
      <c r="B314">
        <v>13</v>
      </c>
      <c r="C314" t="s">
        <v>76</v>
      </c>
      <c r="D314">
        <v>30</v>
      </c>
      <c r="E314">
        <v>5</v>
      </c>
      <c r="F314">
        <v>6</v>
      </c>
      <c r="G314">
        <v>19</v>
      </c>
      <c r="H314">
        <v>29</v>
      </c>
      <c r="I314">
        <v>61</v>
      </c>
      <c r="J314">
        <v>21</v>
      </c>
    </row>
    <row r="315" spans="2:10" x14ac:dyDescent="0.25">
      <c r="B315">
        <v>14</v>
      </c>
      <c r="C315" t="s">
        <v>115</v>
      </c>
      <c r="D315">
        <v>30</v>
      </c>
      <c r="E315">
        <v>4</v>
      </c>
      <c r="F315">
        <v>6</v>
      </c>
      <c r="G315">
        <v>20</v>
      </c>
      <c r="H315">
        <v>19</v>
      </c>
      <c r="I315">
        <v>67</v>
      </c>
      <c r="J315">
        <v>18</v>
      </c>
    </row>
    <row r="316" spans="2:10" x14ac:dyDescent="0.25">
      <c r="B316">
        <v>15</v>
      </c>
      <c r="C316" t="s">
        <v>131</v>
      </c>
      <c r="D316">
        <v>30</v>
      </c>
      <c r="E316">
        <v>4</v>
      </c>
      <c r="F316">
        <v>1</v>
      </c>
      <c r="G316">
        <v>25</v>
      </c>
      <c r="H316">
        <v>15</v>
      </c>
      <c r="I316">
        <v>101</v>
      </c>
      <c r="J316">
        <v>13</v>
      </c>
    </row>
    <row r="317" spans="2:10" x14ac:dyDescent="0.25">
      <c r="B317">
        <v>16</v>
      </c>
      <c r="C317" t="s">
        <v>114</v>
      </c>
      <c r="D317">
        <v>30</v>
      </c>
      <c r="E317">
        <v>3</v>
      </c>
      <c r="F317">
        <v>1</v>
      </c>
      <c r="G317">
        <v>26</v>
      </c>
      <c r="H317">
        <v>26</v>
      </c>
      <c r="I317">
        <v>148</v>
      </c>
      <c r="J317">
        <v>10</v>
      </c>
    </row>
    <row r="319" spans="2:10" x14ac:dyDescent="0.25">
      <c r="I319" s="31"/>
      <c r="J319" s="31"/>
    </row>
    <row r="320" spans="2:10" x14ac:dyDescent="0.25">
      <c r="B320" s="50" t="s">
        <v>129</v>
      </c>
      <c r="C320" s="50"/>
      <c r="D320" s="50"/>
      <c r="E320" s="50"/>
      <c r="F320" s="50"/>
      <c r="G320" s="50"/>
      <c r="H320" s="50"/>
      <c r="I320" s="50"/>
      <c r="J320" s="50"/>
    </row>
    <row r="321" spans="2:11" x14ac:dyDescent="0.25">
      <c r="B321">
        <v>1</v>
      </c>
      <c r="C321" t="s">
        <v>43</v>
      </c>
      <c r="D321">
        <v>30</v>
      </c>
      <c r="E321">
        <v>24</v>
      </c>
      <c r="F321">
        <v>4</v>
      </c>
      <c r="G321">
        <v>2</v>
      </c>
      <c r="H321">
        <v>90</v>
      </c>
      <c r="I321">
        <v>18</v>
      </c>
      <c r="J321">
        <v>76</v>
      </c>
      <c r="K321"/>
    </row>
    <row r="322" spans="2:11" x14ac:dyDescent="0.25">
      <c r="B322">
        <v>2</v>
      </c>
      <c r="C322" t="s">
        <v>64</v>
      </c>
      <c r="D322">
        <v>30</v>
      </c>
      <c r="E322">
        <v>23</v>
      </c>
      <c r="F322">
        <v>5</v>
      </c>
      <c r="G322">
        <v>2</v>
      </c>
      <c r="H322">
        <v>99</v>
      </c>
      <c r="I322">
        <v>19</v>
      </c>
      <c r="J322">
        <v>74</v>
      </c>
      <c r="K322"/>
    </row>
    <row r="323" spans="2:11" x14ac:dyDescent="0.25">
      <c r="B323">
        <v>3</v>
      </c>
      <c r="C323" t="s">
        <v>92</v>
      </c>
      <c r="D323">
        <v>30</v>
      </c>
      <c r="E323">
        <v>23</v>
      </c>
      <c r="F323">
        <v>4</v>
      </c>
      <c r="G323">
        <v>3</v>
      </c>
      <c r="H323">
        <v>91</v>
      </c>
      <c r="I323">
        <v>17</v>
      </c>
      <c r="J323">
        <v>73</v>
      </c>
      <c r="K323"/>
    </row>
    <row r="324" spans="2:11" x14ac:dyDescent="0.25">
      <c r="B324">
        <v>4</v>
      </c>
      <c r="C324" t="s">
        <v>33</v>
      </c>
      <c r="D324">
        <v>30</v>
      </c>
      <c r="E324">
        <v>21</v>
      </c>
      <c r="F324">
        <v>2</v>
      </c>
      <c r="G324">
        <v>7</v>
      </c>
      <c r="H324">
        <v>109</v>
      </c>
      <c r="I324">
        <v>30</v>
      </c>
      <c r="J324">
        <v>65</v>
      </c>
      <c r="K324"/>
    </row>
    <row r="325" spans="2:11" x14ac:dyDescent="0.25">
      <c r="B325">
        <v>5</v>
      </c>
      <c r="C325" t="s">
        <v>70</v>
      </c>
      <c r="D325">
        <v>30</v>
      </c>
      <c r="E325">
        <v>20</v>
      </c>
      <c r="F325">
        <v>5</v>
      </c>
      <c r="G325">
        <v>5</v>
      </c>
      <c r="H325">
        <v>88</v>
      </c>
      <c r="I325">
        <v>33</v>
      </c>
      <c r="J325">
        <v>65</v>
      </c>
      <c r="K325"/>
    </row>
    <row r="326" spans="2:11" x14ac:dyDescent="0.25">
      <c r="B326">
        <v>6</v>
      </c>
      <c r="C326" t="s">
        <v>32</v>
      </c>
      <c r="D326">
        <v>30</v>
      </c>
      <c r="E326">
        <v>18</v>
      </c>
      <c r="F326">
        <v>2</v>
      </c>
      <c r="G326">
        <v>10</v>
      </c>
      <c r="H326">
        <v>76</v>
      </c>
      <c r="I326">
        <v>52</v>
      </c>
      <c r="J326">
        <v>56</v>
      </c>
      <c r="K326"/>
    </row>
    <row r="327" spans="2:11" x14ac:dyDescent="0.25">
      <c r="B327">
        <v>7</v>
      </c>
      <c r="C327" t="s">
        <v>71</v>
      </c>
      <c r="D327">
        <v>30</v>
      </c>
      <c r="E327">
        <v>16</v>
      </c>
      <c r="F327">
        <v>6</v>
      </c>
      <c r="G327">
        <v>8</v>
      </c>
      <c r="H327">
        <v>55</v>
      </c>
      <c r="I327">
        <v>38</v>
      </c>
      <c r="J327">
        <v>54</v>
      </c>
      <c r="K327"/>
    </row>
    <row r="328" spans="2:11" x14ac:dyDescent="0.25">
      <c r="B328">
        <v>8</v>
      </c>
      <c r="C328" t="s">
        <v>76</v>
      </c>
      <c r="D328">
        <v>30</v>
      </c>
      <c r="E328">
        <v>14</v>
      </c>
      <c r="F328">
        <v>2</v>
      </c>
      <c r="G328">
        <v>14</v>
      </c>
      <c r="H328">
        <v>49</v>
      </c>
      <c r="I328">
        <v>69</v>
      </c>
      <c r="J328">
        <v>44</v>
      </c>
      <c r="K328"/>
    </row>
    <row r="329" spans="2:11" x14ac:dyDescent="0.25">
      <c r="B329">
        <v>9</v>
      </c>
      <c r="C329" t="s">
        <v>58</v>
      </c>
      <c r="D329">
        <v>30</v>
      </c>
      <c r="E329">
        <v>12</v>
      </c>
      <c r="F329">
        <v>2</v>
      </c>
      <c r="G329">
        <v>16</v>
      </c>
      <c r="H329">
        <v>39</v>
      </c>
      <c r="I329">
        <v>53</v>
      </c>
      <c r="J329">
        <v>38</v>
      </c>
      <c r="K329"/>
    </row>
    <row r="330" spans="2:11" x14ac:dyDescent="0.25">
      <c r="B330">
        <v>10</v>
      </c>
      <c r="C330" t="s">
        <v>73</v>
      </c>
      <c r="D330">
        <v>30</v>
      </c>
      <c r="E330">
        <v>8</v>
      </c>
      <c r="F330">
        <v>7</v>
      </c>
      <c r="G330">
        <v>15</v>
      </c>
      <c r="H330">
        <v>21</v>
      </c>
      <c r="I330">
        <v>68</v>
      </c>
      <c r="J330">
        <v>31</v>
      </c>
      <c r="K330"/>
    </row>
    <row r="331" spans="2:11" x14ac:dyDescent="0.25">
      <c r="B331">
        <v>11</v>
      </c>
      <c r="C331" t="s">
        <v>112</v>
      </c>
      <c r="D331">
        <v>30</v>
      </c>
      <c r="E331">
        <v>9</v>
      </c>
      <c r="F331">
        <v>2</v>
      </c>
      <c r="G331">
        <v>19</v>
      </c>
      <c r="H331">
        <v>29</v>
      </c>
      <c r="I331">
        <v>64</v>
      </c>
      <c r="J331">
        <v>29</v>
      </c>
      <c r="K331"/>
    </row>
    <row r="332" spans="2:11" x14ac:dyDescent="0.25">
      <c r="B332">
        <v>12</v>
      </c>
      <c r="C332" t="s">
        <v>128</v>
      </c>
      <c r="D332">
        <v>30</v>
      </c>
      <c r="E332">
        <v>8</v>
      </c>
      <c r="F332">
        <v>4</v>
      </c>
      <c r="G332">
        <v>18</v>
      </c>
      <c r="H332">
        <v>23</v>
      </c>
      <c r="I332">
        <v>65</v>
      </c>
      <c r="J332">
        <v>28</v>
      </c>
      <c r="K332"/>
    </row>
    <row r="333" spans="2:11" x14ac:dyDescent="0.25">
      <c r="B333">
        <v>13</v>
      </c>
      <c r="C333" t="s">
        <v>115</v>
      </c>
      <c r="D333">
        <v>30</v>
      </c>
      <c r="E333">
        <v>4</v>
      </c>
      <c r="F333">
        <v>5</v>
      </c>
      <c r="G333">
        <v>21</v>
      </c>
      <c r="H333">
        <v>21</v>
      </c>
      <c r="I333">
        <v>70</v>
      </c>
      <c r="J333">
        <v>17</v>
      </c>
      <c r="K333"/>
    </row>
    <row r="334" spans="2:11" x14ac:dyDescent="0.25">
      <c r="B334">
        <v>14</v>
      </c>
      <c r="C334" t="s">
        <v>114</v>
      </c>
      <c r="D334">
        <v>30</v>
      </c>
      <c r="E334">
        <v>5</v>
      </c>
      <c r="F334">
        <v>2</v>
      </c>
      <c r="G334">
        <v>23</v>
      </c>
      <c r="H334">
        <v>24</v>
      </c>
      <c r="I334">
        <v>83</v>
      </c>
      <c r="J334">
        <v>17</v>
      </c>
      <c r="K334"/>
    </row>
    <row r="335" spans="2:11" x14ac:dyDescent="0.25">
      <c r="B335">
        <v>15</v>
      </c>
      <c r="C335" t="s">
        <v>56</v>
      </c>
      <c r="D335">
        <v>30</v>
      </c>
      <c r="E335">
        <v>4</v>
      </c>
      <c r="F335">
        <v>4</v>
      </c>
      <c r="G335">
        <v>22</v>
      </c>
      <c r="H335">
        <v>21</v>
      </c>
      <c r="I335">
        <v>75</v>
      </c>
      <c r="J335">
        <v>16</v>
      </c>
      <c r="K335"/>
    </row>
    <row r="336" spans="2:11" x14ac:dyDescent="0.25">
      <c r="B336">
        <v>16</v>
      </c>
      <c r="C336" t="s">
        <v>68</v>
      </c>
      <c r="D336">
        <v>30</v>
      </c>
      <c r="E336">
        <v>1</v>
      </c>
      <c r="F336">
        <v>4</v>
      </c>
      <c r="G336">
        <v>25</v>
      </c>
      <c r="H336">
        <v>22</v>
      </c>
      <c r="I336">
        <v>103</v>
      </c>
      <c r="J336">
        <v>7</v>
      </c>
      <c r="K336"/>
    </row>
    <row r="337" spans="2:13" x14ac:dyDescent="0.25">
      <c r="I337" s="31"/>
      <c r="J337" s="31"/>
    </row>
    <row r="338" spans="2:13" x14ac:dyDescent="0.25">
      <c r="C338" s="21"/>
      <c r="I338" s="31"/>
      <c r="J338" s="31"/>
    </row>
    <row r="339" spans="2:13" x14ac:dyDescent="0.25">
      <c r="I339" s="31"/>
      <c r="J339" s="31"/>
    </row>
    <row r="340" spans="2:13" x14ac:dyDescent="0.25">
      <c r="B340" s="53" t="s">
        <v>113</v>
      </c>
      <c r="C340" s="53"/>
      <c r="D340" s="53"/>
      <c r="E340" s="53"/>
      <c r="F340" s="53"/>
      <c r="G340" s="53"/>
      <c r="H340" s="53"/>
      <c r="I340" s="53"/>
      <c r="J340" s="53"/>
      <c r="K340"/>
      <c r="L340" s="10"/>
      <c r="M340" s="10"/>
    </row>
    <row r="341" spans="2:13" x14ac:dyDescent="0.25">
      <c r="B341" s="2">
        <v>1</v>
      </c>
      <c r="C341" s="4" t="s">
        <v>70</v>
      </c>
      <c r="D341" s="22">
        <v>30</v>
      </c>
      <c r="E341" s="22">
        <v>24</v>
      </c>
      <c r="F341" s="22">
        <v>1</v>
      </c>
      <c r="G341" s="22">
        <f>D341-E341-F341</f>
        <v>5</v>
      </c>
      <c r="H341" s="22">
        <v>126</v>
      </c>
      <c r="I341" s="22">
        <v>27</v>
      </c>
      <c r="J341" s="23">
        <f>E341*3+F341*1</f>
        <v>73</v>
      </c>
      <c r="K341" s="7">
        <f t="shared" ref="K341:K356" si="51">(E341*3+F341)/(D341*3)*100</f>
        <v>81.111111111111114</v>
      </c>
      <c r="L341" s="10">
        <f>H341/D341</f>
        <v>4.2</v>
      </c>
      <c r="M341" s="10">
        <f>I341/D341</f>
        <v>0.9</v>
      </c>
    </row>
    <row r="342" spans="2:13" x14ac:dyDescent="0.25">
      <c r="B342" s="2">
        <v>2</v>
      </c>
      <c r="C342" s="4" t="s">
        <v>33</v>
      </c>
      <c r="D342" s="22">
        <v>30</v>
      </c>
      <c r="E342" s="22">
        <v>23</v>
      </c>
      <c r="F342" s="22">
        <v>2</v>
      </c>
      <c r="G342" s="22">
        <f t="shared" ref="G342:G356" si="52">D342-E342-F342</f>
        <v>5</v>
      </c>
      <c r="H342" s="22">
        <v>106</v>
      </c>
      <c r="I342" s="22">
        <v>23</v>
      </c>
      <c r="J342" s="23">
        <f t="shared" ref="J342:J356" si="53">E342*3+F342*1</f>
        <v>71</v>
      </c>
      <c r="K342" s="8">
        <f t="shared" si="51"/>
        <v>78.888888888888886</v>
      </c>
      <c r="L342" s="27">
        <f t="shared" ref="L342:L356" si="54">H342/D342</f>
        <v>3.5333333333333332</v>
      </c>
      <c r="M342" s="27">
        <f t="shared" ref="M342:M356" si="55">I342/D342</f>
        <v>0.76666666666666672</v>
      </c>
    </row>
    <row r="343" spans="2:13" x14ac:dyDescent="0.25">
      <c r="B343" s="2">
        <v>3</v>
      </c>
      <c r="C343" s="4" t="s">
        <v>64</v>
      </c>
      <c r="D343" s="22">
        <v>30</v>
      </c>
      <c r="E343" s="22">
        <v>21</v>
      </c>
      <c r="F343" s="22">
        <v>6</v>
      </c>
      <c r="G343" s="22">
        <f t="shared" si="52"/>
        <v>3</v>
      </c>
      <c r="H343" s="22">
        <v>130</v>
      </c>
      <c r="I343" s="22">
        <v>24</v>
      </c>
      <c r="J343" s="23">
        <f t="shared" si="53"/>
        <v>69</v>
      </c>
      <c r="K343">
        <f t="shared" si="51"/>
        <v>76.666666666666671</v>
      </c>
      <c r="L343" s="28">
        <f t="shared" si="54"/>
        <v>4.333333333333333</v>
      </c>
      <c r="M343" s="10">
        <f t="shared" si="55"/>
        <v>0.8</v>
      </c>
    </row>
    <row r="344" spans="2:13" x14ac:dyDescent="0.25">
      <c r="B344" s="2">
        <v>4</v>
      </c>
      <c r="C344" s="4" t="s">
        <v>92</v>
      </c>
      <c r="D344" s="22">
        <v>30</v>
      </c>
      <c r="E344" s="22">
        <v>21</v>
      </c>
      <c r="F344" s="22">
        <v>5</v>
      </c>
      <c r="G344" s="22">
        <f t="shared" si="52"/>
        <v>4</v>
      </c>
      <c r="H344" s="22">
        <v>89</v>
      </c>
      <c r="I344" s="22">
        <v>20</v>
      </c>
      <c r="J344" s="23">
        <f t="shared" si="53"/>
        <v>68</v>
      </c>
      <c r="K344">
        <f t="shared" si="51"/>
        <v>75.555555555555557</v>
      </c>
      <c r="L344" s="27">
        <f t="shared" si="54"/>
        <v>2.9666666666666668</v>
      </c>
      <c r="M344" s="28">
        <f t="shared" si="55"/>
        <v>0.66666666666666663</v>
      </c>
    </row>
    <row r="345" spans="2:13" x14ac:dyDescent="0.25">
      <c r="B345" s="2">
        <v>5</v>
      </c>
      <c r="C345" s="4" t="s">
        <v>58</v>
      </c>
      <c r="D345" s="22">
        <v>30</v>
      </c>
      <c r="E345" s="22">
        <v>20</v>
      </c>
      <c r="F345" s="22">
        <v>5</v>
      </c>
      <c r="G345" s="22">
        <f t="shared" si="52"/>
        <v>5</v>
      </c>
      <c r="H345" s="22">
        <v>75</v>
      </c>
      <c r="I345" s="22">
        <v>34</v>
      </c>
      <c r="J345" s="23">
        <f t="shared" si="53"/>
        <v>65</v>
      </c>
      <c r="K345">
        <f t="shared" si="51"/>
        <v>72.222222222222214</v>
      </c>
      <c r="L345" s="10">
        <f t="shared" si="54"/>
        <v>2.5</v>
      </c>
      <c r="M345" s="27">
        <f t="shared" si="55"/>
        <v>1.1333333333333333</v>
      </c>
    </row>
    <row r="346" spans="2:13" x14ac:dyDescent="0.25">
      <c r="B346" s="2">
        <v>6</v>
      </c>
      <c r="C346" s="4" t="s">
        <v>43</v>
      </c>
      <c r="D346" s="22">
        <v>30</v>
      </c>
      <c r="E346" s="22">
        <v>17</v>
      </c>
      <c r="F346" s="22">
        <v>4</v>
      </c>
      <c r="G346" s="22">
        <f t="shared" si="52"/>
        <v>9</v>
      </c>
      <c r="H346" s="22">
        <v>86</v>
      </c>
      <c r="I346" s="22">
        <v>37</v>
      </c>
      <c r="J346" s="23">
        <f t="shared" si="53"/>
        <v>55</v>
      </c>
      <c r="K346">
        <f t="shared" si="51"/>
        <v>61.111111111111114</v>
      </c>
      <c r="L346" s="10">
        <f t="shared" si="54"/>
        <v>2.8666666666666667</v>
      </c>
      <c r="M346" s="10">
        <f t="shared" si="55"/>
        <v>1.2333333333333334</v>
      </c>
    </row>
    <row r="347" spans="2:13" x14ac:dyDescent="0.25">
      <c r="B347" s="2">
        <v>7</v>
      </c>
      <c r="C347" s="4" t="s">
        <v>71</v>
      </c>
      <c r="D347" s="22">
        <v>30</v>
      </c>
      <c r="E347" s="22">
        <v>15</v>
      </c>
      <c r="F347" s="22">
        <v>7</v>
      </c>
      <c r="G347" s="22">
        <f t="shared" si="52"/>
        <v>8</v>
      </c>
      <c r="H347" s="22">
        <v>68</v>
      </c>
      <c r="I347" s="22">
        <v>37</v>
      </c>
      <c r="J347" s="23">
        <f t="shared" si="53"/>
        <v>52</v>
      </c>
      <c r="K347">
        <f t="shared" si="51"/>
        <v>57.777777777777771</v>
      </c>
      <c r="L347" s="10">
        <f t="shared" si="54"/>
        <v>2.2666666666666666</v>
      </c>
      <c r="M347" s="10">
        <f t="shared" si="55"/>
        <v>1.2333333333333334</v>
      </c>
    </row>
    <row r="348" spans="2:13" x14ac:dyDescent="0.25">
      <c r="B348" s="2">
        <v>8</v>
      </c>
      <c r="C348" s="4" t="s">
        <v>32</v>
      </c>
      <c r="D348" s="22">
        <v>30</v>
      </c>
      <c r="E348" s="22">
        <v>15</v>
      </c>
      <c r="F348" s="22">
        <v>5</v>
      </c>
      <c r="G348" s="22">
        <f t="shared" si="52"/>
        <v>10</v>
      </c>
      <c r="H348" s="22">
        <v>60</v>
      </c>
      <c r="I348" s="22">
        <v>58</v>
      </c>
      <c r="J348" s="23">
        <f t="shared" si="53"/>
        <v>50</v>
      </c>
      <c r="K348">
        <f t="shared" si="51"/>
        <v>55.555555555555557</v>
      </c>
      <c r="L348" s="10">
        <f t="shared" si="54"/>
        <v>2</v>
      </c>
      <c r="M348" s="10">
        <f t="shared" si="55"/>
        <v>1.9333333333333333</v>
      </c>
    </row>
    <row r="349" spans="2:13" x14ac:dyDescent="0.25">
      <c r="B349" s="2">
        <v>9</v>
      </c>
      <c r="C349" s="4" t="s">
        <v>76</v>
      </c>
      <c r="D349" s="22">
        <v>30</v>
      </c>
      <c r="E349" s="22">
        <v>8</v>
      </c>
      <c r="F349" s="22">
        <v>6</v>
      </c>
      <c r="G349" s="22">
        <f t="shared" si="52"/>
        <v>16</v>
      </c>
      <c r="H349" s="22">
        <v>53</v>
      </c>
      <c r="I349" s="22">
        <v>64</v>
      </c>
      <c r="J349" s="23">
        <f t="shared" si="53"/>
        <v>30</v>
      </c>
      <c r="K349">
        <f t="shared" si="51"/>
        <v>33.333333333333329</v>
      </c>
      <c r="L349" s="10">
        <f t="shared" si="54"/>
        <v>1.7666666666666666</v>
      </c>
      <c r="M349" s="10">
        <f t="shared" si="55"/>
        <v>2.1333333333333333</v>
      </c>
    </row>
    <row r="350" spans="2:13" x14ac:dyDescent="0.25">
      <c r="B350" s="2">
        <v>10</v>
      </c>
      <c r="C350" s="4" t="s">
        <v>115</v>
      </c>
      <c r="D350" s="22">
        <v>30</v>
      </c>
      <c r="E350" s="22">
        <v>7</v>
      </c>
      <c r="F350" s="22">
        <v>9</v>
      </c>
      <c r="G350" s="22">
        <f t="shared" si="52"/>
        <v>14</v>
      </c>
      <c r="H350" s="22">
        <v>21</v>
      </c>
      <c r="I350" s="22">
        <v>51</v>
      </c>
      <c r="J350" s="23">
        <f t="shared" si="53"/>
        <v>30</v>
      </c>
      <c r="K350">
        <f t="shared" si="51"/>
        <v>33.333333333333329</v>
      </c>
      <c r="L350" s="10">
        <f t="shared" si="54"/>
        <v>0.7</v>
      </c>
      <c r="M350" s="10">
        <f t="shared" si="55"/>
        <v>1.7</v>
      </c>
    </row>
    <row r="351" spans="2:13" x14ac:dyDescent="0.25">
      <c r="B351" s="2">
        <v>11</v>
      </c>
      <c r="C351" s="4" t="s">
        <v>68</v>
      </c>
      <c r="D351" s="22">
        <v>30</v>
      </c>
      <c r="E351" s="22">
        <v>8</v>
      </c>
      <c r="F351" s="22">
        <v>3</v>
      </c>
      <c r="G351" s="22">
        <f t="shared" si="52"/>
        <v>19</v>
      </c>
      <c r="H351" s="22">
        <v>37</v>
      </c>
      <c r="I351" s="22">
        <v>76</v>
      </c>
      <c r="J351" s="23">
        <f t="shared" si="53"/>
        <v>27</v>
      </c>
      <c r="K351">
        <f t="shared" si="51"/>
        <v>30</v>
      </c>
      <c r="L351" s="10">
        <f t="shared" si="54"/>
        <v>1.2333333333333334</v>
      </c>
      <c r="M351" s="10">
        <f t="shared" si="55"/>
        <v>2.5333333333333332</v>
      </c>
    </row>
    <row r="352" spans="2:13" x14ac:dyDescent="0.25">
      <c r="B352" s="2">
        <v>12</v>
      </c>
      <c r="C352" s="4" t="s">
        <v>56</v>
      </c>
      <c r="D352" s="22">
        <v>30</v>
      </c>
      <c r="E352" s="22">
        <v>7</v>
      </c>
      <c r="F352" s="22">
        <v>6</v>
      </c>
      <c r="G352" s="22">
        <f t="shared" si="52"/>
        <v>17</v>
      </c>
      <c r="H352" s="22">
        <v>25</v>
      </c>
      <c r="I352" s="22">
        <v>81</v>
      </c>
      <c r="J352" s="23">
        <f t="shared" si="53"/>
        <v>27</v>
      </c>
      <c r="K352">
        <f t="shared" si="51"/>
        <v>30</v>
      </c>
      <c r="L352" s="10">
        <f t="shared" si="54"/>
        <v>0.83333333333333337</v>
      </c>
      <c r="M352" s="10">
        <f t="shared" si="55"/>
        <v>2.7</v>
      </c>
    </row>
    <row r="353" spans="2:13" x14ac:dyDescent="0.25">
      <c r="B353" s="2">
        <v>13</v>
      </c>
      <c r="C353" s="4" t="s">
        <v>112</v>
      </c>
      <c r="D353" s="22">
        <v>30</v>
      </c>
      <c r="E353" s="22">
        <v>7</v>
      </c>
      <c r="F353" s="22">
        <v>4</v>
      </c>
      <c r="G353" s="22">
        <f t="shared" si="52"/>
        <v>19</v>
      </c>
      <c r="H353" s="22">
        <v>41</v>
      </c>
      <c r="I353" s="22">
        <v>74</v>
      </c>
      <c r="J353" s="23">
        <f t="shared" si="53"/>
        <v>25</v>
      </c>
      <c r="K353">
        <f t="shared" si="51"/>
        <v>27.777777777777779</v>
      </c>
      <c r="L353" s="10">
        <f t="shared" si="54"/>
        <v>1.3666666666666667</v>
      </c>
      <c r="M353" s="10">
        <f t="shared" si="55"/>
        <v>2.4666666666666668</v>
      </c>
    </row>
    <row r="354" spans="2:13" x14ac:dyDescent="0.25">
      <c r="B354" s="2">
        <v>14</v>
      </c>
      <c r="C354" s="4" t="s">
        <v>114</v>
      </c>
      <c r="D354" s="22">
        <v>30</v>
      </c>
      <c r="E354" s="22">
        <v>7</v>
      </c>
      <c r="F354" s="22">
        <v>3</v>
      </c>
      <c r="G354" s="22">
        <f t="shared" si="52"/>
        <v>20</v>
      </c>
      <c r="H354" s="22">
        <v>27</v>
      </c>
      <c r="I354" s="22">
        <v>87</v>
      </c>
      <c r="J354" s="23">
        <f t="shared" si="53"/>
        <v>24</v>
      </c>
      <c r="K354">
        <f t="shared" si="51"/>
        <v>26.666666666666668</v>
      </c>
      <c r="L354" s="9">
        <f t="shared" si="54"/>
        <v>0.9</v>
      </c>
      <c r="M354" s="10">
        <f t="shared" si="55"/>
        <v>2.9</v>
      </c>
    </row>
    <row r="355" spans="2:13" x14ac:dyDescent="0.25">
      <c r="B355" s="2">
        <v>15</v>
      </c>
      <c r="C355" s="4" t="s">
        <v>95</v>
      </c>
      <c r="D355" s="22">
        <v>30</v>
      </c>
      <c r="E355" s="22">
        <v>6</v>
      </c>
      <c r="F355" s="22">
        <v>2</v>
      </c>
      <c r="G355" s="22">
        <f t="shared" si="52"/>
        <v>22</v>
      </c>
      <c r="H355" s="22">
        <v>36</v>
      </c>
      <c r="I355" s="22">
        <v>91</v>
      </c>
      <c r="J355" s="23">
        <f t="shared" si="53"/>
        <v>20</v>
      </c>
      <c r="K355">
        <f t="shared" si="51"/>
        <v>22.222222222222221</v>
      </c>
      <c r="L355" s="10">
        <f t="shared" si="54"/>
        <v>1.2</v>
      </c>
      <c r="M355" s="9">
        <f t="shared" si="55"/>
        <v>3.0333333333333332</v>
      </c>
    </row>
    <row r="356" spans="2:13" x14ac:dyDescent="0.25">
      <c r="B356" s="2">
        <v>16</v>
      </c>
      <c r="C356" s="4" t="s">
        <v>52</v>
      </c>
      <c r="D356" s="22">
        <v>30</v>
      </c>
      <c r="E356" s="22">
        <v>0</v>
      </c>
      <c r="F356" s="22">
        <v>0</v>
      </c>
      <c r="G356" s="22">
        <f t="shared" si="52"/>
        <v>30</v>
      </c>
      <c r="H356" s="22">
        <v>0</v>
      </c>
      <c r="I356" s="22">
        <v>196</v>
      </c>
      <c r="J356" s="23">
        <f t="shared" si="53"/>
        <v>0</v>
      </c>
      <c r="K356" s="2">
        <f t="shared" si="51"/>
        <v>0</v>
      </c>
      <c r="L356" s="22">
        <f t="shared" si="54"/>
        <v>0</v>
      </c>
      <c r="M356" s="22">
        <f t="shared" si="55"/>
        <v>6.5333333333333332</v>
      </c>
    </row>
    <row r="357" spans="2:13" x14ac:dyDescent="0.25">
      <c r="B357" s="53" t="s">
        <v>111</v>
      </c>
      <c r="C357" s="53"/>
      <c r="D357" s="53"/>
      <c r="E357" s="53"/>
      <c r="F357" s="53"/>
      <c r="G357" s="53"/>
      <c r="H357" s="53"/>
      <c r="I357" s="53"/>
      <c r="J357" s="53"/>
    </row>
    <row r="358" spans="2:13" x14ac:dyDescent="0.25">
      <c r="B358" s="2">
        <v>1</v>
      </c>
      <c r="C358" s="4" t="s">
        <v>70</v>
      </c>
      <c r="D358" s="22">
        <v>30</v>
      </c>
      <c r="E358" s="22">
        <v>27</v>
      </c>
      <c r="F358" s="22">
        <v>1</v>
      </c>
      <c r="G358" s="22">
        <f>D358-E358-F358</f>
        <v>2</v>
      </c>
      <c r="H358" s="22">
        <v>114</v>
      </c>
      <c r="I358" s="22">
        <v>19</v>
      </c>
      <c r="J358" s="23">
        <f>E358*3+F358*1</f>
        <v>82</v>
      </c>
    </row>
    <row r="359" spans="2:13" x14ac:dyDescent="0.25">
      <c r="B359" s="2">
        <v>2</v>
      </c>
      <c r="C359" s="4" t="s">
        <v>33</v>
      </c>
      <c r="D359" s="22">
        <v>30</v>
      </c>
      <c r="E359" s="22">
        <v>26</v>
      </c>
      <c r="F359" s="22">
        <v>2</v>
      </c>
      <c r="G359" s="22">
        <f t="shared" ref="G359:G373" si="56">D359-E359-F359</f>
        <v>2</v>
      </c>
      <c r="H359" s="22">
        <v>118</v>
      </c>
      <c r="I359" s="22">
        <v>14</v>
      </c>
      <c r="J359" s="23">
        <f t="shared" ref="J359:J373" si="57">E359*3+F359*1</f>
        <v>80</v>
      </c>
    </row>
    <row r="360" spans="2:13" x14ac:dyDescent="0.25">
      <c r="B360" s="2">
        <v>3</v>
      </c>
      <c r="C360" s="4" t="s">
        <v>64</v>
      </c>
      <c r="D360" s="22">
        <v>30</v>
      </c>
      <c r="E360" s="22">
        <v>23</v>
      </c>
      <c r="F360" s="22">
        <v>1</v>
      </c>
      <c r="G360" s="22">
        <f t="shared" si="56"/>
        <v>6</v>
      </c>
      <c r="H360" s="22">
        <v>119</v>
      </c>
      <c r="I360" s="22">
        <v>17</v>
      </c>
      <c r="J360" s="23">
        <f t="shared" si="57"/>
        <v>70</v>
      </c>
    </row>
    <row r="361" spans="2:13" x14ac:dyDescent="0.25">
      <c r="B361" s="2">
        <v>4</v>
      </c>
      <c r="C361" s="4" t="s">
        <v>43</v>
      </c>
      <c r="D361" s="22">
        <v>30</v>
      </c>
      <c r="E361" s="22">
        <v>22</v>
      </c>
      <c r="F361" s="22">
        <v>2</v>
      </c>
      <c r="G361" s="22">
        <f t="shared" si="56"/>
        <v>6</v>
      </c>
      <c r="H361" s="22">
        <v>83</v>
      </c>
      <c r="I361" s="22">
        <v>26</v>
      </c>
      <c r="J361" s="23">
        <f t="shared" si="57"/>
        <v>68</v>
      </c>
    </row>
    <row r="362" spans="2:13" x14ac:dyDescent="0.25">
      <c r="B362" s="2">
        <v>5</v>
      </c>
      <c r="C362" s="4" t="s">
        <v>92</v>
      </c>
      <c r="D362" s="22">
        <v>30</v>
      </c>
      <c r="E362" s="22">
        <v>18</v>
      </c>
      <c r="F362" s="22">
        <v>5</v>
      </c>
      <c r="G362" s="22">
        <f t="shared" si="56"/>
        <v>7</v>
      </c>
      <c r="H362" s="22">
        <v>65</v>
      </c>
      <c r="I362" s="22">
        <v>31</v>
      </c>
      <c r="J362" s="23">
        <f t="shared" si="57"/>
        <v>59</v>
      </c>
    </row>
    <row r="363" spans="2:13" x14ac:dyDescent="0.25">
      <c r="B363" s="2">
        <v>6</v>
      </c>
      <c r="C363" s="4" t="s">
        <v>58</v>
      </c>
      <c r="D363" s="22">
        <v>30</v>
      </c>
      <c r="E363" s="22">
        <v>19</v>
      </c>
      <c r="F363" s="22">
        <v>2</v>
      </c>
      <c r="G363" s="22">
        <f t="shared" si="56"/>
        <v>9</v>
      </c>
      <c r="H363" s="22">
        <v>70</v>
      </c>
      <c r="I363" s="22">
        <v>41</v>
      </c>
      <c r="J363" s="23">
        <f t="shared" si="57"/>
        <v>59</v>
      </c>
    </row>
    <row r="364" spans="2:13" x14ac:dyDescent="0.25">
      <c r="B364" s="2">
        <v>7</v>
      </c>
      <c r="C364" s="4" t="s">
        <v>71</v>
      </c>
      <c r="D364" s="22">
        <v>30</v>
      </c>
      <c r="E364" s="22">
        <v>18</v>
      </c>
      <c r="F364" s="22">
        <v>1</v>
      </c>
      <c r="G364" s="22">
        <f t="shared" si="56"/>
        <v>11</v>
      </c>
      <c r="H364" s="22">
        <v>79</v>
      </c>
      <c r="I364" s="22">
        <v>38</v>
      </c>
      <c r="J364" s="23">
        <f t="shared" si="57"/>
        <v>55</v>
      </c>
    </row>
    <row r="365" spans="2:13" x14ac:dyDescent="0.25">
      <c r="B365" s="2">
        <v>8</v>
      </c>
      <c r="C365" s="4" t="s">
        <v>32</v>
      </c>
      <c r="D365" s="22">
        <v>30</v>
      </c>
      <c r="E365" s="22">
        <v>17</v>
      </c>
      <c r="F365" s="22">
        <v>2</v>
      </c>
      <c r="G365" s="22">
        <f t="shared" si="56"/>
        <v>11</v>
      </c>
      <c r="H365" s="22">
        <v>73</v>
      </c>
      <c r="I365" s="22">
        <v>48</v>
      </c>
      <c r="J365" s="23">
        <f t="shared" si="57"/>
        <v>53</v>
      </c>
    </row>
    <row r="366" spans="2:13" x14ac:dyDescent="0.25">
      <c r="B366" s="2">
        <v>9</v>
      </c>
      <c r="C366" s="4" t="s">
        <v>112</v>
      </c>
      <c r="D366" s="22">
        <v>30</v>
      </c>
      <c r="E366" s="22">
        <v>13</v>
      </c>
      <c r="F366" s="22">
        <v>2</v>
      </c>
      <c r="G366" s="22">
        <f t="shared" si="56"/>
        <v>15</v>
      </c>
      <c r="H366" s="22">
        <v>53</v>
      </c>
      <c r="I366" s="22">
        <v>40</v>
      </c>
      <c r="J366" s="23">
        <f t="shared" si="57"/>
        <v>41</v>
      </c>
    </row>
    <row r="367" spans="2:13" x14ac:dyDescent="0.25">
      <c r="B367" s="2">
        <v>10</v>
      </c>
      <c r="C367" s="4" t="s">
        <v>56</v>
      </c>
      <c r="D367" s="22">
        <v>30</v>
      </c>
      <c r="E367" s="22">
        <v>9</v>
      </c>
      <c r="F367" s="22">
        <v>2</v>
      </c>
      <c r="G367" s="22">
        <f t="shared" si="56"/>
        <v>19</v>
      </c>
      <c r="H367" s="22">
        <v>37</v>
      </c>
      <c r="I367" s="22">
        <v>72</v>
      </c>
      <c r="J367" s="23">
        <f t="shared" si="57"/>
        <v>29</v>
      </c>
    </row>
    <row r="368" spans="2:13" x14ac:dyDescent="0.25">
      <c r="B368" s="2">
        <v>11</v>
      </c>
      <c r="C368" s="4" t="s">
        <v>95</v>
      </c>
      <c r="D368" s="22">
        <v>30</v>
      </c>
      <c r="E368" s="22">
        <v>10</v>
      </c>
      <c r="F368" s="22">
        <v>1</v>
      </c>
      <c r="G368" s="22">
        <f t="shared" si="56"/>
        <v>19</v>
      </c>
      <c r="H368" s="22">
        <v>42</v>
      </c>
      <c r="I368" s="22">
        <v>79</v>
      </c>
      <c r="J368" s="23">
        <f t="shared" si="57"/>
        <v>31</v>
      </c>
    </row>
    <row r="369" spans="2:13" x14ac:dyDescent="0.25">
      <c r="B369" s="2">
        <v>12</v>
      </c>
      <c r="C369" s="4" t="s">
        <v>76</v>
      </c>
      <c r="D369" s="22">
        <v>30</v>
      </c>
      <c r="E369" s="22">
        <v>7</v>
      </c>
      <c r="F369" s="22">
        <v>5</v>
      </c>
      <c r="G369" s="22">
        <f t="shared" si="56"/>
        <v>18</v>
      </c>
      <c r="H369" s="22">
        <v>51</v>
      </c>
      <c r="I369" s="22">
        <v>67</v>
      </c>
      <c r="J369" s="23">
        <f t="shared" si="57"/>
        <v>26</v>
      </c>
    </row>
    <row r="370" spans="2:13" x14ac:dyDescent="0.25">
      <c r="B370" s="2">
        <v>13</v>
      </c>
      <c r="C370" s="4" t="s">
        <v>68</v>
      </c>
      <c r="D370" s="22">
        <v>30</v>
      </c>
      <c r="E370" s="22">
        <v>8</v>
      </c>
      <c r="F370" s="22">
        <v>2</v>
      </c>
      <c r="G370" s="22">
        <f t="shared" si="56"/>
        <v>20</v>
      </c>
      <c r="H370" s="22">
        <v>47</v>
      </c>
      <c r="I370" s="22">
        <v>74</v>
      </c>
      <c r="J370" s="23">
        <f t="shared" si="57"/>
        <v>26</v>
      </c>
    </row>
    <row r="371" spans="2:13" x14ac:dyDescent="0.25">
      <c r="B371" s="2">
        <v>14</v>
      </c>
      <c r="C371" s="4" t="s">
        <v>52</v>
      </c>
      <c r="D371" s="22">
        <v>30</v>
      </c>
      <c r="E371" s="22">
        <v>6</v>
      </c>
      <c r="F371" s="22">
        <v>2</v>
      </c>
      <c r="G371" s="22">
        <f t="shared" si="56"/>
        <v>22</v>
      </c>
      <c r="H371" s="22">
        <v>34</v>
      </c>
      <c r="I371" s="22">
        <v>116</v>
      </c>
      <c r="J371" s="23">
        <f t="shared" si="57"/>
        <v>20</v>
      </c>
    </row>
    <row r="372" spans="2:13" x14ac:dyDescent="0.25">
      <c r="B372" s="2">
        <v>15</v>
      </c>
      <c r="C372" s="4" t="s">
        <v>34</v>
      </c>
      <c r="D372" s="22">
        <v>30</v>
      </c>
      <c r="E372" s="22">
        <v>2</v>
      </c>
      <c r="F372" s="22">
        <v>0</v>
      </c>
      <c r="G372" s="22">
        <f t="shared" si="56"/>
        <v>28</v>
      </c>
      <c r="H372" s="22">
        <v>9</v>
      </c>
      <c r="I372" s="22">
        <v>162</v>
      </c>
      <c r="J372" s="23">
        <f t="shared" si="57"/>
        <v>6</v>
      </c>
    </row>
    <row r="373" spans="2:13" x14ac:dyDescent="0.25">
      <c r="B373" s="2">
        <v>16</v>
      </c>
      <c r="C373" s="4" t="s">
        <v>34</v>
      </c>
      <c r="D373" s="22">
        <v>30</v>
      </c>
      <c r="E373" s="22">
        <v>0</v>
      </c>
      <c r="F373" s="22">
        <v>0</v>
      </c>
      <c r="G373" s="22">
        <f t="shared" si="56"/>
        <v>30</v>
      </c>
      <c r="H373" s="22">
        <v>3</v>
      </c>
      <c r="I373" s="22">
        <v>138</v>
      </c>
      <c r="J373" s="23">
        <f t="shared" si="57"/>
        <v>0</v>
      </c>
    </row>
    <row r="374" spans="2:13" x14ac:dyDescent="0.25">
      <c r="B374" s="53" t="s">
        <v>94</v>
      </c>
      <c r="C374" s="53"/>
      <c r="D374" s="53"/>
      <c r="E374" s="53"/>
      <c r="F374" s="53"/>
      <c r="G374" s="53"/>
      <c r="H374" s="53"/>
      <c r="I374" s="53"/>
      <c r="J374" s="53"/>
    </row>
    <row r="375" spans="2:13" x14ac:dyDescent="0.25">
      <c r="B375" s="2">
        <v>1</v>
      </c>
      <c r="C375" s="4" t="s">
        <v>70</v>
      </c>
      <c r="D375" s="22">
        <v>30</v>
      </c>
      <c r="E375" s="22">
        <v>25</v>
      </c>
      <c r="F375" s="22">
        <v>0</v>
      </c>
      <c r="G375" s="22">
        <f>D375-E375-F375</f>
        <v>5</v>
      </c>
      <c r="H375" s="22">
        <v>118</v>
      </c>
      <c r="I375" s="22">
        <v>18</v>
      </c>
      <c r="J375" s="23">
        <f>E375*3+F375*1</f>
        <v>75</v>
      </c>
      <c r="K375" s="11">
        <f t="shared" ref="K375:K390" si="58">(E375*3+F375)/(D375*3)*100</f>
        <v>83.333333333333343</v>
      </c>
      <c r="L375" s="26">
        <f>H375/D375</f>
        <v>3.9333333333333331</v>
      </c>
      <c r="M375" s="26">
        <f>I375/D375</f>
        <v>0.6</v>
      </c>
    </row>
    <row r="376" spans="2:13" x14ac:dyDescent="0.25">
      <c r="B376" s="2">
        <v>2</v>
      </c>
      <c r="C376" s="4" t="s">
        <v>43</v>
      </c>
      <c r="D376" s="22">
        <v>30</v>
      </c>
      <c r="E376" s="22">
        <v>25</v>
      </c>
      <c r="F376" s="22">
        <v>0</v>
      </c>
      <c r="G376" s="22">
        <f t="shared" ref="G376:G390" si="59">D376-E376-F376</f>
        <v>5</v>
      </c>
      <c r="H376" s="22">
        <v>110</v>
      </c>
      <c r="I376" s="22">
        <v>20</v>
      </c>
      <c r="J376" s="23">
        <f t="shared" ref="J376:J390" si="60">E376*3+F376*1</f>
        <v>75</v>
      </c>
      <c r="K376" s="12">
        <f t="shared" si="58"/>
        <v>83.333333333333343</v>
      </c>
      <c r="L376" s="26">
        <f t="shared" ref="L376:L390" si="61">H376/D376</f>
        <v>3.6666666666666665</v>
      </c>
      <c r="M376" s="29">
        <f t="shared" ref="M376:M390" si="62">I376/D376</f>
        <v>0.66666666666666663</v>
      </c>
    </row>
    <row r="377" spans="2:13" x14ac:dyDescent="0.25">
      <c r="B377" s="2">
        <v>3</v>
      </c>
      <c r="C377" s="4" t="s">
        <v>64</v>
      </c>
      <c r="D377" s="22">
        <v>30</v>
      </c>
      <c r="E377" s="22">
        <v>24</v>
      </c>
      <c r="F377" s="22">
        <v>2</v>
      </c>
      <c r="G377" s="22">
        <f t="shared" si="59"/>
        <v>4</v>
      </c>
      <c r="H377" s="22">
        <v>138</v>
      </c>
      <c r="I377" s="22">
        <v>21</v>
      </c>
      <c r="J377" s="23">
        <f t="shared" si="60"/>
        <v>74</v>
      </c>
      <c r="K377" s="11">
        <f t="shared" si="58"/>
        <v>82.222222222222214</v>
      </c>
      <c r="L377" s="26">
        <f t="shared" si="61"/>
        <v>4.5999999999999996</v>
      </c>
      <c r="M377" s="26">
        <f t="shared" si="62"/>
        <v>0.7</v>
      </c>
    </row>
    <row r="378" spans="2:13" x14ac:dyDescent="0.25">
      <c r="B378" s="2">
        <v>4</v>
      </c>
      <c r="C378" s="4" t="s">
        <v>33</v>
      </c>
      <c r="D378" s="22">
        <v>30</v>
      </c>
      <c r="E378" s="22">
        <v>22</v>
      </c>
      <c r="F378" s="22">
        <v>5</v>
      </c>
      <c r="G378" s="22">
        <f t="shared" si="59"/>
        <v>3</v>
      </c>
      <c r="H378" s="22">
        <v>103</v>
      </c>
      <c r="I378" s="22">
        <v>21</v>
      </c>
      <c r="J378" s="23">
        <f t="shared" si="60"/>
        <v>71</v>
      </c>
      <c r="K378" s="11">
        <f t="shared" si="58"/>
        <v>78.888888888888886</v>
      </c>
      <c r="L378" s="29">
        <f t="shared" si="61"/>
        <v>3.4333333333333331</v>
      </c>
      <c r="M378" s="26">
        <f t="shared" si="62"/>
        <v>0.7</v>
      </c>
    </row>
    <row r="379" spans="2:13" x14ac:dyDescent="0.25">
      <c r="B379" s="2">
        <v>5</v>
      </c>
      <c r="C379" s="4" t="s">
        <v>32</v>
      </c>
      <c r="D379" s="22">
        <v>30</v>
      </c>
      <c r="E379" s="22">
        <v>19</v>
      </c>
      <c r="F379" s="22">
        <v>3</v>
      </c>
      <c r="G379" s="22">
        <f t="shared" si="59"/>
        <v>8</v>
      </c>
      <c r="H379" s="22">
        <v>76</v>
      </c>
      <c r="I379" s="22">
        <v>40</v>
      </c>
      <c r="J379" s="23">
        <f t="shared" si="60"/>
        <v>60</v>
      </c>
      <c r="K379" s="11">
        <f t="shared" si="58"/>
        <v>66.666666666666657</v>
      </c>
      <c r="L379" s="26">
        <f t="shared" si="61"/>
        <v>2.5333333333333332</v>
      </c>
      <c r="M379" s="29">
        <f t="shared" si="62"/>
        <v>1.3333333333333333</v>
      </c>
    </row>
    <row r="380" spans="2:13" x14ac:dyDescent="0.25">
      <c r="B380" s="2">
        <v>6</v>
      </c>
      <c r="C380" s="4" t="s">
        <v>18</v>
      </c>
      <c r="D380" s="22">
        <v>30</v>
      </c>
      <c r="E380" s="22">
        <v>18</v>
      </c>
      <c r="F380" s="22">
        <v>4</v>
      </c>
      <c r="G380" s="22">
        <f t="shared" si="59"/>
        <v>8</v>
      </c>
      <c r="H380" s="22">
        <v>77</v>
      </c>
      <c r="I380" s="22">
        <v>32</v>
      </c>
      <c r="J380" s="23">
        <f t="shared" si="60"/>
        <v>58</v>
      </c>
      <c r="K380" s="11">
        <f t="shared" si="58"/>
        <v>64.444444444444443</v>
      </c>
      <c r="L380" s="26">
        <f t="shared" si="61"/>
        <v>2.5666666666666669</v>
      </c>
      <c r="M380" s="26">
        <f t="shared" si="62"/>
        <v>1.0666666666666667</v>
      </c>
    </row>
    <row r="381" spans="2:13" x14ac:dyDescent="0.25">
      <c r="B381" s="2">
        <v>7</v>
      </c>
      <c r="C381" s="4" t="s">
        <v>71</v>
      </c>
      <c r="D381" s="22">
        <v>30</v>
      </c>
      <c r="E381" s="22">
        <v>13</v>
      </c>
      <c r="F381" s="22">
        <v>4</v>
      </c>
      <c r="G381" s="22">
        <f t="shared" si="59"/>
        <v>13</v>
      </c>
      <c r="H381" s="22">
        <v>65</v>
      </c>
      <c r="I381" s="22">
        <v>48</v>
      </c>
      <c r="J381" s="23">
        <f t="shared" si="60"/>
        <v>43</v>
      </c>
      <c r="K381" s="11">
        <f t="shared" si="58"/>
        <v>47.777777777777779</v>
      </c>
      <c r="L381" s="26">
        <f t="shared" si="61"/>
        <v>2.1666666666666665</v>
      </c>
      <c r="M381" s="26">
        <f t="shared" si="62"/>
        <v>1.6</v>
      </c>
    </row>
    <row r="382" spans="2:13" x14ac:dyDescent="0.25">
      <c r="B382" s="2">
        <v>8</v>
      </c>
      <c r="C382" s="4" t="s">
        <v>76</v>
      </c>
      <c r="D382" s="22">
        <v>30</v>
      </c>
      <c r="E382" s="22">
        <v>12</v>
      </c>
      <c r="F382" s="22">
        <v>3</v>
      </c>
      <c r="G382" s="22">
        <f t="shared" si="59"/>
        <v>15</v>
      </c>
      <c r="H382" s="22">
        <v>43</v>
      </c>
      <c r="I382" s="22">
        <v>63</v>
      </c>
      <c r="J382" s="23">
        <f t="shared" si="60"/>
        <v>39</v>
      </c>
      <c r="K382" s="11">
        <f t="shared" si="58"/>
        <v>43.333333333333336</v>
      </c>
      <c r="L382" s="26">
        <f t="shared" si="61"/>
        <v>1.4333333333333333</v>
      </c>
      <c r="M382" s="26">
        <f t="shared" si="62"/>
        <v>2.1</v>
      </c>
    </row>
    <row r="383" spans="2:13" x14ac:dyDescent="0.25">
      <c r="B383" s="2">
        <v>9</v>
      </c>
      <c r="C383" s="4" t="s">
        <v>58</v>
      </c>
      <c r="D383" s="22">
        <v>30</v>
      </c>
      <c r="E383" s="22">
        <v>11</v>
      </c>
      <c r="F383" s="22">
        <v>5</v>
      </c>
      <c r="G383" s="22">
        <f t="shared" si="59"/>
        <v>14</v>
      </c>
      <c r="H383" s="22">
        <v>31</v>
      </c>
      <c r="I383" s="22">
        <v>52</v>
      </c>
      <c r="J383" s="23">
        <f t="shared" si="60"/>
        <v>38</v>
      </c>
      <c r="K383" s="11">
        <f t="shared" si="58"/>
        <v>42.222222222222221</v>
      </c>
      <c r="L383" s="26">
        <f t="shared" si="61"/>
        <v>1.0333333333333334</v>
      </c>
      <c r="M383" s="26">
        <f t="shared" si="62"/>
        <v>1.7333333333333334</v>
      </c>
    </row>
    <row r="384" spans="2:13" x14ac:dyDescent="0.25">
      <c r="B384" s="2">
        <v>10</v>
      </c>
      <c r="C384" s="4" t="s">
        <v>92</v>
      </c>
      <c r="D384" s="22">
        <v>30</v>
      </c>
      <c r="E384" s="22">
        <v>10</v>
      </c>
      <c r="F384" s="22">
        <v>5</v>
      </c>
      <c r="G384" s="22">
        <f t="shared" si="59"/>
        <v>15</v>
      </c>
      <c r="H384" s="22">
        <v>42</v>
      </c>
      <c r="I384" s="22">
        <v>49</v>
      </c>
      <c r="J384" s="23">
        <f t="shared" si="60"/>
        <v>35</v>
      </c>
      <c r="K384" s="11">
        <f t="shared" si="58"/>
        <v>38.888888888888893</v>
      </c>
      <c r="L384" s="26">
        <f t="shared" si="61"/>
        <v>1.4</v>
      </c>
      <c r="M384" s="26">
        <f t="shared" si="62"/>
        <v>1.6333333333333333</v>
      </c>
    </row>
    <row r="385" spans="2:13" x14ac:dyDescent="0.25">
      <c r="B385" s="2">
        <v>11</v>
      </c>
      <c r="C385" s="4" t="s">
        <v>68</v>
      </c>
      <c r="D385" s="22">
        <v>30</v>
      </c>
      <c r="E385" s="22">
        <v>11</v>
      </c>
      <c r="F385" s="22">
        <v>1</v>
      </c>
      <c r="G385" s="22">
        <f t="shared" si="59"/>
        <v>18</v>
      </c>
      <c r="H385" s="22">
        <v>38</v>
      </c>
      <c r="I385" s="22">
        <v>81</v>
      </c>
      <c r="J385" s="23">
        <f t="shared" si="60"/>
        <v>34</v>
      </c>
      <c r="K385" s="11">
        <f t="shared" si="58"/>
        <v>37.777777777777779</v>
      </c>
      <c r="L385" s="26">
        <f t="shared" si="61"/>
        <v>1.2666666666666666</v>
      </c>
      <c r="M385" s="26">
        <f t="shared" si="62"/>
        <v>2.7</v>
      </c>
    </row>
    <row r="386" spans="2:13" x14ac:dyDescent="0.25">
      <c r="B386" s="2">
        <v>12</v>
      </c>
      <c r="C386" s="4" t="s">
        <v>95</v>
      </c>
      <c r="D386" s="22">
        <v>30</v>
      </c>
      <c r="E386" s="22">
        <v>10</v>
      </c>
      <c r="F386" s="22">
        <v>3</v>
      </c>
      <c r="G386" s="22">
        <f t="shared" si="59"/>
        <v>17</v>
      </c>
      <c r="H386" s="22">
        <v>41</v>
      </c>
      <c r="I386" s="22">
        <v>93</v>
      </c>
      <c r="J386" s="23">
        <f t="shared" si="60"/>
        <v>33</v>
      </c>
      <c r="K386" s="11">
        <f t="shared" si="58"/>
        <v>36.666666666666664</v>
      </c>
      <c r="L386" s="26">
        <f t="shared" si="61"/>
        <v>1.3666666666666667</v>
      </c>
      <c r="M386" s="26">
        <f t="shared" si="62"/>
        <v>3.1</v>
      </c>
    </row>
    <row r="387" spans="2:13" x14ac:dyDescent="0.25">
      <c r="B387" s="2">
        <v>13</v>
      </c>
      <c r="C387" s="4" t="s">
        <v>52</v>
      </c>
      <c r="D387" s="22">
        <v>30</v>
      </c>
      <c r="E387" s="22">
        <v>5</v>
      </c>
      <c r="F387" s="22">
        <v>6</v>
      </c>
      <c r="G387" s="22">
        <f t="shared" si="59"/>
        <v>19</v>
      </c>
      <c r="H387" s="22">
        <v>26</v>
      </c>
      <c r="I387" s="22">
        <v>102</v>
      </c>
      <c r="J387" s="23">
        <f t="shared" si="60"/>
        <v>21</v>
      </c>
      <c r="K387" s="11">
        <f t="shared" si="58"/>
        <v>23.333333333333332</v>
      </c>
      <c r="L387" s="26">
        <f t="shared" si="61"/>
        <v>0.8666666666666667</v>
      </c>
      <c r="M387" s="26">
        <f t="shared" si="62"/>
        <v>3.4</v>
      </c>
    </row>
    <row r="388" spans="2:13" x14ac:dyDescent="0.25">
      <c r="B388" s="2">
        <v>14</v>
      </c>
      <c r="C388" s="4" t="s">
        <v>56</v>
      </c>
      <c r="D388" s="22">
        <v>30</v>
      </c>
      <c r="E388" s="22">
        <v>5</v>
      </c>
      <c r="F388" s="22">
        <v>2</v>
      </c>
      <c r="G388" s="22">
        <f t="shared" si="59"/>
        <v>23</v>
      </c>
      <c r="H388" s="22">
        <v>13</v>
      </c>
      <c r="I388" s="22">
        <v>93</v>
      </c>
      <c r="J388" s="23">
        <f t="shared" si="60"/>
        <v>17</v>
      </c>
      <c r="K388" s="11">
        <f t="shared" si="58"/>
        <v>18.888888888888889</v>
      </c>
      <c r="L388" s="30">
        <f t="shared" si="61"/>
        <v>0.43333333333333335</v>
      </c>
      <c r="M388" s="26">
        <f t="shared" si="62"/>
        <v>3.1</v>
      </c>
    </row>
    <row r="389" spans="2:13" x14ac:dyDescent="0.25">
      <c r="B389" s="2">
        <v>15</v>
      </c>
      <c r="C389" s="4" t="s">
        <v>50</v>
      </c>
      <c r="D389" s="22">
        <v>30</v>
      </c>
      <c r="E389" s="22">
        <v>3</v>
      </c>
      <c r="F389" s="22">
        <v>6</v>
      </c>
      <c r="G389" s="22">
        <f t="shared" si="59"/>
        <v>21</v>
      </c>
      <c r="H389" s="22">
        <v>16</v>
      </c>
      <c r="I389" s="22">
        <v>69</v>
      </c>
      <c r="J389" s="23">
        <f t="shared" si="60"/>
        <v>15</v>
      </c>
      <c r="K389" s="11">
        <f t="shared" si="58"/>
        <v>16.666666666666664</v>
      </c>
      <c r="L389" s="26">
        <f t="shared" si="61"/>
        <v>0.53333333333333333</v>
      </c>
      <c r="M389" s="26">
        <f t="shared" si="62"/>
        <v>2.2999999999999998</v>
      </c>
    </row>
    <row r="390" spans="2:13" x14ac:dyDescent="0.25">
      <c r="B390" s="2">
        <v>16</v>
      </c>
      <c r="C390" s="4" t="s">
        <v>73</v>
      </c>
      <c r="D390" s="22">
        <v>30</v>
      </c>
      <c r="E390" s="22">
        <v>2</v>
      </c>
      <c r="F390" s="22">
        <v>1</v>
      </c>
      <c r="G390" s="22">
        <f t="shared" si="59"/>
        <v>27</v>
      </c>
      <c r="H390" s="22">
        <v>13</v>
      </c>
      <c r="I390" s="22">
        <v>148</v>
      </c>
      <c r="J390" s="23">
        <f t="shared" si="60"/>
        <v>7</v>
      </c>
      <c r="K390" s="13">
        <f t="shared" si="58"/>
        <v>7.7777777777777777</v>
      </c>
      <c r="L390" s="26">
        <f t="shared" si="61"/>
        <v>0.43333333333333335</v>
      </c>
      <c r="M390" s="30">
        <f t="shared" si="62"/>
        <v>4.9333333333333336</v>
      </c>
    </row>
    <row r="391" spans="2:13" x14ac:dyDescent="0.25">
      <c r="B391" s="2"/>
      <c r="C391" s="2"/>
      <c r="D391" s="22"/>
      <c r="E391" s="22"/>
      <c r="F391" s="22"/>
      <c r="G391" s="22"/>
      <c r="H391" s="22"/>
      <c r="I391" s="22"/>
      <c r="J391" s="22"/>
    </row>
    <row r="392" spans="2:13" x14ac:dyDescent="0.25">
      <c r="B392" s="53" t="s">
        <v>91</v>
      </c>
      <c r="C392" s="53"/>
      <c r="D392" s="53"/>
      <c r="E392" s="53"/>
      <c r="F392" s="53"/>
      <c r="G392" s="53"/>
      <c r="H392" s="53"/>
      <c r="I392" s="53"/>
      <c r="J392" s="53"/>
    </row>
    <row r="393" spans="2:13" x14ac:dyDescent="0.25">
      <c r="B393" s="2">
        <v>1</v>
      </c>
      <c r="C393" s="4" t="s">
        <v>18</v>
      </c>
      <c r="D393" s="22">
        <v>30</v>
      </c>
      <c r="E393" s="22">
        <v>25</v>
      </c>
      <c r="F393" s="22">
        <v>2</v>
      </c>
      <c r="G393" s="22">
        <f>D393-E393-F393</f>
        <v>3</v>
      </c>
      <c r="H393" s="22">
        <v>97</v>
      </c>
      <c r="I393" s="22">
        <v>17</v>
      </c>
      <c r="J393" s="23">
        <f>E393*3+F393*1</f>
        <v>77</v>
      </c>
      <c r="K393" s="11">
        <f t="shared" ref="K393:K408" si="63">(E393*3+F393)/(D393*3)*100</f>
        <v>85.555555555555557</v>
      </c>
    </row>
    <row r="394" spans="2:13" x14ac:dyDescent="0.25">
      <c r="B394" s="2">
        <v>2</v>
      </c>
      <c r="C394" s="4" t="s">
        <v>32</v>
      </c>
      <c r="D394" s="22">
        <v>30</v>
      </c>
      <c r="E394" s="22">
        <v>25</v>
      </c>
      <c r="F394" s="22">
        <v>1</v>
      </c>
      <c r="G394" s="22">
        <f t="shared" ref="G394:G408" si="64">D394-E394-F394</f>
        <v>4</v>
      </c>
      <c r="H394" s="22">
        <v>109</v>
      </c>
      <c r="I394" s="22">
        <v>32</v>
      </c>
      <c r="J394" s="23">
        <f t="shared" ref="J394:J408" si="65">E394*3+F394*1</f>
        <v>76</v>
      </c>
      <c r="K394" s="11">
        <f t="shared" si="63"/>
        <v>84.444444444444443</v>
      </c>
    </row>
    <row r="395" spans="2:13" x14ac:dyDescent="0.25">
      <c r="B395" s="2">
        <v>3</v>
      </c>
      <c r="C395" s="4" t="s">
        <v>64</v>
      </c>
      <c r="D395" s="22">
        <v>30</v>
      </c>
      <c r="E395" s="22">
        <v>24</v>
      </c>
      <c r="F395" s="22">
        <v>2</v>
      </c>
      <c r="G395" s="22">
        <f t="shared" si="64"/>
        <v>4</v>
      </c>
      <c r="H395" s="22">
        <v>108</v>
      </c>
      <c r="I395" s="22">
        <v>25</v>
      </c>
      <c r="J395" s="23">
        <f t="shared" si="65"/>
        <v>74</v>
      </c>
      <c r="K395" s="11">
        <f t="shared" si="63"/>
        <v>82.222222222222214</v>
      </c>
    </row>
    <row r="396" spans="2:13" x14ac:dyDescent="0.25">
      <c r="B396" s="2">
        <v>4</v>
      </c>
      <c r="C396" s="4" t="s">
        <v>33</v>
      </c>
      <c r="D396" s="22">
        <v>30</v>
      </c>
      <c r="E396" s="22">
        <v>23</v>
      </c>
      <c r="F396" s="22">
        <v>2</v>
      </c>
      <c r="G396" s="22">
        <f t="shared" si="64"/>
        <v>5</v>
      </c>
      <c r="H396" s="22">
        <v>109</v>
      </c>
      <c r="I396" s="22">
        <v>20</v>
      </c>
      <c r="J396" s="23">
        <f t="shared" si="65"/>
        <v>71</v>
      </c>
      <c r="K396" s="11">
        <f t="shared" si="63"/>
        <v>78.888888888888886</v>
      </c>
    </row>
    <row r="397" spans="2:13" x14ac:dyDescent="0.25">
      <c r="B397" s="2">
        <v>5</v>
      </c>
      <c r="C397" s="4" t="s">
        <v>70</v>
      </c>
      <c r="D397" s="22">
        <v>30</v>
      </c>
      <c r="E397" s="22">
        <v>20</v>
      </c>
      <c r="F397" s="22">
        <v>6</v>
      </c>
      <c r="G397" s="22">
        <f t="shared" si="64"/>
        <v>4</v>
      </c>
      <c r="H397" s="22">
        <v>84</v>
      </c>
      <c r="I397" s="22">
        <v>31</v>
      </c>
      <c r="J397" s="23">
        <f t="shared" si="65"/>
        <v>66</v>
      </c>
      <c r="K397" s="11">
        <f t="shared" si="63"/>
        <v>73.333333333333329</v>
      </c>
    </row>
    <row r="398" spans="2:13" x14ac:dyDescent="0.25">
      <c r="B398" s="2">
        <v>6</v>
      </c>
      <c r="C398" s="4" t="s">
        <v>43</v>
      </c>
      <c r="D398" s="22">
        <v>30</v>
      </c>
      <c r="E398" s="22">
        <v>21</v>
      </c>
      <c r="F398" s="22">
        <v>2</v>
      </c>
      <c r="G398" s="22">
        <f t="shared" si="64"/>
        <v>7</v>
      </c>
      <c r="H398" s="22">
        <v>91</v>
      </c>
      <c r="I398" s="22">
        <v>27</v>
      </c>
      <c r="J398" s="23">
        <f t="shared" si="65"/>
        <v>65</v>
      </c>
      <c r="K398" s="11">
        <f t="shared" si="63"/>
        <v>72.222222222222214</v>
      </c>
    </row>
    <row r="399" spans="2:13" x14ac:dyDescent="0.25">
      <c r="B399" s="2">
        <v>7</v>
      </c>
      <c r="C399" s="4" t="s">
        <v>92</v>
      </c>
      <c r="D399" s="22">
        <v>30</v>
      </c>
      <c r="E399" s="22">
        <v>14</v>
      </c>
      <c r="F399" s="22">
        <v>1</v>
      </c>
      <c r="G399" s="22">
        <f t="shared" si="64"/>
        <v>15</v>
      </c>
      <c r="H399" s="22">
        <v>31</v>
      </c>
      <c r="I399" s="22">
        <v>47</v>
      </c>
      <c r="J399" s="23">
        <f t="shared" si="65"/>
        <v>43</v>
      </c>
      <c r="K399" s="11">
        <f t="shared" si="63"/>
        <v>47.777777777777779</v>
      </c>
    </row>
    <row r="400" spans="2:13" x14ac:dyDescent="0.25">
      <c r="B400" s="2">
        <v>8</v>
      </c>
      <c r="C400" s="4" t="s">
        <v>71</v>
      </c>
      <c r="D400" s="22">
        <v>30</v>
      </c>
      <c r="E400" s="22">
        <v>10</v>
      </c>
      <c r="F400" s="22">
        <v>4</v>
      </c>
      <c r="G400" s="22">
        <f t="shared" si="64"/>
        <v>16</v>
      </c>
      <c r="H400" s="22">
        <v>41</v>
      </c>
      <c r="I400" s="22">
        <v>56</v>
      </c>
      <c r="J400" s="23">
        <f t="shared" si="65"/>
        <v>34</v>
      </c>
      <c r="K400" s="11">
        <f t="shared" si="63"/>
        <v>37.777777777777779</v>
      </c>
    </row>
    <row r="401" spans="2:11" x14ac:dyDescent="0.25">
      <c r="B401" s="2">
        <v>9</v>
      </c>
      <c r="C401" s="4" t="s">
        <v>50</v>
      </c>
      <c r="D401" s="22">
        <v>30</v>
      </c>
      <c r="E401" s="22">
        <v>9</v>
      </c>
      <c r="F401" s="22">
        <v>6</v>
      </c>
      <c r="G401" s="22">
        <f t="shared" si="64"/>
        <v>15</v>
      </c>
      <c r="H401" s="22">
        <v>26</v>
      </c>
      <c r="I401" s="22">
        <v>50</v>
      </c>
      <c r="J401" s="23">
        <f t="shared" si="65"/>
        <v>33</v>
      </c>
      <c r="K401" s="11">
        <f t="shared" si="63"/>
        <v>36.666666666666664</v>
      </c>
    </row>
    <row r="402" spans="2:11" x14ac:dyDescent="0.25">
      <c r="B402" s="2">
        <v>10</v>
      </c>
      <c r="C402" s="4" t="s">
        <v>68</v>
      </c>
      <c r="D402" s="22">
        <v>30</v>
      </c>
      <c r="E402" s="22">
        <v>9</v>
      </c>
      <c r="F402" s="22">
        <v>4</v>
      </c>
      <c r="G402" s="22">
        <f t="shared" si="64"/>
        <v>17</v>
      </c>
      <c r="H402" s="22">
        <v>33</v>
      </c>
      <c r="I402" s="22">
        <v>72</v>
      </c>
      <c r="J402" s="23">
        <f t="shared" si="65"/>
        <v>31</v>
      </c>
      <c r="K402" s="11">
        <f t="shared" si="63"/>
        <v>34.444444444444443</v>
      </c>
    </row>
    <row r="403" spans="2:11" x14ac:dyDescent="0.25">
      <c r="B403" s="2">
        <v>11</v>
      </c>
      <c r="C403" s="4" t="s">
        <v>52</v>
      </c>
      <c r="D403" s="22">
        <v>30</v>
      </c>
      <c r="E403" s="22">
        <v>7</v>
      </c>
      <c r="F403" s="22">
        <v>5</v>
      </c>
      <c r="G403" s="22">
        <f t="shared" si="64"/>
        <v>18</v>
      </c>
      <c r="H403" s="22">
        <v>23</v>
      </c>
      <c r="I403" s="22">
        <v>67</v>
      </c>
      <c r="J403" s="23">
        <f t="shared" si="65"/>
        <v>26</v>
      </c>
      <c r="K403" s="11">
        <f t="shared" si="63"/>
        <v>28.888888888888886</v>
      </c>
    </row>
    <row r="404" spans="2:11" x14ac:dyDescent="0.25">
      <c r="B404" s="2">
        <v>12</v>
      </c>
      <c r="C404" s="4" t="s">
        <v>58</v>
      </c>
      <c r="D404" s="22">
        <v>30</v>
      </c>
      <c r="E404" s="22">
        <v>7</v>
      </c>
      <c r="F404" s="22">
        <v>4</v>
      </c>
      <c r="G404" s="22">
        <f t="shared" si="64"/>
        <v>19</v>
      </c>
      <c r="H404" s="22">
        <v>19</v>
      </c>
      <c r="I404" s="22">
        <v>80</v>
      </c>
      <c r="J404" s="23">
        <f t="shared" si="65"/>
        <v>25</v>
      </c>
      <c r="K404" s="11">
        <f t="shared" si="63"/>
        <v>27.777777777777779</v>
      </c>
    </row>
    <row r="405" spans="2:11" x14ac:dyDescent="0.25">
      <c r="B405" s="2">
        <v>13</v>
      </c>
      <c r="C405" s="4" t="s">
        <v>73</v>
      </c>
      <c r="D405" s="22">
        <v>30</v>
      </c>
      <c r="E405" s="22">
        <v>6</v>
      </c>
      <c r="F405" s="22">
        <v>5</v>
      </c>
      <c r="G405" s="22">
        <f t="shared" si="64"/>
        <v>19</v>
      </c>
      <c r="H405" s="22">
        <v>18</v>
      </c>
      <c r="I405" s="22">
        <v>78</v>
      </c>
      <c r="J405" s="23">
        <f t="shared" si="65"/>
        <v>23</v>
      </c>
      <c r="K405" s="11">
        <f t="shared" si="63"/>
        <v>25.555555555555554</v>
      </c>
    </row>
    <row r="406" spans="2:11" x14ac:dyDescent="0.25">
      <c r="B406" s="2">
        <v>14</v>
      </c>
      <c r="C406" s="4" t="s">
        <v>56</v>
      </c>
      <c r="D406" s="22">
        <v>30</v>
      </c>
      <c r="E406" s="22">
        <v>6</v>
      </c>
      <c r="F406" s="22">
        <v>2</v>
      </c>
      <c r="G406" s="22">
        <f t="shared" si="64"/>
        <v>22</v>
      </c>
      <c r="H406" s="22">
        <v>17</v>
      </c>
      <c r="I406" s="22">
        <v>62</v>
      </c>
      <c r="J406" s="23">
        <f t="shared" si="65"/>
        <v>20</v>
      </c>
      <c r="K406" s="11">
        <f t="shared" si="63"/>
        <v>22.222222222222221</v>
      </c>
    </row>
    <row r="407" spans="2:11" x14ac:dyDescent="0.25">
      <c r="B407" s="2">
        <v>15</v>
      </c>
      <c r="C407" s="4" t="s">
        <v>93</v>
      </c>
      <c r="D407" s="22">
        <v>30</v>
      </c>
      <c r="E407" s="22">
        <v>4</v>
      </c>
      <c r="F407" s="22">
        <v>5</v>
      </c>
      <c r="G407" s="22">
        <f t="shared" si="64"/>
        <v>21</v>
      </c>
      <c r="H407" s="22">
        <v>13</v>
      </c>
      <c r="I407" s="22">
        <v>71</v>
      </c>
      <c r="J407" s="23">
        <f t="shared" si="65"/>
        <v>17</v>
      </c>
      <c r="K407" s="11">
        <f t="shared" si="63"/>
        <v>18.888888888888889</v>
      </c>
    </row>
    <row r="408" spans="2:11" x14ac:dyDescent="0.25">
      <c r="B408" s="2">
        <v>16</v>
      </c>
      <c r="C408" s="4" t="s">
        <v>34</v>
      </c>
      <c r="D408" s="22">
        <v>5</v>
      </c>
      <c r="E408" s="22">
        <v>0</v>
      </c>
      <c r="F408" s="22">
        <v>0</v>
      </c>
      <c r="G408" s="22">
        <f t="shared" si="64"/>
        <v>5</v>
      </c>
      <c r="H408" s="22">
        <v>0</v>
      </c>
      <c r="I408" s="22">
        <v>28</v>
      </c>
      <c r="J408" s="23">
        <f t="shared" si="65"/>
        <v>0</v>
      </c>
      <c r="K408" s="11">
        <f t="shared" si="63"/>
        <v>0</v>
      </c>
    </row>
    <row r="409" spans="2:11" x14ac:dyDescent="0.25">
      <c r="B409" s="2"/>
      <c r="C409" s="2"/>
      <c r="D409" s="22"/>
      <c r="E409" s="22"/>
      <c r="F409" s="22"/>
      <c r="G409" s="22"/>
      <c r="H409" s="22"/>
      <c r="I409" s="22"/>
      <c r="J409" s="22"/>
    </row>
    <row r="410" spans="2:11" x14ac:dyDescent="0.25">
      <c r="B410" s="53" t="s">
        <v>77</v>
      </c>
      <c r="C410" s="53"/>
      <c r="D410" s="53"/>
      <c r="E410" s="53"/>
      <c r="F410" s="53"/>
      <c r="G410" s="53"/>
      <c r="H410" s="53"/>
      <c r="I410" s="53"/>
      <c r="J410" s="53"/>
    </row>
    <row r="411" spans="2:11" x14ac:dyDescent="0.25">
      <c r="B411" s="2">
        <v>1</v>
      </c>
      <c r="C411" s="4" t="s">
        <v>64</v>
      </c>
      <c r="D411" s="22">
        <v>30</v>
      </c>
      <c r="E411" s="22">
        <v>26</v>
      </c>
      <c r="F411" s="22">
        <v>2</v>
      </c>
      <c r="G411" s="22">
        <f>D411-E411-F411</f>
        <v>2</v>
      </c>
      <c r="H411" s="22">
        <v>103</v>
      </c>
      <c r="I411" s="22">
        <v>16</v>
      </c>
      <c r="J411" s="23">
        <f>E411*3+F411*1</f>
        <v>80</v>
      </c>
    </row>
    <row r="412" spans="2:11" x14ac:dyDescent="0.25">
      <c r="B412" s="2">
        <v>2</v>
      </c>
      <c r="C412" s="4" t="s">
        <v>18</v>
      </c>
      <c r="D412" s="22">
        <v>30</v>
      </c>
      <c r="E412" s="22">
        <v>25</v>
      </c>
      <c r="F412" s="22">
        <v>3</v>
      </c>
      <c r="G412" s="22">
        <f t="shared" ref="G412:G426" si="66">D412-E412-F412</f>
        <v>2</v>
      </c>
      <c r="H412" s="22">
        <v>106</v>
      </c>
      <c r="I412" s="22">
        <v>19</v>
      </c>
      <c r="J412" s="23">
        <f t="shared" ref="J412:J426" si="67">E412*3+F412*1</f>
        <v>78</v>
      </c>
    </row>
    <row r="413" spans="2:11" x14ac:dyDescent="0.25">
      <c r="B413" s="2">
        <v>3</v>
      </c>
      <c r="C413" s="4" t="s">
        <v>32</v>
      </c>
      <c r="D413" s="22">
        <v>30</v>
      </c>
      <c r="E413" s="22">
        <v>25</v>
      </c>
      <c r="F413" s="22">
        <v>2</v>
      </c>
      <c r="G413" s="22">
        <f t="shared" si="66"/>
        <v>3</v>
      </c>
      <c r="H413" s="22">
        <v>81</v>
      </c>
      <c r="I413" s="22">
        <v>22</v>
      </c>
      <c r="J413" s="23">
        <f t="shared" si="67"/>
        <v>77</v>
      </c>
    </row>
    <row r="414" spans="2:11" x14ac:dyDescent="0.25">
      <c r="B414" s="2">
        <v>4</v>
      </c>
      <c r="C414" s="4" t="s">
        <v>33</v>
      </c>
      <c r="D414" s="22">
        <v>30</v>
      </c>
      <c r="E414" s="22">
        <v>22</v>
      </c>
      <c r="F414" s="22">
        <v>3</v>
      </c>
      <c r="G414" s="22">
        <f t="shared" si="66"/>
        <v>5</v>
      </c>
      <c r="H414" s="22">
        <v>96</v>
      </c>
      <c r="I414" s="22">
        <v>25</v>
      </c>
      <c r="J414" s="23">
        <f t="shared" si="67"/>
        <v>69</v>
      </c>
    </row>
    <row r="415" spans="2:11" x14ac:dyDescent="0.25">
      <c r="B415" s="2">
        <v>5</v>
      </c>
      <c r="C415" s="4" t="s">
        <v>70</v>
      </c>
      <c r="D415" s="22">
        <v>30</v>
      </c>
      <c r="E415" s="22">
        <v>20</v>
      </c>
      <c r="F415" s="22">
        <v>4</v>
      </c>
      <c r="G415" s="22">
        <f t="shared" si="66"/>
        <v>6</v>
      </c>
      <c r="H415" s="22">
        <v>90</v>
      </c>
      <c r="I415" s="22">
        <v>34</v>
      </c>
      <c r="J415" s="23">
        <f t="shared" si="67"/>
        <v>64</v>
      </c>
    </row>
    <row r="416" spans="2:11" x14ac:dyDescent="0.25">
      <c r="B416" s="2">
        <v>6</v>
      </c>
      <c r="C416" s="4" t="s">
        <v>43</v>
      </c>
      <c r="D416" s="22">
        <v>30</v>
      </c>
      <c r="E416" s="22">
        <v>16</v>
      </c>
      <c r="F416" s="22">
        <v>2</v>
      </c>
      <c r="G416" s="22">
        <f t="shared" si="66"/>
        <v>12</v>
      </c>
      <c r="H416" s="22">
        <v>67</v>
      </c>
      <c r="I416" s="22">
        <v>37</v>
      </c>
      <c r="J416" s="23">
        <f t="shared" si="67"/>
        <v>50</v>
      </c>
    </row>
    <row r="417" spans="2:10" x14ac:dyDescent="0.25">
      <c r="B417" s="2">
        <v>7</v>
      </c>
      <c r="C417" s="4" t="s">
        <v>50</v>
      </c>
      <c r="D417" s="22">
        <v>30</v>
      </c>
      <c r="E417" s="22">
        <v>11</v>
      </c>
      <c r="F417" s="22">
        <v>3</v>
      </c>
      <c r="G417" s="22">
        <f t="shared" si="66"/>
        <v>16</v>
      </c>
      <c r="H417" s="22">
        <v>42</v>
      </c>
      <c r="I417" s="22">
        <v>55</v>
      </c>
      <c r="J417" s="23">
        <f t="shared" si="67"/>
        <v>36</v>
      </c>
    </row>
    <row r="418" spans="2:10" x14ac:dyDescent="0.25">
      <c r="B418" s="2">
        <v>8</v>
      </c>
      <c r="C418" s="4" t="s">
        <v>58</v>
      </c>
      <c r="D418" s="22">
        <v>30</v>
      </c>
      <c r="E418" s="22">
        <v>11</v>
      </c>
      <c r="F418" s="22">
        <v>3</v>
      </c>
      <c r="G418" s="22">
        <f t="shared" si="66"/>
        <v>16</v>
      </c>
      <c r="H418" s="22">
        <v>40</v>
      </c>
      <c r="I418" s="22">
        <v>56</v>
      </c>
      <c r="J418" s="23">
        <f t="shared" si="67"/>
        <v>36</v>
      </c>
    </row>
    <row r="419" spans="2:10" x14ac:dyDescent="0.25">
      <c r="B419" s="2">
        <v>9</v>
      </c>
      <c r="C419" s="4" t="s">
        <v>92</v>
      </c>
      <c r="D419" s="22">
        <v>30</v>
      </c>
      <c r="E419" s="22">
        <v>8</v>
      </c>
      <c r="F419" s="22">
        <v>4</v>
      </c>
      <c r="G419" s="22">
        <f t="shared" si="66"/>
        <v>18</v>
      </c>
      <c r="H419" s="22">
        <v>37</v>
      </c>
      <c r="I419" s="22">
        <v>65</v>
      </c>
      <c r="J419" s="23">
        <f t="shared" si="67"/>
        <v>28</v>
      </c>
    </row>
    <row r="420" spans="2:10" x14ac:dyDescent="0.25">
      <c r="B420" s="2">
        <v>10</v>
      </c>
      <c r="C420" s="4" t="s">
        <v>68</v>
      </c>
      <c r="D420" s="22">
        <v>30</v>
      </c>
      <c r="E420" s="22">
        <v>8</v>
      </c>
      <c r="F420" s="22">
        <v>4</v>
      </c>
      <c r="G420" s="22">
        <f t="shared" si="66"/>
        <v>18</v>
      </c>
      <c r="H420" s="22">
        <v>40</v>
      </c>
      <c r="I420" s="22">
        <v>85</v>
      </c>
      <c r="J420" s="23">
        <f t="shared" si="67"/>
        <v>28</v>
      </c>
    </row>
    <row r="421" spans="2:10" x14ac:dyDescent="0.25">
      <c r="B421" s="2">
        <v>11</v>
      </c>
      <c r="C421" s="4" t="s">
        <v>52</v>
      </c>
      <c r="D421" s="22">
        <v>30</v>
      </c>
      <c r="E421" s="22">
        <v>8</v>
      </c>
      <c r="F421" s="22">
        <v>3</v>
      </c>
      <c r="G421" s="22">
        <f t="shared" si="66"/>
        <v>19</v>
      </c>
      <c r="H421" s="22">
        <v>35</v>
      </c>
      <c r="I421" s="22">
        <v>86</v>
      </c>
      <c r="J421" s="23">
        <f t="shared" si="67"/>
        <v>27</v>
      </c>
    </row>
    <row r="422" spans="2:10" x14ac:dyDescent="0.25">
      <c r="B422" s="2">
        <v>12</v>
      </c>
      <c r="C422" s="4" t="s">
        <v>71</v>
      </c>
      <c r="D422" s="22">
        <v>30</v>
      </c>
      <c r="E422" s="22">
        <v>7</v>
      </c>
      <c r="F422" s="22">
        <v>3</v>
      </c>
      <c r="G422" s="22">
        <f t="shared" si="66"/>
        <v>20</v>
      </c>
      <c r="H422" s="22">
        <v>36</v>
      </c>
      <c r="I422" s="22">
        <v>79</v>
      </c>
      <c r="J422" s="23">
        <f t="shared" si="67"/>
        <v>24</v>
      </c>
    </row>
    <row r="423" spans="2:10" x14ac:dyDescent="0.25">
      <c r="B423" s="2">
        <v>13</v>
      </c>
      <c r="C423" s="4" t="s">
        <v>53</v>
      </c>
      <c r="D423" s="22">
        <v>30</v>
      </c>
      <c r="E423" s="22">
        <v>5</v>
      </c>
      <c r="F423" s="22">
        <v>7</v>
      </c>
      <c r="G423" s="22">
        <f t="shared" si="66"/>
        <v>18</v>
      </c>
      <c r="H423" s="22">
        <v>28</v>
      </c>
      <c r="I423" s="22">
        <v>68</v>
      </c>
      <c r="J423" s="23">
        <f t="shared" si="67"/>
        <v>22</v>
      </c>
    </row>
    <row r="424" spans="2:10" x14ac:dyDescent="0.25">
      <c r="B424" s="2">
        <v>14</v>
      </c>
      <c r="C424" s="4" t="s">
        <v>73</v>
      </c>
      <c r="D424" s="22">
        <v>30</v>
      </c>
      <c r="E424" s="22">
        <v>5</v>
      </c>
      <c r="F424" s="22">
        <v>4</v>
      </c>
      <c r="G424" s="22">
        <f t="shared" si="66"/>
        <v>21</v>
      </c>
      <c r="H424" s="22">
        <v>17</v>
      </c>
      <c r="I424" s="22">
        <v>85</v>
      </c>
      <c r="J424" s="23">
        <f t="shared" si="67"/>
        <v>19</v>
      </c>
    </row>
    <row r="425" spans="2:10" x14ac:dyDescent="0.25">
      <c r="B425" s="2">
        <v>15</v>
      </c>
      <c r="C425" s="4" t="s">
        <v>76</v>
      </c>
      <c r="D425" s="22">
        <v>30</v>
      </c>
      <c r="E425" s="22">
        <v>4</v>
      </c>
      <c r="F425" s="22">
        <v>3</v>
      </c>
      <c r="G425" s="22">
        <f t="shared" si="66"/>
        <v>23</v>
      </c>
      <c r="H425" s="22">
        <v>16</v>
      </c>
      <c r="I425" s="22">
        <v>91</v>
      </c>
      <c r="J425" s="23">
        <f t="shared" si="67"/>
        <v>15</v>
      </c>
    </row>
    <row r="426" spans="2:10" x14ac:dyDescent="0.25">
      <c r="B426" s="2">
        <v>16</v>
      </c>
      <c r="C426" s="4" t="s">
        <v>34</v>
      </c>
      <c r="D426" s="22">
        <v>5</v>
      </c>
      <c r="E426" s="22">
        <v>0</v>
      </c>
      <c r="F426" s="22">
        <v>0</v>
      </c>
      <c r="G426" s="22">
        <f t="shared" si="66"/>
        <v>5</v>
      </c>
      <c r="H426" s="22">
        <v>1</v>
      </c>
      <c r="I426" s="22">
        <v>32</v>
      </c>
      <c r="J426" s="23">
        <f t="shared" si="67"/>
        <v>0</v>
      </c>
    </row>
    <row r="427" spans="2:10" x14ac:dyDescent="0.25">
      <c r="B427" s="2"/>
      <c r="C427" s="2"/>
      <c r="D427" s="22"/>
      <c r="E427" s="22"/>
      <c r="F427" s="22"/>
      <c r="G427" s="22"/>
      <c r="H427" s="22"/>
      <c r="I427" s="22"/>
      <c r="J427" s="22"/>
    </row>
    <row r="428" spans="2:10" x14ac:dyDescent="0.25">
      <c r="B428" s="53" t="s">
        <v>75</v>
      </c>
      <c r="C428" s="53"/>
      <c r="D428" s="53"/>
      <c r="E428" s="53"/>
      <c r="F428" s="53"/>
      <c r="G428" s="53"/>
      <c r="H428" s="53"/>
      <c r="I428" s="53"/>
      <c r="J428" s="53"/>
    </row>
    <row r="429" spans="2:10" x14ac:dyDescent="0.25">
      <c r="B429" s="2">
        <v>1</v>
      </c>
      <c r="C429" s="4" t="s">
        <v>18</v>
      </c>
      <c r="D429" s="22">
        <v>30</v>
      </c>
      <c r="E429" s="22">
        <v>27</v>
      </c>
      <c r="F429" s="22">
        <v>3</v>
      </c>
      <c r="G429" s="22">
        <f>D429-E429-F429</f>
        <v>0</v>
      </c>
      <c r="H429" s="22">
        <v>112</v>
      </c>
      <c r="I429" s="22">
        <v>14</v>
      </c>
      <c r="J429" s="23">
        <f>E429*3+F429*1</f>
        <v>84</v>
      </c>
    </row>
    <row r="430" spans="2:10" x14ac:dyDescent="0.25">
      <c r="B430" s="2">
        <v>2</v>
      </c>
      <c r="C430" s="4" t="s">
        <v>32</v>
      </c>
      <c r="D430" s="22">
        <v>30</v>
      </c>
      <c r="E430" s="22">
        <v>27</v>
      </c>
      <c r="F430" s="22">
        <v>0</v>
      </c>
      <c r="G430" s="22">
        <f t="shared" ref="G430:G444" si="68">D430-E430-F430</f>
        <v>3</v>
      </c>
      <c r="H430" s="22">
        <v>119</v>
      </c>
      <c r="I430" s="22">
        <v>19</v>
      </c>
      <c r="J430" s="23">
        <f t="shared" ref="J430:J444" si="69">E430*3+F430*1</f>
        <v>81</v>
      </c>
    </row>
    <row r="431" spans="2:10" x14ac:dyDescent="0.25">
      <c r="B431" s="2">
        <v>3</v>
      </c>
      <c r="C431" s="4" t="s">
        <v>33</v>
      </c>
      <c r="D431" s="22">
        <v>30</v>
      </c>
      <c r="E431" s="22">
        <v>21</v>
      </c>
      <c r="F431" s="22">
        <v>2</v>
      </c>
      <c r="G431" s="22">
        <f t="shared" si="68"/>
        <v>7</v>
      </c>
      <c r="H431" s="22">
        <v>71</v>
      </c>
      <c r="I431" s="22">
        <v>26</v>
      </c>
      <c r="J431" s="23">
        <f t="shared" si="69"/>
        <v>65</v>
      </c>
    </row>
    <row r="432" spans="2:10" x14ac:dyDescent="0.25">
      <c r="B432" s="2">
        <v>4</v>
      </c>
      <c r="C432" s="4" t="s">
        <v>43</v>
      </c>
      <c r="D432" s="22">
        <v>30</v>
      </c>
      <c r="E432" s="22">
        <v>19</v>
      </c>
      <c r="F432" s="22">
        <v>6</v>
      </c>
      <c r="G432" s="22">
        <f t="shared" si="68"/>
        <v>5</v>
      </c>
      <c r="H432" s="22">
        <v>74</v>
      </c>
      <c r="I432" s="22">
        <v>28</v>
      </c>
      <c r="J432" s="23">
        <f t="shared" si="69"/>
        <v>63</v>
      </c>
    </row>
    <row r="433" spans="2:10" x14ac:dyDescent="0.25">
      <c r="B433" s="2">
        <v>5</v>
      </c>
      <c r="C433" s="4" t="s">
        <v>51</v>
      </c>
      <c r="D433" s="22">
        <v>30</v>
      </c>
      <c r="E433" s="22">
        <v>19</v>
      </c>
      <c r="F433" s="22">
        <v>2</v>
      </c>
      <c r="G433" s="22">
        <f t="shared" si="68"/>
        <v>9</v>
      </c>
      <c r="H433" s="22">
        <v>69</v>
      </c>
      <c r="I433" s="22">
        <v>35</v>
      </c>
      <c r="J433" s="23">
        <f t="shared" si="69"/>
        <v>59</v>
      </c>
    </row>
    <row r="434" spans="2:10" x14ac:dyDescent="0.25">
      <c r="B434" s="2">
        <v>6</v>
      </c>
      <c r="C434" s="4" t="s">
        <v>70</v>
      </c>
      <c r="D434" s="22">
        <v>30</v>
      </c>
      <c r="E434" s="22">
        <v>18</v>
      </c>
      <c r="F434" s="22">
        <v>3</v>
      </c>
      <c r="G434" s="22">
        <f t="shared" si="68"/>
        <v>9</v>
      </c>
      <c r="H434" s="22">
        <v>54</v>
      </c>
      <c r="I434" s="22">
        <v>50</v>
      </c>
      <c r="J434" s="23">
        <f t="shared" si="69"/>
        <v>57</v>
      </c>
    </row>
    <row r="435" spans="2:10" x14ac:dyDescent="0.25">
      <c r="B435" s="2">
        <v>7</v>
      </c>
      <c r="C435" s="4" t="s">
        <v>64</v>
      </c>
      <c r="D435" s="22">
        <v>30</v>
      </c>
      <c r="E435" s="22">
        <v>14</v>
      </c>
      <c r="F435" s="22">
        <v>5</v>
      </c>
      <c r="G435" s="22">
        <f t="shared" si="68"/>
        <v>11</v>
      </c>
      <c r="H435" s="22">
        <v>52</v>
      </c>
      <c r="I435" s="22">
        <v>29</v>
      </c>
      <c r="J435" s="23">
        <f t="shared" si="69"/>
        <v>47</v>
      </c>
    </row>
    <row r="436" spans="2:10" x14ac:dyDescent="0.25">
      <c r="B436" s="2">
        <v>8</v>
      </c>
      <c r="C436" s="4" t="s">
        <v>50</v>
      </c>
      <c r="D436" s="22">
        <v>30</v>
      </c>
      <c r="E436" s="22">
        <v>10</v>
      </c>
      <c r="F436" s="22">
        <v>7</v>
      </c>
      <c r="G436" s="22">
        <f t="shared" si="68"/>
        <v>13</v>
      </c>
      <c r="H436" s="22">
        <v>37</v>
      </c>
      <c r="I436" s="22">
        <v>41</v>
      </c>
      <c r="J436" s="23">
        <f t="shared" si="69"/>
        <v>37</v>
      </c>
    </row>
    <row r="437" spans="2:10" x14ac:dyDescent="0.25">
      <c r="B437" s="2">
        <v>9</v>
      </c>
      <c r="C437" s="4" t="s">
        <v>58</v>
      </c>
      <c r="D437" s="22">
        <v>30</v>
      </c>
      <c r="E437" s="22">
        <v>10</v>
      </c>
      <c r="F437" s="22">
        <v>7</v>
      </c>
      <c r="G437" s="22">
        <f t="shared" si="68"/>
        <v>13</v>
      </c>
      <c r="H437" s="22">
        <v>35</v>
      </c>
      <c r="I437" s="22">
        <v>49</v>
      </c>
      <c r="J437" s="23">
        <f t="shared" si="69"/>
        <v>37</v>
      </c>
    </row>
    <row r="438" spans="2:10" x14ac:dyDescent="0.25">
      <c r="B438" s="2">
        <v>10</v>
      </c>
      <c r="C438" s="4" t="s">
        <v>71</v>
      </c>
      <c r="D438" s="22">
        <v>30</v>
      </c>
      <c r="E438" s="22">
        <v>9</v>
      </c>
      <c r="F438" s="22">
        <v>7</v>
      </c>
      <c r="G438" s="22">
        <f t="shared" si="68"/>
        <v>14</v>
      </c>
      <c r="H438" s="22">
        <v>38</v>
      </c>
      <c r="I438" s="22">
        <v>59</v>
      </c>
      <c r="J438" s="23">
        <f t="shared" si="69"/>
        <v>34</v>
      </c>
    </row>
    <row r="439" spans="2:10" x14ac:dyDescent="0.25">
      <c r="B439" s="2">
        <v>11</v>
      </c>
      <c r="C439" s="4" t="s">
        <v>52</v>
      </c>
      <c r="D439" s="22">
        <v>30</v>
      </c>
      <c r="E439" s="22">
        <v>9</v>
      </c>
      <c r="F439" s="22">
        <v>5</v>
      </c>
      <c r="G439" s="22">
        <f t="shared" si="68"/>
        <v>16</v>
      </c>
      <c r="H439" s="22">
        <v>36</v>
      </c>
      <c r="I439" s="22">
        <v>59</v>
      </c>
      <c r="J439" s="23">
        <f t="shared" si="69"/>
        <v>32</v>
      </c>
    </row>
    <row r="440" spans="2:10" x14ac:dyDescent="0.25">
      <c r="B440" s="2">
        <v>12</v>
      </c>
      <c r="C440" s="4" t="s">
        <v>92</v>
      </c>
      <c r="D440" s="22">
        <v>30</v>
      </c>
      <c r="E440" s="22">
        <v>7</v>
      </c>
      <c r="F440" s="22">
        <v>7</v>
      </c>
      <c r="G440" s="22">
        <f t="shared" si="68"/>
        <v>16</v>
      </c>
      <c r="H440" s="22">
        <v>33</v>
      </c>
      <c r="I440" s="22">
        <v>75</v>
      </c>
      <c r="J440" s="23">
        <f t="shared" si="69"/>
        <v>28</v>
      </c>
    </row>
    <row r="441" spans="2:10" x14ac:dyDescent="0.25">
      <c r="B441" s="2">
        <v>13</v>
      </c>
      <c r="C441" s="4" t="s">
        <v>53</v>
      </c>
      <c r="D441" s="22">
        <v>30</v>
      </c>
      <c r="E441" s="22">
        <v>4</v>
      </c>
      <c r="F441" s="22">
        <v>7</v>
      </c>
      <c r="G441" s="22">
        <f t="shared" si="68"/>
        <v>19</v>
      </c>
      <c r="H441" s="22">
        <v>21</v>
      </c>
      <c r="I441" s="22">
        <v>68</v>
      </c>
      <c r="J441" s="23">
        <f t="shared" si="69"/>
        <v>19</v>
      </c>
    </row>
    <row r="442" spans="2:10" x14ac:dyDescent="0.25">
      <c r="B442" s="2">
        <v>14</v>
      </c>
      <c r="C442" s="4" t="s">
        <v>76</v>
      </c>
      <c r="D442" s="22">
        <v>30</v>
      </c>
      <c r="E442" s="22">
        <v>2</v>
      </c>
      <c r="F442" s="22">
        <v>6</v>
      </c>
      <c r="G442" s="22">
        <f t="shared" si="68"/>
        <v>22</v>
      </c>
      <c r="H442" s="22">
        <v>24</v>
      </c>
      <c r="I442" s="22">
        <v>84</v>
      </c>
      <c r="J442" s="23">
        <f t="shared" si="69"/>
        <v>12</v>
      </c>
    </row>
    <row r="443" spans="2:10" x14ac:dyDescent="0.25">
      <c r="B443" s="2">
        <v>15</v>
      </c>
      <c r="C443" s="4" t="s">
        <v>56</v>
      </c>
      <c r="D443" s="22">
        <v>30</v>
      </c>
      <c r="E443" s="22">
        <v>2</v>
      </c>
      <c r="F443" s="22">
        <v>4</v>
      </c>
      <c r="G443" s="22">
        <f t="shared" si="68"/>
        <v>24</v>
      </c>
      <c r="H443" s="22">
        <v>18</v>
      </c>
      <c r="I443" s="22">
        <v>92</v>
      </c>
      <c r="J443" s="23">
        <f t="shared" si="69"/>
        <v>10</v>
      </c>
    </row>
    <row r="444" spans="2:10" x14ac:dyDescent="0.25">
      <c r="B444" s="2">
        <v>16</v>
      </c>
      <c r="C444" s="4" t="s">
        <v>34</v>
      </c>
      <c r="D444" s="22">
        <v>1</v>
      </c>
      <c r="E444" s="22">
        <v>0</v>
      </c>
      <c r="F444" s="22">
        <v>0</v>
      </c>
      <c r="G444" s="22">
        <f t="shared" si="68"/>
        <v>1</v>
      </c>
      <c r="H444" s="22">
        <v>0</v>
      </c>
      <c r="I444" s="22">
        <v>6</v>
      </c>
      <c r="J444" s="23">
        <f t="shared" si="69"/>
        <v>0</v>
      </c>
    </row>
    <row r="445" spans="2:10" x14ac:dyDescent="0.25">
      <c r="B445" s="2"/>
      <c r="C445" s="2"/>
      <c r="D445" s="22"/>
      <c r="E445" s="22"/>
      <c r="F445" s="22"/>
      <c r="G445" s="22"/>
      <c r="H445" s="22"/>
      <c r="I445" s="22"/>
      <c r="J445" s="22"/>
    </row>
    <row r="446" spans="2:10" x14ac:dyDescent="0.25">
      <c r="B446" s="53" t="s">
        <v>74</v>
      </c>
      <c r="C446" s="53"/>
      <c r="D446" s="53"/>
      <c r="E446" s="53"/>
      <c r="F446" s="53"/>
      <c r="G446" s="53"/>
      <c r="H446" s="53"/>
      <c r="I446" s="53"/>
      <c r="J446" s="53"/>
    </row>
    <row r="447" spans="2:10" x14ac:dyDescent="0.25">
      <c r="B447" s="2">
        <v>1</v>
      </c>
      <c r="C447" s="4" t="s">
        <v>32</v>
      </c>
      <c r="D447" s="22">
        <v>30</v>
      </c>
      <c r="E447" s="22">
        <v>27</v>
      </c>
      <c r="F447" s="22">
        <v>2</v>
      </c>
      <c r="G447" s="22">
        <f>D447-E447-F447</f>
        <v>1</v>
      </c>
      <c r="H447" s="22">
        <v>121</v>
      </c>
      <c r="I447" s="22">
        <v>12</v>
      </c>
      <c r="J447" s="23">
        <f>E447*3+F447*1</f>
        <v>83</v>
      </c>
    </row>
    <row r="448" spans="2:10" x14ac:dyDescent="0.25">
      <c r="B448" s="2">
        <v>2</v>
      </c>
      <c r="C448" s="4" t="s">
        <v>18</v>
      </c>
      <c r="D448" s="22">
        <v>30</v>
      </c>
      <c r="E448" s="22">
        <v>26</v>
      </c>
      <c r="F448" s="22">
        <v>0</v>
      </c>
      <c r="G448" s="22">
        <f t="shared" ref="G448:G462" si="70">D448-E448-F448</f>
        <v>4</v>
      </c>
      <c r="H448" s="22">
        <v>115</v>
      </c>
      <c r="I448" s="22">
        <v>16</v>
      </c>
      <c r="J448" s="23">
        <f t="shared" ref="J448:J462" si="71">E448*3+F448*1</f>
        <v>78</v>
      </c>
    </row>
    <row r="449" spans="2:10" x14ac:dyDescent="0.25">
      <c r="B449" s="2">
        <v>3</v>
      </c>
      <c r="C449" s="4" t="s">
        <v>51</v>
      </c>
      <c r="D449" s="22">
        <v>30</v>
      </c>
      <c r="E449" s="22">
        <v>21</v>
      </c>
      <c r="F449" s="22">
        <v>3</v>
      </c>
      <c r="G449" s="22">
        <f t="shared" si="70"/>
        <v>6</v>
      </c>
      <c r="H449" s="22">
        <v>91</v>
      </c>
      <c r="I449" s="22">
        <v>21</v>
      </c>
      <c r="J449" s="23">
        <f t="shared" si="71"/>
        <v>66</v>
      </c>
    </row>
    <row r="450" spans="2:10" x14ac:dyDescent="0.25">
      <c r="B450" s="2">
        <v>4</v>
      </c>
      <c r="C450" s="4" t="s">
        <v>43</v>
      </c>
      <c r="D450" s="22">
        <v>30</v>
      </c>
      <c r="E450" s="22">
        <v>21</v>
      </c>
      <c r="F450" s="22">
        <v>1</v>
      </c>
      <c r="G450" s="22">
        <f t="shared" si="70"/>
        <v>8</v>
      </c>
      <c r="H450" s="22">
        <v>78</v>
      </c>
      <c r="I450" s="22">
        <v>25</v>
      </c>
      <c r="J450" s="23">
        <f t="shared" si="71"/>
        <v>64</v>
      </c>
    </row>
    <row r="451" spans="2:10" x14ac:dyDescent="0.25">
      <c r="B451" s="2">
        <v>5</v>
      </c>
      <c r="C451" s="4" t="s">
        <v>64</v>
      </c>
      <c r="D451" s="22">
        <v>30</v>
      </c>
      <c r="E451" s="22">
        <v>19</v>
      </c>
      <c r="F451" s="22">
        <v>4</v>
      </c>
      <c r="G451" s="22">
        <f t="shared" si="70"/>
        <v>7</v>
      </c>
      <c r="H451" s="22">
        <v>70</v>
      </c>
      <c r="I451" s="22">
        <v>23</v>
      </c>
      <c r="J451" s="23">
        <f t="shared" si="71"/>
        <v>61</v>
      </c>
    </row>
    <row r="452" spans="2:10" x14ac:dyDescent="0.25">
      <c r="B452" s="2">
        <v>6</v>
      </c>
      <c r="C452" s="4" t="s">
        <v>33</v>
      </c>
      <c r="D452" s="22">
        <v>30</v>
      </c>
      <c r="E452" s="22">
        <v>18</v>
      </c>
      <c r="F452" s="22">
        <v>3</v>
      </c>
      <c r="G452" s="22">
        <f t="shared" si="70"/>
        <v>9</v>
      </c>
      <c r="H452" s="22">
        <v>65</v>
      </c>
      <c r="I452" s="22">
        <v>37</v>
      </c>
      <c r="J452" s="23">
        <f t="shared" si="71"/>
        <v>57</v>
      </c>
    </row>
    <row r="453" spans="2:10" x14ac:dyDescent="0.25">
      <c r="B453" s="2">
        <v>7</v>
      </c>
      <c r="C453" s="4" t="s">
        <v>70</v>
      </c>
      <c r="D453" s="22">
        <v>30</v>
      </c>
      <c r="E453" s="22">
        <v>18</v>
      </c>
      <c r="F453" s="22">
        <v>2</v>
      </c>
      <c r="G453" s="22">
        <f t="shared" si="70"/>
        <v>10</v>
      </c>
      <c r="H453" s="22">
        <v>35</v>
      </c>
      <c r="I453" s="22">
        <v>37</v>
      </c>
      <c r="J453" s="23">
        <f t="shared" si="71"/>
        <v>56</v>
      </c>
    </row>
    <row r="454" spans="2:10" x14ac:dyDescent="0.25">
      <c r="B454" s="2">
        <v>8</v>
      </c>
      <c r="C454" s="4" t="s">
        <v>50</v>
      </c>
      <c r="D454" s="22">
        <v>30</v>
      </c>
      <c r="E454" s="22">
        <v>14</v>
      </c>
      <c r="F454" s="22">
        <v>3</v>
      </c>
      <c r="G454" s="22">
        <f t="shared" si="70"/>
        <v>13</v>
      </c>
      <c r="H454" s="22">
        <v>34</v>
      </c>
      <c r="I454" s="22">
        <v>49</v>
      </c>
      <c r="J454" s="23">
        <f t="shared" si="71"/>
        <v>45</v>
      </c>
    </row>
    <row r="455" spans="2:10" x14ac:dyDescent="0.25">
      <c r="B455" s="2">
        <v>9</v>
      </c>
      <c r="C455" s="4" t="s">
        <v>58</v>
      </c>
      <c r="D455" s="22">
        <v>30</v>
      </c>
      <c r="E455" s="22">
        <v>13</v>
      </c>
      <c r="F455" s="22">
        <v>4</v>
      </c>
      <c r="G455" s="22">
        <f t="shared" si="70"/>
        <v>13</v>
      </c>
      <c r="H455" s="22">
        <v>41</v>
      </c>
      <c r="I455" s="22">
        <v>45</v>
      </c>
      <c r="J455" s="23">
        <f t="shared" si="71"/>
        <v>43</v>
      </c>
    </row>
    <row r="456" spans="2:10" x14ac:dyDescent="0.25">
      <c r="B456" s="2">
        <v>10</v>
      </c>
      <c r="C456" s="4" t="s">
        <v>52</v>
      </c>
      <c r="D456" s="22">
        <v>30</v>
      </c>
      <c r="E456" s="22">
        <v>10</v>
      </c>
      <c r="F456" s="22">
        <v>5</v>
      </c>
      <c r="G456" s="22">
        <f t="shared" si="70"/>
        <v>15</v>
      </c>
      <c r="H456" s="22">
        <v>35</v>
      </c>
      <c r="I456" s="22">
        <v>61</v>
      </c>
      <c r="J456" s="23">
        <f t="shared" si="71"/>
        <v>35</v>
      </c>
    </row>
    <row r="457" spans="2:10" x14ac:dyDescent="0.25">
      <c r="B457" s="2">
        <v>11</v>
      </c>
      <c r="C457" s="4" t="s">
        <v>71</v>
      </c>
      <c r="D457" s="22">
        <v>30</v>
      </c>
      <c r="E457" s="22">
        <v>9</v>
      </c>
      <c r="F457" s="22">
        <v>2</v>
      </c>
      <c r="G457" s="22">
        <f t="shared" si="70"/>
        <v>19</v>
      </c>
      <c r="H457" s="22">
        <v>36</v>
      </c>
      <c r="I457" s="22">
        <v>68</v>
      </c>
      <c r="J457" s="23">
        <f t="shared" si="71"/>
        <v>29</v>
      </c>
    </row>
    <row r="458" spans="2:10" x14ac:dyDescent="0.25">
      <c r="B458" s="2">
        <v>12</v>
      </c>
      <c r="C458" s="4" t="s">
        <v>56</v>
      </c>
      <c r="D458" s="22">
        <v>30</v>
      </c>
      <c r="E458" s="22">
        <v>8</v>
      </c>
      <c r="F458" s="22">
        <v>2</v>
      </c>
      <c r="G458" s="22">
        <f t="shared" si="70"/>
        <v>20</v>
      </c>
      <c r="H458" s="22">
        <v>16</v>
      </c>
      <c r="I458" s="22">
        <v>84</v>
      </c>
      <c r="J458" s="23">
        <f t="shared" si="71"/>
        <v>26</v>
      </c>
    </row>
    <row r="459" spans="2:10" x14ac:dyDescent="0.25">
      <c r="B459" s="2">
        <v>13</v>
      </c>
      <c r="C459" s="4" t="s">
        <v>61</v>
      </c>
      <c r="D459" s="22">
        <v>30</v>
      </c>
      <c r="E459" s="22">
        <v>8</v>
      </c>
      <c r="F459" s="22">
        <v>1</v>
      </c>
      <c r="G459" s="22">
        <f t="shared" si="70"/>
        <v>21</v>
      </c>
      <c r="H459" s="22">
        <v>24</v>
      </c>
      <c r="I459" s="22">
        <v>89</v>
      </c>
      <c r="J459" s="23">
        <f t="shared" si="71"/>
        <v>25</v>
      </c>
    </row>
    <row r="460" spans="2:10" x14ac:dyDescent="0.25">
      <c r="B460" s="2">
        <v>14</v>
      </c>
      <c r="C460" s="4" t="s">
        <v>92</v>
      </c>
      <c r="D460" s="22">
        <v>30</v>
      </c>
      <c r="E460" s="22">
        <v>3</v>
      </c>
      <c r="F460" s="22">
        <v>6</v>
      </c>
      <c r="G460" s="22">
        <f t="shared" si="70"/>
        <v>21</v>
      </c>
      <c r="H460" s="22">
        <v>19</v>
      </c>
      <c r="I460" s="22">
        <v>79</v>
      </c>
      <c r="J460" s="23">
        <f t="shared" si="71"/>
        <v>15</v>
      </c>
    </row>
    <row r="461" spans="2:10" x14ac:dyDescent="0.25">
      <c r="B461" s="2">
        <v>15</v>
      </c>
      <c r="C461" s="4" t="s">
        <v>73</v>
      </c>
      <c r="D461" s="22">
        <v>30</v>
      </c>
      <c r="E461" s="22">
        <v>4</v>
      </c>
      <c r="F461" s="22">
        <v>2</v>
      </c>
      <c r="G461" s="22">
        <f t="shared" si="70"/>
        <v>24</v>
      </c>
      <c r="H461" s="22">
        <v>22</v>
      </c>
      <c r="I461" s="22">
        <v>69</v>
      </c>
      <c r="J461" s="23">
        <f t="shared" si="71"/>
        <v>14</v>
      </c>
    </row>
    <row r="462" spans="2:10" x14ac:dyDescent="0.25">
      <c r="B462" s="2">
        <v>16</v>
      </c>
      <c r="C462" s="4" t="s">
        <v>34</v>
      </c>
      <c r="D462" s="22">
        <v>21</v>
      </c>
      <c r="E462" s="22">
        <v>1</v>
      </c>
      <c r="F462" s="22">
        <v>0</v>
      </c>
      <c r="G462" s="22">
        <f t="shared" si="70"/>
        <v>20</v>
      </c>
      <c r="H462" s="22">
        <v>0</v>
      </c>
      <c r="I462" s="22">
        <v>0</v>
      </c>
      <c r="J462" s="23">
        <f t="shared" si="71"/>
        <v>3</v>
      </c>
    </row>
    <row r="463" spans="2:10" x14ac:dyDescent="0.25">
      <c r="B463" s="2"/>
      <c r="C463" s="2"/>
      <c r="D463" s="22"/>
      <c r="E463" s="22"/>
      <c r="F463" s="22"/>
      <c r="G463" s="22"/>
      <c r="H463" s="22"/>
      <c r="I463" s="22"/>
      <c r="J463" s="22"/>
    </row>
    <row r="464" spans="2:10" x14ac:dyDescent="0.25">
      <c r="B464" s="53" t="s">
        <v>69</v>
      </c>
      <c r="C464" s="53"/>
      <c r="D464" s="53"/>
      <c r="E464" s="53"/>
      <c r="F464" s="53"/>
      <c r="G464" s="53"/>
      <c r="H464" s="53"/>
      <c r="I464" s="53"/>
      <c r="J464" s="53"/>
    </row>
    <row r="465" spans="2:10" x14ac:dyDescent="0.25">
      <c r="B465" s="2">
        <v>1</v>
      </c>
      <c r="C465" s="4" t="s">
        <v>32</v>
      </c>
      <c r="D465" s="22">
        <v>30</v>
      </c>
      <c r="E465" s="22">
        <v>26</v>
      </c>
      <c r="F465" s="22">
        <v>2</v>
      </c>
      <c r="G465" s="22">
        <f>D465-E465-F465</f>
        <v>2</v>
      </c>
      <c r="H465" s="22">
        <v>121</v>
      </c>
      <c r="I465" s="22">
        <v>12</v>
      </c>
      <c r="J465" s="23">
        <f>E465*3+F465*1</f>
        <v>80</v>
      </c>
    </row>
    <row r="466" spans="2:10" x14ac:dyDescent="0.25">
      <c r="B466" s="2">
        <v>2</v>
      </c>
      <c r="C466" s="4" t="s">
        <v>18</v>
      </c>
      <c r="D466" s="22">
        <v>30</v>
      </c>
      <c r="E466" s="22">
        <v>26</v>
      </c>
      <c r="F466" s="22">
        <v>1</v>
      </c>
      <c r="G466" s="22">
        <f t="shared" ref="G466:G480" si="72">D466-E466-F466</f>
        <v>3</v>
      </c>
      <c r="H466" s="22">
        <v>115</v>
      </c>
      <c r="I466" s="22">
        <v>16</v>
      </c>
      <c r="J466" s="23">
        <f t="shared" ref="J466:J480" si="73">E466*3+F466*1</f>
        <v>79</v>
      </c>
    </row>
    <row r="467" spans="2:10" x14ac:dyDescent="0.25">
      <c r="B467" s="2">
        <v>3</v>
      </c>
      <c r="C467" s="4" t="s">
        <v>33</v>
      </c>
      <c r="D467" s="22">
        <v>30</v>
      </c>
      <c r="E467" s="22">
        <v>24</v>
      </c>
      <c r="F467" s="22">
        <v>2</v>
      </c>
      <c r="G467" s="22">
        <f t="shared" si="72"/>
        <v>4</v>
      </c>
      <c r="H467" s="22">
        <v>91</v>
      </c>
      <c r="I467" s="22">
        <v>21</v>
      </c>
      <c r="J467" s="23">
        <f t="shared" si="73"/>
        <v>74</v>
      </c>
    </row>
    <row r="468" spans="2:10" x14ac:dyDescent="0.25">
      <c r="B468" s="2">
        <v>4</v>
      </c>
      <c r="C468" s="4" t="s">
        <v>51</v>
      </c>
      <c r="D468" s="22">
        <v>30</v>
      </c>
      <c r="E468" s="22">
        <v>20</v>
      </c>
      <c r="F468" s="22">
        <v>3</v>
      </c>
      <c r="G468" s="22">
        <f t="shared" si="72"/>
        <v>7</v>
      </c>
      <c r="H468" s="22">
        <v>78</v>
      </c>
      <c r="I468" s="22">
        <v>25</v>
      </c>
      <c r="J468" s="23">
        <f t="shared" si="73"/>
        <v>63</v>
      </c>
    </row>
    <row r="469" spans="2:10" x14ac:dyDescent="0.25">
      <c r="B469" s="2">
        <v>5</v>
      </c>
      <c r="C469" s="4" t="s">
        <v>43</v>
      </c>
      <c r="D469" s="22">
        <v>30</v>
      </c>
      <c r="E469" s="22">
        <v>19</v>
      </c>
      <c r="F469" s="22">
        <v>5</v>
      </c>
      <c r="G469" s="22">
        <f t="shared" si="72"/>
        <v>6</v>
      </c>
      <c r="H469" s="22">
        <v>70</v>
      </c>
      <c r="I469" s="22">
        <v>23</v>
      </c>
      <c r="J469" s="23">
        <f t="shared" si="73"/>
        <v>62</v>
      </c>
    </row>
    <row r="470" spans="2:10" x14ac:dyDescent="0.25">
      <c r="B470" s="2">
        <v>6</v>
      </c>
      <c r="C470" s="4" t="s">
        <v>70</v>
      </c>
      <c r="D470" s="22">
        <v>30</v>
      </c>
      <c r="E470" s="22">
        <v>16</v>
      </c>
      <c r="F470" s="22">
        <v>6</v>
      </c>
      <c r="G470" s="22">
        <f t="shared" si="72"/>
        <v>8</v>
      </c>
      <c r="H470" s="22">
        <v>65</v>
      </c>
      <c r="I470" s="22">
        <v>37</v>
      </c>
      <c r="J470" s="23">
        <f t="shared" si="73"/>
        <v>54</v>
      </c>
    </row>
    <row r="471" spans="2:10" x14ac:dyDescent="0.25">
      <c r="B471" s="2">
        <v>7</v>
      </c>
      <c r="C471" s="4" t="s">
        <v>64</v>
      </c>
      <c r="D471" s="22">
        <v>30</v>
      </c>
      <c r="E471" s="22">
        <v>12</v>
      </c>
      <c r="F471" s="22">
        <v>6</v>
      </c>
      <c r="G471" s="22">
        <f t="shared" si="72"/>
        <v>12</v>
      </c>
      <c r="H471" s="22">
        <v>35</v>
      </c>
      <c r="I471" s="22">
        <v>37</v>
      </c>
      <c r="J471" s="23">
        <f t="shared" si="73"/>
        <v>42</v>
      </c>
    </row>
    <row r="472" spans="2:10" x14ac:dyDescent="0.25">
      <c r="B472" s="2">
        <v>8</v>
      </c>
      <c r="C472" s="4" t="s">
        <v>50</v>
      </c>
      <c r="D472" s="22">
        <v>30</v>
      </c>
      <c r="E472" s="22">
        <v>12</v>
      </c>
      <c r="F472" s="22">
        <v>3</v>
      </c>
      <c r="G472" s="22">
        <f t="shared" si="72"/>
        <v>15</v>
      </c>
      <c r="H472" s="22">
        <v>34</v>
      </c>
      <c r="I472" s="22">
        <v>49</v>
      </c>
      <c r="J472" s="23">
        <f t="shared" si="73"/>
        <v>39</v>
      </c>
    </row>
    <row r="473" spans="2:10" x14ac:dyDescent="0.25">
      <c r="B473" s="2">
        <v>9</v>
      </c>
      <c r="C473" s="4" t="s">
        <v>71</v>
      </c>
      <c r="D473" s="22">
        <v>30</v>
      </c>
      <c r="E473" s="22">
        <v>11</v>
      </c>
      <c r="F473" s="22">
        <v>4</v>
      </c>
      <c r="G473" s="22">
        <f t="shared" si="72"/>
        <v>15</v>
      </c>
      <c r="H473" s="22">
        <v>41</v>
      </c>
      <c r="I473" s="22">
        <v>45</v>
      </c>
      <c r="J473" s="23">
        <f t="shared" si="73"/>
        <v>37</v>
      </c>
    </row>
    <row r="474" spans="2:10" x14ac:dyDescent="0.25">
      <c r="B474" s="2">
        <v>10</v>
      </c>
      <c r="C474" s="4" t="s">
        <v>52</v>
      </c>
      <c r="D474" s="22">
        <v>30</v>
      </c>
      <c r="E474" s="22">
        <v>10</v>
      </c>
      <c r="F474" s="22">
        <v>4</v>
      </c>
      <c r="G474" s="22">
        <f t="shared" si="72"/>
        <v>16</v>
      </c>
      <c r="H474" s="22">
        <v>35</v>
      </c>
      <c r="I474" s="22">
        <v>61</v>
      </c>
      <c r="J474" s="23">
        <f t="shared" si="73"/>
        <v>34</v>
      </c>
    </row>
    <row r="475" spans="2:10" x14ac:dyDescent="0.25">
      <c r="B475" s="2">
        <v>11</v>
      </c>
      <c r="C475" s="4" t="s">
        <v>58</v>
      </c>
      <c r="D475" s="22">
        <v>30</v>
      </c>
      <c r="E475" s="22">
        <v>9</v>
      </c>
      <c r="F475" s="22">
        <v>4</v>
      </c>
      <c r="G475" s="22">
        <f t="shared" si="72"/>
        <v>17</v>
      </c>
      <c r="H475" s="22">
        <v>36</v>
      </c>
      <c r="I475" s="22">
        <v>68</v>
      </c>
      <c r="J475" s="23">
        <f t="shared" si="73"/>
        <v>31</v>
      </c>
    </row>
    <row r="476" spans="2:10" x14ac:dyDescent="0.25">
      <c r="B476" s="2">
        <v>12</v>
      </c>
      <c r="C476" s="4" t="s">
        <v>61</v>
      </c>
      <c r="D476" s="22">
        <v>30</v>
      </c>
      <c r="E476" s="22">
        <v>7</v>
      </c>
      <c r="F476" s="22">
        <v>4</v>
      </c>
      <c r="G476" s="22">
        <f t="shared" si="72"/>
        <v>19</v>
      </c>
      <c r="H476" s="22">
        <v>16</v>
      </c>
      <c r="I476" s="22">
        <v>84</v>
      </c>
      <c r="J476" s="23">
        <f t="shared" si="73"/>
        <v>25</v>
      </c>
    </row>
    <row r="477" spans="2:10" x14ac:dyDescent="0.25">
      <c r="B477" s="2">
        <v>13</v>
      </c>
      <c r="C477" s="4" t="s">
        <v>56</v>
      </c>
      <c r="D477" s="22">
        <v>30</v>
      </c>
      <c r="E477" s="22">
        <v>6</v>
      </c>
      <c r="F477" s="22">
        <v>6</v>
      </c>
      <c r="G477" s="22">
        <f t="shared" si="72"/>
        <v>18</v>
      </c>
      <c r="H477" s="22">
        <v>24</v>
      </c>
      <c r="I477" s="22">
        <v>89</v>
      </c>
      <c r="J477" s="23">
        <f t="shared" si="73"/>
        <v>24</v>
      </c>
    </row>
    <row r="478" spans="2:10" x14ac:dyDescent="0.25">
      <c r="B478" s="2">
        <v>14</v>
      </c>
      <c r="C478" s="4" t="s">
        <v>67</v>
      </c>
      <c r="D478" s="22">
        <v>30</v>
      </c>
      <c r="E478" s="22">
        <v>7</v>
      </c>
      <c r="F478" s="22">
        <v>1</v>
      </c>
      <c r="G478" s="22">
        <f t="shared" si="72"/>
        <v>22</v>
      </c>
      <c r="H478" s="22">
        <v>19</v>
      </c>
      <c r="I478" s="22">
        <v>79</v>
      </c>
      <c r="J478" s="23">
        <f t="shared" si="73"/>
        <v>22</v>
      </c>
    </row>
    <row r="479" spans="2:10" x14ac:dyDescent="0.25">
      <c r="B479" s="2">
        <v>15</v>
      </c>
      <c r="C479" s="4" t="s">
        <v>53</v>
      </c>
      <c r="D479" s="22">
        <v>30</v>
      </c>
      <c r="E479" s="22">
        <v>6</v>
      </c>
      <c r="F479" s="22">
        <v>3</v>
      </c>
      <c r="G479" s="22">
        <f t="shared" si="72"/>
        <v>21</v>
      </c>
      <c r="H479" s="22">
        <v>22</v>
      </c>
      <c r="I479" s="22">
        <v>69</v>
      </c>
      <c r="J479" s="23">
        <f t="shared" si="73"/>
        <v>21</v>
      </c>
    </row>
    <row r="480" spans="2:10" x14ac:dyDescent="0.25">
      <c r="B480" s="2">
        <v>16</v>
      </c>
      <c r="C480" s="4" t="s">
        <v>34</v>
      </c>
      <c r="D480" s="22">
        <v>0</v>
      </c>
      <c r="E480" s="22">
        <v>0</v>
      </c>
      <c r="F480" s="22">
        <v>0</v>
      </c>
      <c r="G480" s="22">
        <f t="shared" si="72"/>
        <v>0</v>
      </c>
      <c r="H480" s="22">
        <v>0</v>
      </c>
      <c r="I480" s="22">
        <v>0</v>
      </c>
      <c r="J480" s="23">
        <f t="shared" si="73"/>
        <v>0</v>
      </c>
    </row>
    <row r="481" spans="2:10" x14ac:dyDescent="0.25">
      <c r="B481" s="2"/>
      <c r="C481" s="2"/>
      <c r="D481" s="22"/>
      <c r="E481" s="22"/>
      <c r="F481" s="22"/>
      <c r="G481" s="22"/>
      <c r="H481" s="22"/>
      <c r="I481" s="22"/>
      <c r="J481" s="22"/>
    </row>
    <row r="482" spans="2:10" x14ac:dyDescent="0.25">
      <c r="B482" s="53" t="s">
        <v>66</v>
      </c>
      <c r="C482" s="53"/>
      <c r="D482" s="53"/>
      <c r="E482" s="53"/>
      <c r="F482" s="53"/>
      <c r="G482" s="53"/>
      <c r="H482" s="53"/>
      <c r="I482" s="53"/>
      <c r="J482" s="53"/>
    </row>
    <row r="483" spans="2:10" x14ac:dyDescent="0.25">
      <c r="B483" s="2">
        <v>1</v>
      </c>
      <c r="C483" s="4" t="s">
        <v>18</v>
      </c>
      <c r="D483" s="22">
        <v>30</v>
      </c>
      <c r="E483" s="22">
        <v>27</v>
      </c>
      <c r="F483" s="22">
        <v>2</v>
      </c>
      <c r="G483" s="22">
        <f>D483-E483-F483</f>
        <v>1</v>
      </c>
      <c r="H483" s="22">
        <v>101</v>
      </c>
      <c r="I483" s="22">
        <v>17</v>
      </c>
      <c r="J483" s="23">
        <f>E483*3+F483*1</f>
        <v>83</v>
      </c>
    </row>
    <row r="484" spans="2:10" x14ac:dyDescent="0.25">
      <c r="B484" s="2">
        <v>2</v>
      </c>
      <c r="C484" s="4" t="s">
        <v>32</v>
      </c>
      <c r="D484" s="22">
        <v>30</v>
      </c>
      <c r="E484" s="22">
        <v>27</v>
      </c>
      <c r="F484" s="22">
        <v>1</v>
      </c>
      <c r="G484" s="22">
        <f t="shared" ref="G484:G498" si="74">D484-E484-F484</f>
        <v>2</v>
      </c>
      <c r="H484" s="22">
        <v>122</v>
      </c>
      <c r="I484" s="22">
        <v>13</v>
      </c>
      <c r="J484" s="23">
        <f t="shared" ref="J484:J498" si="75">E484*3+F484*1</f>
        <v>82</v>
      </c>
    </row>
    <row r="485" spans="2:10" x14ac:dyDescent="0.25">
      <c r="B485" s="2">
        <v>3</v>
      </c>
      <c r="C485" s="4" t="s">
        <v>33</v>
      </c>
      <c r="D485" s="22">
        <v>30</v>
      </c>
      <c r="E485" s="22">
        <v>26</v>
      </c>
      <c r="F485" s="22">
        <v>3</v>
      </c>
      <c r="G485" s="22">
        <f t="shared" si="74"/>
        <v>1</v>
      </c>
      <c r="H485" s="22">
        <v>106</v>
      </c>
      <c r="I485" s="22">
        <v>11</v>
      </c>
      <c r="J485" s="23">
        <f t="shared" si="75"/>
        <v>81</v>
      </c>
    </row>
    <row r="486" spans="2:10" x14ac:dyDescent="0.25">
      <c r="B486" s="2">
        <v>4</v>
      </c>
      <c r="C486" s="4" t="s">
        <v>51</v>
      </c>
      <c r="D486" s="22">
        <v>30</v>
      </c>
      <c r="E486" s="22">
        <v>17</v>
      </c>
      <c r="F486" s="22">
        <v>4</v>
      </c>
      <c r="G486" s="22">
        <f t="shared" si="74"/>
        <v>9</v>
      </c>
      <c r="H486" s="22">
        <v>50</v>
      </c>
      <c r="I486" s="22">
        <v>35</v>
      </c>
      <c r="J486" s="23">
        <f t="shared" si="75"/>
        <v>55</v>
      </c>
    </row>
    <row r="487" spans="2:10" x14ac:dyDescent="0.25">
      <c r="B487" s="2">
        <v>5</v>
      </c>
      <c r="C487" s="4" t="s">
        <v>43</v>
      </c>
      <c r="D487" s="22">
        <v>30</v>
      </c>
      <c r="E487" s="22">
        <v>16</v>
      </c>
      <c r="F487" s="22">
        <v>3</v>
      </c>
      <c r="G487" s="22">
        <f t="shared" si="74"/>
        <v>11</v>
      </c>
      <c r="H487" s="22">
        <v>72</v>
      </c>
      <c r="I487" s="22">
        <v>37</v>
      </c>
      <c r="J487" s="23">
        <f t="shared" si="75"/>
        <v>51</v>
      </c>
    </row>
    <row r="488" spans="2:10" x14ac:dyDescent="0.25">
      <c r="B488" s="2">
        <v>6</v>
      </c>
      <c r="C488" s="4" t="s">
        <v>50</v>
      </c>
      <c r="D488" s="22">
        <v>30</v>
      </c>
      <c r="E488" s="22">
        <v>16</v>
      </c>
      <c r="F488" s="22">
        <v>3</v>
      </c>
      <c r="G488" s="22">
        <f t="shared" si="74"/>
        <v>11</v>
      </c>
      <c r="H488" s="22">
        <v>50</v>
      </c>
      <c r="I488" s="22">
        <v>40</v>
      </c>
      <c r="J488" s="23">
        <f t="shared" si="75"/>
        <v>51</v>
      </c>
    </row>
    <row r="489" spans="2:10" x14ac:dyDescent="0.25">
      <c r="B489" s="2">
        <v>7</v>
      </c>
      <c r="C489" s="4" t="s">
        <v>64</v>
      </c>
      <c r="D489" s="22">
        <v>30</v>
      </c>
      <c r="E489" s="22">
        <v>11</v>
      </c>
      <c r="F489" s="22">
        <v>6</v>
      </c>
      <c r="G489" s="22">
        <f t="shared" si="74"/>
        <v>13</v>
      </c>
      <c r="H489" s="22">
        <v>33</v>
      </c>
      <c r="I489" s="22">
        <v>40</v>
      </c>
      <c r="J489" s="23">
        <f t="shared" si="75"/>
        <v>39</v>
      </c>
    </row>
    <row r="490" spans="2:10" x14ac:dyDescent="0.25">
      <c r="B490" s="2">
        <v>8</v>
      </c>
      <c r="C490" s="4" t="s">
        <v>58</v>
      </c>
      <c r="D490" s="22">
        <v>30</v>
      </c>
      <c r="E490" s="22">
        <v>11</v>
      </c>
      <c r="F490" s="22">
        <v>5</v>
      </c>
      <c r="G490" s="22">
        <f t="shared" si="74"/>
        <v>14</v>
      </c>
      <c r="H490" s="22">
        <v>35</v>
      </c>
      <c r="I490" s="22">
        <v>50</v>
      </c>
      <c r="J490" s="23">
        <f t="shared" si="75"/>
        <v>38</v>
      </c>
    </row>
    <row r="491" spans="2:10" x14ac:dyDescent="0.25">
      <c r="B491" s="2">
        <v>9</v>
      </c>
      <c r="C491" s="4" t="s">
        <v>55</v>
      </c>
      <c r="D491" s="22">
        <v>30</v>
      </c>
      <c r="E491" s="22">
        <v>10</v>
      </c>
      <c r="F491" s="22">
        <v>7</v>
      </c>
      <c r="G491" s="22">
        <f t="shared" si="74"/>
        <v>13</v>
      </c>
      <c r="H491" s="22">
        <v>43</v>
      </c>
      <c r="I491" s="22">
        <v>53</v>
      </c>
      <c r="J491" s="23">
        <f t="shared" si="75"/>
        <v>37</v>
      </c>
    </row>
    <row r="492" spans="2:10" x14ac:dyDescent="0.25">
      <c r="B492" s="2">
        <v>10</v>
      </c>
      <c r="C492" s="4" t="s">
        <v>67</v>
      </c>
      <c r="D492" s="22">
        <v>30</v>
      </c>
      <c r="E492" s="22">
        <v>7</v>
      </c>
      <c r="F492" s="22">
        <v>11</v>
      </c>
      <c r="G492" s="22">
        <f t="shared" si="74"/>
        <v>12</v>
      </c>
      <c r="H492" s="22">
        <v>29</v>
      </c>
      <c r="I492" s="22">
        <v>47</v>
      </c>
      <c r="J492" s="23">
        <f t="shared" si="75"/>
        <v>32</v>
      </c>
    </row>
    <row r="493" spans="2:10" x14ac:dyDescent="0.25">
      <c r="B493" s="2">
        <v>11</v>
      </c>
      <c r="C493" s="4" t="s">
        <v>61</v>
      </c>
      <c r="D493" s="22">
        <v>30</v>
      </c>
      <c r="E493" s="22">
        <v>8</v>
      </c>
      <c r="F493" s="22">
        <v>5</v>
      </c>
      <c r="G493" s="22">
        <f t="shared" si="74"/>
        <v>17</v>
      </c>
      <c r="H493" s="22">
        <v>35</v>
      </c>
      <c r="I493" s="22">
        <v>72</v>
      </c>
      <c r="J493" s="23">
        <f t="shared" si="75"/>
        <v>29</v>
      </c>
    </row>
    <row r="494" spans="2:10" x14ac:dyDescent="0.25">
      <c r="B494" s="2">
        <v>12</v>
      </c>
      <c r="C494" s="4" t="s">
        <v>53</v>
      </c>
      <c r="D494" s="22">
        <v>30</v>
      </c>
      <c r="E494" s="22">
        <v>7</v>
      </c>
      <c r="F494" s="22">
        <v>6</v>
      </c>
      <c r="G494" s="22">
        <f t="shared" si="74"/>
        <v>17</v>
      </c>
      <c r="H494" s="22">
        <v>20</v>
      </c>
      <c r="I494" s="22">
        <v>60</v>
      </c>
      <c r="J494" s="23">
        <f t="shared" si="75"/>
        <v>27</v>
      </c>
    </row>
    <row r="495" spans="2:10" x14ac:dyDescent="0.25">
      <c r="B495" s="2">
        <v>13</v>
      </c>
      <c r="C495" s="4" t="s">
        <v>52</v>
      </c>
      <c r="D495" s="22">
        <v>30</v>
      </c>
      <c r="E495" s="22">
        <v>7</v>
      </c>
      <c r="F495" s="22">
        <v>5</v>
      </c>
      <c r="G495" s="22">
        <f t="shared" si="74"/>
        <v>18</v>
      </c>
      <c r="H495" s="22">
        <v>31</v>
      </c>
      <c r="I495" s="22">
        <v>69</v>
      </c>
      <c r="J495" s="23">
        <f t="shared" si="75"/>
        <v>26</v>
      </c>
    </row>
    <row r="496" spans="2:10" x14ac:dyDescent="0.25">
      <c r="B496" s="2">
        <v>14</v>
      </c>
      <c r="C496" s="4" t="s">
        <v>56</v>
      </c>
      <c r="D496" s="22">
        <v>30</v>
      </c>
      <c r="E496" s="22">
        <v>6</v>
      </c>
      <c r="F496" s="22">
        <v>5</v>
      </c>
      <c r="G496" s="22">
        <f t="shared" si="74"/>
        <v>19</v>
      </c>
      <c r="H496" s="22">
        <v>26</v>
      </c>
      <c r="I496" s="22">
        <v>81</v>
      </c>
      <c r="J496" s="23">
        <f t="shared" si="75"/>
        <v>23</v>
      </c>
    </row>
    <row r="497" spans="2:10" x14ac:dyDescent="0.25">
      <c r="B497" s="2">
        <v>15</v>
      </c>
      <c r="C497" s="4" t="s">
        <v>68</v>
      </c>
      <c r="D497" s="22">
        <v>30</v>
      </c>
      <c r="E497" s="22">
        <v>4</v>
      </c>
      <c r="F497" s="22">
        <v>6</v>
      </c>
      <c r="G497" s="22">
        <f t="shared" si="74"/>
        <v>20</v>
      </c>
      <c r="H497" s="22">
        <v>24</v>
      </c>
      <c r="I497" s="22">
        <v>86</v>
      </c>
      <c r="J497" s="23">
        <f t="shared" si="75"/>
        <v>18</v>
      </c>
    </row>
    <row r="498" spans="2:10" x14ac:dyDescent="0.25">
      <c r="B498" s="2">
        <v>16</v>
      </c>
      <c r="C498" s="4" t="s">
        <v>65</v>
      </c>
      <c r="D498" s="22">
        <v>30</v>
      </c>
      <c r="E498" s="22">
        <v>3</v>
      </c>
      <c r="F498" s="22">
        <v>2</v>
      </c>
      <c r="G498" s="22">
        <f t="shared" si="74"/>
        <v>25</v>
      </c>
      <c r="H498" s="22">
        <v>19</v>
      </c>
      <c r="I498" s="22">
        <v>85</v>
      </c>
      <c r="J498" s="23">
        <f t="shared" si="75"/>
        <v>11</v>
      </c>
    </row>
    <row r="499" spans="2:10" x14ac:dyDescent="0.25">
      <c r="B499" s="2"/>
      <c r="C499" s="2"/>
      <c r="D499" s="22"/>
      <c r="E499" s="22"/>
      <c r="F499" s="22"/>
      <c r="G499" s="22"/>
      <c r="H499" s="22"/>
      <c r="I499" s="22"/>
      <c r="J499" s="22"/>
    </row>
    <row r="500" spans="2:10" x14ac:dyDescent="0.25">
      <c r="B500" s="53" t="s">
        <v>63</v>
      </c>
      <c r="C500" s="53"/>
      <c r="D500" s="53"/>
      <c r="E500" s="53"/>
      <c r="F500" s="53"/>
      <c r="G500" s="53"/>
      <c r="H500" s="53"/>
      <c r="I500" s="53"/>
      <c r="J500" s="53"/>
    </row>
    <row r="501" spans="2:10" x14ac:dyDescent="0.25">
      <c r="B501" s="2">
        <v>1</v>
      </c>
      <c r="C501" s="4" t="s">
        <v>18</v>
      </c>
      <c r="D501" s="22">
        <v>30</v>
      </c>
      <c r="E501" s="22">
        <v>26</v>
      </c>
      <c r="F501" s="22">
        <v>2</v>
      </c>
      <c r="G501" s="22">
        <f>D501-E501-F501</f>
        <v>2</v>
      </c>
      <c r="H501" s="22">
        <v>136</v>
      </c>
      <c r="I501" s="22">
        <v>14</v>
      </c>
      <c r="J501" s="23">
        <f>E501*3+F501*1</f>
        <v>80</v>
      </c>
    </row>
    <row r="502" spans="2:10" x14ac:dyDescent="0.25">
      <c r="B502" s="2">
        <v>2</v>
      </c>
      <c r="C502" s="4" t="s">
        <v>32</v>
      </c>
      <c r="D502" s="22">
        <v>30</v>
      </c>
      <c r="E502" s="22">
        <v>26</v>
      </c>
      <c r="F502" s="22">
        <v>2</v>
      </c>
      <c r="G502" s="22">
        <f t="shared" ref="G502:G516" si="76">D502-E502-F502</f>
        <v>2</v>
      </c>
      <c r="H502" s="22">
        <v>137</v>
      </c>
      <c r="I502" s="22">
        <v>16</v>
      </c>
      <c r="J502" s="23">
        <f t="shared" ref="J502:J516" si="77">E502*3+F502*1</f>
        <v>80</v>
      </c>
    </row>
    <row r="503" spans="2:10" x14ac:dyDescent="0.25">
      <c r="B503" s="2">
        <v>3</v>
      </c>
      <c r="C503" s="4" t="s">
        <v>33</v>
      </c>
      <c r="D503" s="22">
        <v>30</v>
      </c>
      <c r="E503" s="22">
        <v>23</v>
      </c>
      <c r="F503" s="22">
        <v>3</v>
      </c>
      <c r="G503" s="22">
        <f t="shared" si="76"/>
        <v>4</v>
      </c>
      <c r="H503" s="22">
        <v>136</v>
      </c>
      <c r="I503" s="22">
        <v>23</v>
      </c>
      <c r="J503" s="23">
        <f t="shared" si="77"/>
        <v>72</v>
      </c>
    </row>
    <row r="504" spans="2:10" x14ac:dyDescent="0.25">
      <c r="B504" s="2">
        <v>4</v>
      </c>
      <c r="C504" s="4" t="s">
        <v>43</v>
      </c>
      <c r="D504" s="22">
        <v>30</v>
      </c>
      <c r="E504" s="22">
        <v>20</v>
      </c>
      <c r="F504" s="22">
        <v>7</v>
      </c>
      <c r="G504" s="22">
        <f t="shared" si="76"/>
        <v>3</v>
      </c>
      <c r="H504" s="22">
        <v>115</v>
      </c>
      <c r="I504" s="22">
        <v>20</v>
      </c>
      <c r="J504" s="23">
        <f t="shared" si="77"/>
        <v>67</v>
      </c>
    </row>
    <row r="505" spans="2:10" x14ac:dyDescent="0.25">
      <c r="B505" s="2">
        <v>5</v>
      </c>
      <c r="C505" s="4" t="s">
        <v>51</v>
      </c>
      <c r="D505" s="22">
        <v>30</v>
      </c>
      <c r="E505" s="22">
        <v>18</v>
      </c>
      <c r="F505" s="22">
        <v>3</v>
      </c>
      <c r="G505" s="22">
        <f t="shared" si="76"/>
        <v>9</v>
      </c>
      <c r="H505" s="22">
        <v>73</v>
      </c>
      <c r="I505" s="22">
        <v>34</v>
      </c>
      <c r="J505" s="23">
        <f t="shared" si="77"/>
        <v>57</v>
      </c>
    </row>
    <row r="506" spans="2:10" x14ac:dyDescent="0.25">
      <c r="B506" s="2">
        <v>6</v>
      </c>
      <c r="C506" s="4" t="s">
        <v>58</v>
      </c>
      <c r="D506" s="22">
        <v>30</v>
      </c>
      <c r="E506" s="22">
        <v>14</v>
      </c>
      <c r="F506" s="22">
        <v>7</v>
      </c>
      <c r="G506" s="22">
        <f t="shared" si="76"/>
        <v>9</v>
      </c>
      <c r="H506" s="22">
        <v>69</v>
      </c>
      <c r="I506" s="22">
        <v>46</v>
      </c>
      <c r="J506" s="23">
        <f t="shared" si="77"/>
        <v>49</v>
      </c>
    </row>
    <row r="507" spans="2:10" x14ac:dyDescent="0.25">
      <c r="B507" s="2">
        <v>7</v>
      </c>
      <c r="C507" s="4" t="s">
        <v>61</v>
      </c>
      <c r="D507" s="22">
        <v>30</v>
      </c>
      <c r="E507" s="22">
        <v>14</v>
      </c>
      <c r="F507" s="22">
        <v>5</v>
      </c>
      <c r="G507" s="22">
        <f t="shared" si="76"/>
        <v>11</v>
      </c>
      <c r="H507" s="22">
        <v>50</v>
      </c>
      <c r="I507" s="22">
        <v>63</v>
      </c>
      <c r="J507" s="23">
        <f t="shared" si="77"/>
        <v>47</v>
      </c>
    </row>
    <row r="508" spans="2:10" x14ac:dyDescent="0.25">
      <c r="B508" s="2">
        <v>8</v>
      </c>
      <c r="C508" s="4" t="s">
        <v>55</v>
      </c>
      <c r="D508" s="22">
        <v>30</v>
      </c>
      <c r="E508" s="22">
        <v>14</v>
      </c>
      <c r="F508" s="22">
        <v>2</v>
      </c>
      <c r="G508" s="22">
        <f t="shared" si="76"/>
        <v>14</v>
      </c>
      <c r="H508" s="22">
        <v>56</v>
      </c>
      <c r="I508" s="22">
        <v>57</v>
      </c>
      <c r="J508" s="23">
        <f t="shared" si="77"/>
        <v>44</v>
      </c>
    </row>
    <row r="509" spans="2:10" x14ac:dyDescent="0.25">
      <c r="B509" s="2">
        <v>9</v>
      </c>
      <c r="C509" s="4" t="s">
        <v>50</v>
      </c>
      <c r="D509" s="22">
        <v>30</v>
      </c>
      <c r="E509" s="22">
        <v>12</v>
      </c>
      <c r="F509" s="22">
        <v>4</v>
      </c>
      <c r="G509" s="22">
        <f t="shared" si="76"/>
        <v>14</v>
      </c>
      <c r="H509" s="22">
        <v>57</v>
      </c>
      <c r="I509" s="22">
        <v>48</v>
      </c>
      <c r="J509" s="23">
        <f t="shared" si="77"/>
        <v>40</v>
      </c>
    </row>
    <row r="510" spans="2:10" x14ac:dyDescent="0.25">
      <c r="B510" s="2">
        <v>10</v>
      </c>
      <c r="C510" s="4" t="s">
        <v>64</v>
      </c>
      <c r="D510" s="22">
        <v>30</v>
      </c>
      <c r="E510" s="22">
        <v>11</v>
      </c>
      <c r="F510" s="22">
        <v>2</v>
      </c>
      <c r="G510" s="22">
        <f t="shared" si="76"/>
        <v>17</v>
      </c>
      <c r="H510" s="22">
        <v>47</v>
      </c>
      <c r="I510" s="22">
        <v>55</v>
      </c>
      <c r="J510" s="23">
        <f t="shared" si="77"/>
        <v>35</v>
      </c>
    </row>
    <row r="511" spans="2:10" x14ac:dyDescent="0.25">
      <c r="B511" s="2">
        <v>11</v>
      </c>
      <c r="C511" s="4" t="s">
        <v>65</v>
      </c>
      <c r="D511" s="22">
        <v>30</v>
      </c>
      <c r="E511" s="22">
        <v>9</v>
      </c>
      <c r="F511" s="22">
        <v>5</v>
      </c>
      <c r="G511" s="22">
        <f t="shared" si="76"/>
        <v>16</v>
      </c>
      <c r="H511" s="22">
        <v>50</v>
      </c>
      <c r="I511" s="22">
        <v>60</v>
      </c>
      <c r="J511" s="23">
        <f t="shared" si="77"/>
        <v>32</v>
      </c>
    </row>
    <row r="512" spans="2:10" x14ac:dyDescent="0.25">
      <c r="B512" s="2">
        <v>12</v>
      </c>
      <c r="C512" s="4" t="s">
        <v>53</v>
      </c>
      <c r="D512" s="22">
        <v>30</v>
      </c>
      <c r="E512" s="22">
        <v>7</v>
      </c>
      <c r="F512" s="22">
        <v>5</v>
      </c>
      <c r="G512" s="22">
        <f t="shared" si="76"/>
        <v>18</v>
      </c>
      <c r="H512" s="22">
        <v>33</v>
      </c>
      <c r="I512" s="22">
        <v>53</v>
      </c>
      <c r="J512" s="23">
        <f t="shared" si="77"/>
        <v>26</v>
      </c>
    </row>
    <row r="513" spans="2:10" x14ac:dyDescent="0.25">
      <c r="B513" s="2">
        <v>13</v>
      </c>
      <c r="C513" s="4" t="s">
        <v>56</v>
      </c>
      <c r="D513" s="22">
        <v>30</v>
      </c>
      <c r="E513" s="22">
        <v>7</v>
      </c>
      <c r="F513" s="22">
        <v>5</v>
      </c>
      <c r="G513" s="22">
        <f t="shared" si="76"/>
        <v>18</v>
      </c>
      <c r="H513" s="22">
        <v>42</v>
      </c>
      <c r="I513" s="22">
        <v>75</v>
      </c>
      <c r="J513" s="23">
        <f t="shared" si="77"/>
        <v>26</v>
      </c>
    </row>
    <row r="514" spans="2:10" x14ac:dyDescent="0.25">
      <c r="B514" s="2">
        <v>14</v>
      </c>
      <c r="C514" s="4" t="s">
        <v>52</v>
      </c>
      <c r="D514" s="22">
        <v>30</v>
      </c>
      <c r="E514" s="22">
        <v>6</v>
      </c>
      <c r="F514" s="22">
        <v>5</v>
      </c>
      <c r="G514" s="22">
        <f t="shared" si="76"/>
        <v>19</v>
      </c>
      <c r="H514" s="22">
        <v>45</v>
      </c>
      <c r="I514" s="22">
        <v>74</v>
      </c>
      <c r="J514" s="23">
        <f t="shared" si="77"/>
        <v>23</v>
      </c>
    </row>
    <row r="515" spans="2:10" x14ac:dyDescent="0.25">
      <c r="B515" s="2">
        <v>15</v>
      </c>
      <c r="C515" s="4" t="s">
        <v>34</v>
      </c>
      <c r="D515" s="22">
        <v>28</v>
      </c>
      <c r="E515" s="22">
        <v>1</v>
      </c>
      <c r="F515" s="22">
        <v>0</v>
      </c>
      <c r="G515" s="22">
        <f t="shared" si="76"/>
        <v>27</v>
      </c>
      <c r="H515" s="22">
        <v>3</v>
      </c>
      <c r="I515" s="22">
        <v>303</v>
      </c>
      <c r="J515" s="23">
        <f t="shared" si="77"/>
        <v>3</v>
      </c>
    </row>
    <row r="516" spans="2:10" x14ac:dyDescent="0.25">
      <c r="B516" s="2">
        <v>16</v>
      </c>
      <c r="C516" s="4" t="s">
        <v>34</v>
      </c>
      <c r="D516" s="22">
        <v>0</v>
      </c>
      <c r="E516" s="22">
        <v>0</v>
      </c>
      <c r="F516" s="22">
        <v>0</v>
      </c>
      <c r="G516" s="22">
        <f t="shared" si="76"/>
        <v>0</v>
      </c>
      <c r="H516" s="22">
        <v>0</v>
      </c>
      <c r="I516" s="22">
        <v>0</v>
      </c>
      <c r="J516" s="23">
        <f t="shared" si="77"/>
        <v>0</v>
      </c>
    </row>
    <row r="517" spans="2:10" x14ac:dyDescent="0.25">
      <c r="B517" s="2"/>
      <c r="C517" s="2"/>
      <c r="D517" s="22"/>
      <c r="E517" s="22"/>
      <c r="F517" s="22"/>
      <c r="G517" s="22"/>
      <c r="H517" s="22"/>
      <c r="I517" s="22"/>
      <c r="J517" s="22"/>
    </row>
    <row r="518" spans="2:10" x14ac:dyDescent="0.25">
      <c r="B518" s="53" t="s">
        <v>60</v>
      </c>
      <c r="C518" s="53"/>
      <c r="D518" s="53"/>
      <c r="E518" s="53"/>
      <c r="F518" s="53"/>
      <c r="G518" s="53"/>
      <c r="H518" s="53"/>
      <c r="I518" s="53"/>
      <c r="J518" s="53"/>
    </row>
    <row r="519" spans="2:10" x14ac:dyDescent="0.25">
      <c r="B519" s="2">
        <v>1</v>
      </c>
      <c r="C519" s="4" t="s">
        <v>33</v>
      </c>
      <c r="D519" s="22">
        <v>30</v>
      </c>
      <c r="E519" s="22">
        <v>28</v>
      </c>
      <c r="F519" s="22">
        <v>1</v>
      </c>
      <c r="G519" s="22">
        <f>D519-E519-F519</f>
        <v>1</v>
      </c>
      <c r="H519" s="22">
        <v>121</v>
      </c>
      <c r="I519" s="22">
        <v>13</v>
      </c>
      <c r="J519" s="23">
        <f>E519*3+F519*1</f>
        <v>85</v>
      </c>
    </row>
    <row r="520" spans="2:10" x14ac:dyDescent="0.25">
      <c r="B520" s="2">
        <v>2</v>
      </c>
      <c r="C520" s="4" t="s">
        <v>18</v>
      </c>
      <c r="D520" s="22">
        <v>30</v>
      </c>
      <c r="E520" s="22">
        <v>25</v>
      </c>
      <c r="F520" s="22">
        <v>3</v>
      </c>
      <c r="G520" s="22">
        <f t="shared" ref="G520:G534" si="78">D520-E520-F520</f>
        <v>2</v>
      </c>
      <c r="H520" s="22">
        <v>128</v>
      </c>
      <c r="I520" s="22">
        <v>20</v>
      </c>
      <c r="J520" s="23">
        <f t="shared" ref="J520:J534" si="79">E520*3+F520*1</f>
        <v>78</v>
      </c>
    </row>
    <row r="521" spans="2:10" x14ac:dyDescent="0.25">
      <c r="B521" s="2">
        <v>3</v>
      </c>
      <c r="C521" s="4" t="s">
        <v>32</v>
      </c>
      <c r="D521" s="22">
        <v>30</v>
      </c>
      <c r="E521" s="22">
        <v>23</v>
      </c>
      <c r="F521" s="22">
        <v>2</v>
      </c>
      <c r="G521" s="22">
        <f t="shared" si="78"/>
        <v>5</v>
      </c>
      <c r="H521" s="22">
        <v>105</v>
      </c>
      <c r="I521" s="22">
        <v>23</v>
      </c>
      <c r="J521" s="23">
        <f t="shared" si="79"/>
        <v>71</v>
      </c>
    </row>
    <row r="522" spans="2:10" x14ac:dyDescent="0.25">
      <c r="B522" s="2">
        <v>4</v>
      </c>
      <c r="C522" s="4" t="s">
        <v>24</v>
      </c>
      <c r="D522" s="22">
        <v>30</v>
      </c>
      <c r="E522" s="22">
        <v>20</v>
      </c>
      <c r="F522" s="22">
        <v>3</v>
      </c>
      <c r="G522" s="22">
        <f t="shared" si="78"/>
        <v>7</v>
      </c>
      <c r="H522" s="22">
        <v>112</v>
      </c>
      <c r="I522" s="22">
        <v>36</v>
      </c>
      <c r="J522" s="23">
        <f t="shared" si="79"/>
        <v>63</v>
      </c>
    </row>
    <row r="523" spans="2:10" x14ac:dyDescent="0.25">
      <c r="B523" s="2">
        <v>5</v>
      </c>
      <c r="C523" s="4" t="s">
        <v>51</v>
      </c>
      <c r="D523" s="22">
        <v>30</v>
      </c>
      <c r="E523" s="22">
        <v>19</v>
      </c>
      <c r="F523" s="22">
        <v>4</v>
      </c>
      <c r="G523" s="22">
        <f t="shared" si="78"/>
        <v>7</v>
      </c>
      <c r="H523" s="22">
        <v>81</v>
      </c>
      <c r="I523" s="22">
        <v>34</v>
      </c>
      <c r="J523" s="23">
        <f t="shared" si="79"/>
        <v>61</v>
      </c>
    </row>
    <row r="524" spans="2:10" x14ac:dyDescent="0.25">
      <c r="B524" s="2">
        <v>6</v>
      </c>
      <c r="C524" s="4" t="s">
        <v>50</v>
      </c>
      <c r="D524" s="22">
        <v>30</v>
      </c>
      <c r="E524" s="22">
        <v>17</v>
      </c>
      <c r="F524" s="22">
        <v>2</v>
      </c>
      <c r="G524" s="22">
        <f t="shared" si="78"/>
        <v>11</v>
      </c>
      <c r="H524" s="22">
        <v>70</v>
      </c>
      <c r="I524" s="22">
        <v>39</v>
      </c>
      <c r="J524" s="23">
        <f t="shared" si="79"/>
        <v>53</v>
      </c>
    </row>
    <row r="525" spans="2:10" x14ac:dyDescent="0.25">
      <c r="B525" s="2">
        <v>7</v>
      </c>
      <c r="C525" s="4" t="s">
        <v>43</v>
      </c>
      <c r="D525" s="22">
        <v>30</v>
      </c>
      <c r="E525" s="22">
        <v>16</v>
      </c>
      <c r="F525" s="22">
        <v>3</v>
      </c>
      <c r="G525" s="22">
        <f t="shared" si="78"/>
        <v>11</v>
      </c>
      <c r="H525" s="22">
        <v>62</v>
      </c>
      <c r="I525" s="22">
        <v>34</v>
      </c>
      <c r="J525" s="23">
        <f t="shared" si="79"/>
        <v>51</v>
      </c>
    </row>
    <row r="526" spans="2:10" x14ac:dyDescent="0.25">
      <c r="B526" s="2">
        <v>8</v>
      </c>
      <c r="C526" s="4" t="s">
        <v>55</v>
      </c>
      <c r="D526" s="22">
        <v>30</v>
      </c>
      <c r="E526" s="22">
        <v>13</v>
      </c>
      <c r="F526" s="22">
        <v>4</v>
      </c>
      <c r="G526" s="22">
        <f t="shared" si="78"/>
        <v>13</v>
      </c>
      <c r="H526" s="22">
        <v>56</v>
      </c>
      <c r="I526" s="22">
        <v>44</v>
      </c>
      <c r="J526" s="23">
        <f t="shared" si="79"/>
        <v>43</v>
      </c>
    </row>
    <row r="527" spans="2:10" x14ac:dyDescent="0.25">
      <c r="B527" s="2">
        <v>9</v>
      </c>
      <c r="C527" s="4" t="s">
        <v>53</v>
      </c>
      <c r="D527" s="22">
        <v>30</v>
      </c>
      <c r="E527" s="22">
        <v>11</v>
      </c>
      <c r="F527" s="22">
        <v>6</v>
      </c>
      <c r="G527" s="22">
        <f t="shared" si="78"/>
        <v>13</v>
      </c>
      <c r="H527" s="22">
        <v>32</v>
      </c>
      <c r="I527" s="22">
        <v>48</v>
      </c>
      <c r="J527" s="23">
        <f t="shared" si="79"/>
        <v>39</v>
      </c>
    </row>
    <row r="528" spans="2:10" x14ac:dyDescent="0.25">
      <c r="B528" s="2">
        <v>10</v>
      </c>
      <c r="C528" s="4" t="s">
        <v>58</v>
      </c>
      <c r="D528" s="22">
        <v>30</v>
      </c>
      <c r="E528" s="22">
        <v>9</v>
      </c>
      <c r="F528" s="22">
        <v>5</v>
      </c>
      <c r="G528" s="22">
        <f t="shared" si="78"/>
        <v>16</v>
      </c>
      <c r="H528" s="22">
        <v>42</v>
      </c>
      <c r="I528" s="22">
        <v>60</v>
      </c>
      <c r="J528" s="23">
        <f t="shared" si="79"/>
        <v>32</v>
      </c>
    </row>
    <row r="529" spans="2:10" x14ac:dyDescent="0.25">
      <c r="B529" s="2">
        <v>11</v>
      </c>
      <c r="C529" s="4" t="s">
        <v>56</v>
      </c>
      <c r="D529" s="22">
        <v>30</v>
      </c>
      <c r="E529" s="22">
        <v>8</v>
      </c>
      <c r="F529" s="22">
        <v>3</v>
      </c>
      <c r="G529" s="22">
        <f t="shared" si="78"/>
        <v>19</v>
      </c>
      <c r="H529" s="22">
        <v>38</v>
      </c>
      <c r="I529" s="22">
        <v>77</v>
      </c>
      <c r="J529" s="23">
        <f t="shared" si="79"/>
        <v>27</v>
      </c>
    </row>
    <row r="530" spans="2:10" x14ac:dyDescent="0.25">
      <c r="B530" s="2">
        <v>12</v>
      </c>
      <c r="C530" s="4" t="s">
        <v>61</v>
      </c>
      <c r="D530" s="22">
        <v>30</v>
      </c>
      <c r="E530" s="22">
        <v>6</v>
      </c>
      <c r="F530" s="22">
        <v>6</v>
      </c>
      <c r="G530" s="22">
        <f t="shared" si="78"/>
        <v>18</v>
      </c>
      <c r="H530" s="22">
        <v>36</v>
      </c>
      <c r="I530" s="22">
        <v>82</v>
      </c>
      <c r="J530" s="23">
        <f t="shared" si="79"/>
        <v>24</v>
      </c>
    </row>
    <row r="531" spans="2:10" x14ac:dyDescent="0.25">
      <c r="B531" s="2">
        <v>13</v>
      </c>
      <c r="C531" s="4" t="s">
        <v>52</v>
      </c>
      <c r="D531" s="22">
        <v>30</v>
      </c>
      <c r="E531" s="22">
        <v>5</v>
      </c>
      <c r="F531" s="22">
        <v>3</v>
      </c>
      <c r="G531" s="22">
        <f t="shared" si="78"/>
        <v>22</v>
      </c>
      <c r="H531" s="22">
        <v>23</v>
      </c>
      <c r="I531" s="22">
        <v>96</v>
      </c>
      <c r="J531" s="23">
        <f t="shared" si="79"/>
        <v>18</v>
      </c>
    </row>
    <row r="532" spans="2:10" x14ac:dyDescent="0.25">
      <c r="B532" s="2">
        <v>14</v>
      </c>
      <c r="C532" s="4" t="s">
        <v>59</v>
      </c>
      <c r="D532" s="22">
        <v>30</v>
      </c>
      <c r="E532" s="22">
        <v>4</v>
      </c>
      <c r="F532" s="22">
        <v>5</v>
      </c>
      <c r="G532" s="22">
        <f t="shared" si="78"/>
        <v>21</v>
      </c>
      <c r="H532" s="22">
        <v>16</v>
      </c>
      <c r="I532" s="22">
        <v>83</v>
      </c>
      <c r="J532" s="23">
        <f t="shared" si="79"/>
        <v>17</v>
      </c>
    </row>
    <row r="533" spans="2:10" x14ac:dyDescent="0.25">
      <c r="B533" s="2">
        <v>15</v>
      </c>
      <c r="C533" s="4" t="s">
        <v>92</v>
      </c>
      <c r="D533" s="22">
        <v>30</v>
      </c>
      <c r="E533" s="22">
        <v>5</v>
      </c>
      <c r="F533" s="22">
        <v>1</v>
      </c>
      <c r="G533" s="22">
        <f t="shared" si="78"/>
        <v>24</v>
      </c>
      <c r="H533" s="22">
        <v>22</v>
      </c>
      <c r="I533" s="22">
        <v>72</v>
      </c>
      <c r="J533" s="23">
        <f t="shared" si="79"/>
        <v>16</v>
      </c>
    </row>
    <row r="534" spans="2:10" x14ac:dyDescent="0.25">
      <c r="B534" s="2">
        <v>16</v>
      </c>
      <c r="C534" s="4" t="s">
        <v>34</v>
      </c>
      <c r="D534" s="22">
        <v>18</v>
      </c>
      <c r="E534" s="22">
        <v>0</v>
      </c>
      <c r="F534" s="22">
        <v>0</v>
      </c>
      <c r="G534" s="22">
        <f t="shared" si="78"/>
        <v>18</v>
      </c>
      <c r="H534" s="22">
        <v>0</v>
      </c>
      <c r="I534" s="22">
        <v>183</v>
      </c>
      <c r="J534" s="23">
        <f t="shared" si="79"/>
        <v>0</v>
      </c>
    </row>
    <row r="535" spans="2:10" x14ac:dyDescent="0.25">
      <c r="B535" s="2"/>
      <c r="C535" s="2"/>
      <c r="D535" s="22"/>
      <c r="E535" s="22"/>
      <c r="F535" s="22"/>
      <c r="G535" s="22"/>
      <c r="H535" s="22"/>
      <c r="I535" s="22"/>
      <c r="J535" s="22"/>
    </row>
    <row r="536" spans="2:10" x14ac:dyDescent="0.25">
      <c r="B536" s="53" t="s">
        <v>57</v>
      </c>
      <c r="C536" s="53"/>
      <c r="D536" s="53"/>
      <c r="E536" s="53"/>
      <c r="F536" s="53"/>
      <c r="G536" s="53"/>
      <c r="H536" s="53"/>
      <c r="I536" s="53"/>
      <c r="J536" s="53"/>
    </row>
    <row r="537" spans="2:10" x14ac:dyDescent="0.25">
      <c r="B537" s="2">
        <v>1</v>
      </c>
      <c r="C537" s="4" t="s">
        <v>18</v>
      </c>
      <c r="D537" s="22">
        <v>30</v>
      </c>
      <c r="E537" s="22">
        <v>23</v>
      </c>
      <c r="F537" s="22">
        <v>4</v>
      </c>
      <c r="G537" s="22">
        <f>D537-E537-F537</f>
        <v>3</v>
      </c>
      <c r="H537" s="22">
        <v>144</v>
      </c>
      <c r="I537" s="22">
        <v>23</v>
      </c>
      <c r="J537" s="23">
        <f>E537*3+F537*1</f>
        <v>73</v>
      </c>
    </row>
    <row r="538" spans="2:10" x14ac:dyDescent="0.25">
      <c r="B538" s="2">
        <v>2</v>
      </c>
      <c r="C538" s="4" t="s">
        <v>33</v>
      </c>
      <c r="D538" s="22">
        <v>30</v>
      </c>
      <c r="E538" s="22">
        <v>22</v>
      </c>
      <c r="F538" s="22">
        <v>5</v>
      </c>
      <c r="G538" s="22">
        <f t="shared" ref="G538:G552" si="80">D538-E538-F538</f>
        <v>3</v>
      </c>
      <c r="H538" s="22">
        <v>107</v>
      </c>
      <c r="I538" s="22">
        <v>19</v>
      </c>
      <c r="J538" s="23">
        <f t="shared" ref="J538:J552" si="81">E538*3+F538*1</f>
        <v>71</v>
      </c>
    </row>
    <row r="539" spans="2:10" x14ac:dyDescent="0.25">
      <c r="B539" s="2">
        <v>3</v>
      </c>
      <c r="C539" s="4" t="s">
        <v>32</v>
      </c>
      <c r="D539" s="22">
        <v>30</v>
      </c>
      <c r="E539" s="22">
        <v>20</v>
      </c>
      <c r="F539" s="22">
        <v>9</v>
      </c>
      <c r="G539" s="22">
        <f t="shared" si="80"/>
        <v>1</v>
      </c>
      <c r="H539" s="22">
        <v>121</v>
      </c>
      <c r="I539" s="22">
        <v>19</v>
      </c>
      <c r="J539" s="23">
        <f t="shared" si="81"/>
        <v>69</v>
      </c>
    </row>
    <row r="540" spans="2:10" x14ac:dyDescent="0.25">
      <c r="B540" s="2">
        <v>4</v>
      </c>
      <c r="C540" s="4" t="s">
        <v>27</v>
      </c>
      <c r="D540" s="22">
        <v>30</v>
      </c>
      <c r="E540" s="22">
        <v>19</v>
      </c>
      <c r="F540" s="22">
        <v>4</v>
      </c>
      <c r="G540" s="22">
        <f t="shared" si="80"/>
        <v>7</v>
      </c>
      <c r="H540" s="22">
        <v>77</v>
      </c>
      <c r="I540" s="22">
        <v>30</v>
      </c>
      <c r="J540" s="23">
        <f t="shared" si="81"/>
        <v>61</v>
      </c>
    </row>
    <row r="541" spans="2:10" x14ac:dyDescent="0.25">
      <c r="B541" s="2">
        <v>5</v>
      </c>
      <c r="C541" s="4" t="s">
        <v>51</v>
      </c>
      <c r="D541" s="22">
        <v>30</v>
      </c>
      <c r="E541" s="22">
        <v>17</v>
      </c>
      <c r="F541" s="22">
        <v>7</v>
      </c>
      <c r="G541" s="22">
        <f t="shared" si="80"/>
        <v>6</v>
      </c>
      <c r="H541" s="22">
        <v>69</v>
      </c>
      <c r="I541" s="22">
        <v>31</v>
      </c>
      <c r="J541" s="23">
        <f t="shared" si="81"/>
        <v>58</v>
      </c>
    </row>
    <row r="542" spans="2:10" x14ac:dyDescent="0.25">
      <c r="B542" s="2">
        <v>6</v>
      </c>
      <c r="C542" s="4" t="s">
        <v>43</v>
      </c>
      <c r="D542" s="22">
        <v>30</v>
      </c>
      <c r="E542" s="22">
        <v>16</v>
      </c>
      <c r="F542" s="22">
        <v>8</v>
      </c>
      <c r="G542" s="22">
        <f t="shared" si="80"/>
        <v>6</v>
      </c>
      <c r="H542" s="22">
        <v>78</v>
      </c>
      <c r="I542" s="22">
        <v>30</v>
      </c>
      <c r="J542" s="23">
        <f t="shared" si="81"/>
        <v>56</v>
      </c>
    </row>
    <row r="543" spans="2:10" x14ac:dyDescent="0.25">
      <c r="B543" s="2">
        <v>7</v>
      </c>
      <c r="C543" s="4" t="s">
        <v>50</v>
      </c>
      <c r="D543" s="22">
        <v>30</v>
      </c>
      <c r="E543" s="22">
        <v>14</v>
      </c>
      <c r="F543" s="22">
        <v>6</v>
      </c>
      <c r="G543" s="22">
        <f t="shared" si="80"/>
        <v>10</v>
      </c>
      <c r="H543" s="22">
        <v>62</v>
      </c>
      <c r="I543" s="22">
        <v>44</v>
      </c>
      <c r="J543" s="23">
        <f t="shared" si="81"/>
        <v>48</v>
      </c>
    </row>
    <row r="544" spans="2:10" x14ac:dyDescent="0.25">
      <c r="B544" s="2">
        <v>8</v>
      </c>
      <c r="C544" s="4" t="s">
        <v>24</v>
      </c>
      <c r="D544" s="22">
        <v>30</v>
      </c>
      <c r="E544" s="22">
        <v>14</v>
      </c>
      <c r="F544" s="22">
        <v>5</v>
      </c>
      <c r="G544" s="22">
        <f t="shared" si="80"/>
        <v>11</v>
      </c>
      <c r="H544" s="22">
        <v>94</v>
      </c>
      <c r="I544" s="22">
        <v>43</v>
      </c>
      <c r="J544" s="23">
        <f t="shared" si="81"/>
        <v>47</v>
      </c>
    </row>
    <row r="545" spans="2:10" x14ac:dyDescent="0.25">
      <c r="B545" s="2">
        <v>9</v>
      </c>
      <c r="C545" s="4" t="s">
        <v>55</v>
      </c>
      <c r="D545" s="22">
        <v>30</v>
      </c>
      <c r="E545" s="22">
        <v>13</v>
      </c>
      <c r="F545" s="22">
        <v>8</v>
      </c>
      <c r="G545" s="22">
        <f t="shared" si="80"/>
        <v>9</v>
      </c>
      <c r="H545" s="22">
        <v>58</v>
      </c>
      <c r="I545" s="22">
        <v>40</v>
      </c>
      <c r="J545" s="23">
        <f t="shared" si="81"/>
        <v>47</v>
      </c>
    </row>
    <row r="546" spans="2:10" x14ac:dyDescent="0.25">
      <c r="B546" s="2">
        <v>10</v>
      </c>
      <c r="C546" s="4" t="s">
        <v>58</v>
      </c>
      <c r="D546" s="22">
        <v>30</v>
      </c>
      <c r="E546" s="22">
        <v>9</v>
      </c>
      <c r="F546" s="22">
        <v>7</v>
      </c>
      <c r="G546" s="22">
        <f t="shared" si="80"/>
        <v>14</v>
      </c>
      <c r="H546" s="22">
        <v>67</v>
      </c>
      <c r="I546" s="22">
        <v>61</v>
      </c>
      <c r="J546" s="23">
        <f t="shared" si="81"/>
        <v>34</v>
      </c>
    </row>
    <row r="547" spans="2:10" x14ac:dyDescent="0.25">
      <c r="B547" s="2">
        <v>11</v>
      </c>
      <c r="C547" s="4" t="s">
        <v>53</v>
      </c>
      <c r="D547" s="22">
        <v>30</v>
      </c>
      <c r="E547" s="22">
        <v>10</v>
      </c>
      <c r="F547" s="22">
        <v>4</v>
      </c>
      <c r="G547" s="22">
        <f t="shared" si="80"/>
        <v>16</v>
      </c>
      <c r="H547" s="22">
        <v>44</v>
      </c>
      <c r="I547" s="22">
        <v>58</v>
      </c>
      <c r="J547" s="23">
        <f t="shared" si="81"/>
        <v>34</v>
      </c>
    </row>
    <row r="548" spans="2:10" x14ac:dyDescent="0.25">
      <c r="B548" s="2">
        <v>12</v>
      </c>
      <c r="C548" s="4" t="s">
        <v>56</v>
      </c>
      <c r="D548" s="22">
        <v>30</v>
      </c>
      <c r="E548" s="22">
        <v>9</v>
      </c>
      <c r="F548" s="22">
        <v>4</v>
      </c>
      <c r="G548" s="22">
        <f t="shared" si="80"/>
        <v>17</v>
      </c>
      <c r="H548" s="22">
        <v>51</v>
      </c>
      <c r="I548" s="22">
        <v>70</v>
      </c>
      <c r="J548" s="23">
        <f t="shared" si="81"/>
        <v>31</v>
      </c>
    </row>
    <row r="549" spans="2:10" x14ac:dyDescent="0.25">
      <c r="B549" s="2">
        <v>13</v>
      </c>
      <c r="C549" s="4" t="s">
        <v>59</v>
      </c>
      <c r="D549" s="22">
        <v>30</v>
      </c>
      <c r="E549" s="22">
        <v>6</v>
      </c>
      <c r="F549" s="22">
        <v>3</v>
      </c>
      <c r="G549" s="22">
        <f t="shared" si="80"/>
        <v>21</v>
      </c>
      <c r="H549" s="22">
        <v>27</v>
      </c>
      <c r="I549" s="22">
        <v>69</v>
      </c>
      <c r="J549" s="23">
        <f t="shared" si="81"/>
        <v>21</v>
      </c>
    </row>
    <row r="550" spans="2:10" x14ac:dyDescent="0.25">
      <c r="B550" s="2">
        <v>14</v>
      </c>
      <c r="C550" s="4" t="s">
        <v>52</v>
      </c>
      <c r="D550" s="22">
        <v>30</v>
      </c>
      <c r="E550" s="22">
        <v>4</v>
      </c>
      <c r="F550" s="22">
        <v>2</v>
      </c>
      <c r="G550" s="22">
        <f t="shared" si="80"/>
        <v>24</v>
      </c>
      <c r="H550" s="22">
        <v>33</v>
      </c>
      <c r="I550" s="22">
        <v>84</v>
      </c>
      <c r="J550" s="23">
        <f t="shared" si="81"/>
        <v>14</v>
      </c>
    </row>
    <row r="551" spans="2:10" x14ac:dyDescent="0.25">
      <c r="B551" s="2">
        <v>15</v>
      </c>
      <c r="C551" s="4" t="s">
        <v>34</v>
      </c>
      <c r="D551" s="22">
        <v>8</v>
      </c>
      <c r="E551" s="22">
        <v>0</v>
      </c>
      <c r="F551" s="22">
        <v>0</v>
      </c>
      <c r="G551" s="22">
        <f t="shared" si="80"/>
        <v>8</v>
      </c>
      <c r="H551" s="22">
        <v>0</v>
      </c>
      <c r="I551" s="22">
        <v>92</v>
      </c>
      <c r="J551" s="23">
        <f t="shared" si="81"/>
        <v>0</v>
      </c>
    </row>
    <row r="552" spans="2:10" x14ac:dyDescent="0.25">
      <c r="B552" s="2">
        <v>16</v>
      </c>
      <c r="C552" s="4" t="s">
        <v>34</v>
      </c>
      <c r="D552" s="22">
        <v>24</v>
      </c>
      <c r="E552" s="22">
        <v>0</v>
      </c>
      <c r="F552" s="22">
        <v>0</v>
      </c>
      <c r="G552" s="22">
        <f t="shared" si="80"/>
        <v>24</v>
      </c>
      <c r="H552" s="22">
        <v>0</v>
      </c>
      <c r="I552" s="22">
        <v>271</v>
      </c>
      <c r="J552" s="23">
        <f t="shared" si="81"/>
        <v>0</v>
      </c>
    </row>
    <row r="553" spans="2:10" x14ac:dyDescent="0.25">
      <c r="B553" s="2"/>
      <c r="C553" s="2"/>
      <c r="D553" s="22"/>
      <c r="E553" s="22"/>
      <c r="F553" s="22"/>
      <c r="G553" s="22"/>
      <c r="H553" s="22"/>
      <c r="I553" s="22"/>
      <c r="J553" s="22"/>
    </row>
    <row r="554" spans="2:10" x14ac:dyDescent="0.25">
      <c r="B554" s="53" t="s">
        <v>54</v>
      </c>
      <c r="C554" s="53"/>
      <c r="D554" s="53"/>
      <c r="E554" s="53"/>
      <c r="F554" s="53"/>
      <c r="G554" s="53"/>
      <c r="H554" s="53"/>
      <c r="I554" s="53"/>
      <c r="J554" s="53"/>
    </row>
    <row r="555" spans="2:10" x14ac:dyDescent="0.25">
      <c r="B555" s="2">
        <v>1</v>
      </c>
      <c r="C555" s="4" t="s">
        <v>18</v>
      </c>
      <c r="D555" s="22">
        <v>30</v>
      </c>
      <c r="E555" s="22">
        <v>27</v>
      </c>
      <c r="F555" s="22">
        <v>1</v>
      </c>
      <c r="G555" s="22">
        <f>D555-E555-F555</f>
        <v>2</v>
      </c>
      <c r="H555" s="22">
        <v>163</v>
      </c>
      <c r="I555" s="22">
        <v>16</v>
      </c>
      <c r="J555" s="23">
        <f>E555*3+F555*1</f>
        <v>82</v>
      </c>
    </row>
    <row r="556" spans="2:10" x14ac:dyDescent="0.25">
      <c r="B556" s="2">
        <v>2</v>
      </c>
      <c r="C556" s="4" t="s">
        <v>43</v>
      </c>
      <c r="D556" s="22">
        <v>30</v>
      </c>
      <c r="E556" s="22">
        <v>25</v>
      </c>
      <c r="F556" s="22">
        <v>2</v>
      </c>
      <c r="G556" s="22">
        <f t="shared" ref="G556:G570" si="82">D556-E556-F556</f>
        <v>3</v>
      </c>
      <c r="H556" s="22">
        <v>108</v>
      </c>
      <c r="I556" s="22">
        <v>17</v>
      </c>
      <c r="J556" s="23">
        <f t="shared" ref="J556:J570" si="83">E556*3+F556*1</f>
        <v>77</v>
      </c>
    </row>
    <row r="557" spans="2:10" x14ac:dyDescent="0.25">
      <c r="B557" s="2">
        <v>3</v>
      </c>
      <c r="C557" s="4" t="s">
        <v>32</v>
      </c>
      <c r="D557" s="22">
        <v>30</v>
      </c>
      <c r="E557" s="22">
        <v>21</v>
      </c>
      <c r="F557" s="22">
        <v>7</v>
      </c>
      <c r="G557" s="22">
        <f t="shared" si="82"/>
        <v>2</v>
      </c>
      <c r="H557" s="22">
        <v>104</v>
      </c>
      <c r="I557" s="22">
        <v>17</v>
      </c>
      <c r="J557" s="23">
        <f t="shared" si="83"/>
        <v>70</v>
      </c>
    </row>
    <row r="558" spans="2:10" x14ac:dyDescent="0.25">
      <c r="B558" s="2">
        <v>4</v>
      </c>
      <c r="C558" s="4" t="s">
        <v>33</v>
      </c>
      <c r="D558" s="22">
        <v>30</v>
      </c>
      <c r="E558" s="22">
        <v>18</v>
      </c>
      <c r="F558" s="22">
        <v>6</v>
      </c>
      <c r="G558" s="22">
        <f t="shared" si="82"/>
        <v>6</v>
      </c>
      <c r="H558" s="22">
        <v>105</v>
      </c>
      <c r="I558" s="22">
        <v>30</v>
      </c>
      <c r="J558" s="23">
        <f t="shared" si="83"/>
        <v>60</v>
      </c>
    </row>
    <row r="559" spans="2:10" x14ac:dyDescent="0.25">
      <c r="B559" s="2">
        <v>5</v>
      </c>
      <c r="C559" s="4" t="s">
        <v>27</v>
      </c>
      <c r="D559" s="22">
        <v>30</v>
      </c>
      <c r="E559" s="22">
        <v>17</v>
      </c>
      <c r="F559" s="22">
        <v>7</v>
      </c>
      <c r="G559" s="22">
        <f t="shared" si="82"/>
        <v>6</v>
      </c>
      <c r="H559" s="22">
        <v>78</v>
      </c>
      <c r="I559" s="22">
        <v>18</v>
      </c>
      <c r="J559" s="23">
        <f t="shared" si="83"/>
        <v>58</v>
      </c>
    </row>
    <row r="560" spans="2:10" x14ac:dyDescent="0.25">
      <c r="B560" s="2">
        <v>6</v>
      </c>
      <c r="C560" s="4" t="s">
        <v>51</v>
      </c>
      <c r="D560" s="22">
        <v>30</v>
      </c>
      <c r="E560" s="22">
        <v>17</v>
      </c>
      <c r="F560" s="22">
        <v>4</v>
      </c>
      <c r="G560" s="22">
        <f t="shared" si="82"/>
        <v>9</v>
      </c>
      <c r="H560" s="22">
        <v>82</v>
      </c>
      <c r="I560" s="22">
        <v>36</v>
      </c>
      <c r="J560" s="23">
        <f t="shared" si="83"/>
        <v>55</v>
      </c>
    </row>
    <row r="561" spans="2:10" x14ac:dyDescent="0.25">
      <c r="B561" s="2">
        <v>7</v>
      </c>
      <c r="C561" s="4" t="s">
        <v>55</v>
      </c>
      <c r="D561" s="22">
        <v>30</v>
      </c>
      <c r="E561" s="22">
        <v>14</v>
      </c>
      <c r="F561" s="22">
        <v>4</v>
      </c>
      <c r="G561" s="22">
        <f t="shared" si="82"/>
        <v>12</v>
      </c>
      <c r="H561" s="22">
        <v>64</v>
      </c>
      <c r="I561" s="22">
        <v>37</v>
      </c>
      <c r="J561" s="23">
        <f t="shared" si="83"/>
        <v>46</v>
      </c>
    </row>
    <row r="562" spans="2:10" x14ac:dyDescent="0.25">
      <c r="B562" s="2">
        <v>8</v>
      </c>
      <c r="C562" s="4" t="s">
        <v>53</v>
      </c>
      <c r="D562" s="22">
        <v>30</v>
      </c>
      <c r="E562" s="22">
        <v>12</v>
      </c>
      <c r="F562" s="22">
        <v>4</v>
      </c>
      <c r="G562" s="22">
        <f t="shared" si="82"/>
        <v>14</v>
      </c>
      <c r="H562" s="22">
        <v>64</v>
      </c>
      <c r="I562" s="22">
        <v>54</v>
      </c>
      <c r="J562" s="23">
        <f t="shared" si="83"/>
        <v>40</v>
      </c>
    </row>
    <row r="563" spans="2:10" x14ac:dyDescent="0.25">
      <c r="B563" s="2">
        <v>9</v>
      </c>
      <c r="C563" s="4" t="s">
        <v>41</v>
      </c>
      <c r="D563" s="22">
        <v>30</v>
      </c>
      <c r="E563" s="22">
        <v>11</v>
      </c>
      <c r="F563" s="22">
        <v>5</v>
      </c>
      <c r="G563" s="22">
        <f t="shared" si="82"/>
        <v>14</v>
      </c>
      <c r="H563" s="22">
        <v>56</v>
      </c>
      <c r="I563" s="22">
        <v>42</v>
      </c>
      <c r="J563" s="23">
        <f t="shared" si="83"/>
        <v>38</v>
      </c>
    </row>
    <row r="564" spans="2:10" x14ac:dyDescent="0.25">
      <c r="B564" s="2">
        <v>10</v>
      </c>
      <c r="C564" s="4" t="s">
        <v>47</v>
      </c>
      <c r="D564" s="22">
        <v>30</v>
      </c>
      <c r="E564" s="22">
        <v>11</v>
      </c>
      <c r="F564" s="22">
        <v>5</v>
      </c>
      <c r="G564" s="22">
        <f t="shared" si="82"/>
        <v>14</v>
      </c>
      <c r="H564" s="22">
        <v>67</v>
      </c>
      <c r="I564" s="22">
        <v>60</v>
      </c>
      <c r="J564" s="23">
        <f t="shared" si="83"/>
        <v>38</v>
      </c>
    </row>
    <row r="565" spans="2:10" x14ac:dyDescent="0.25">
      <c r="B565" s="2">
        <v>11</v>
      </c>
      <c r="C565" s="4" t="s">
        <v>50</v>
      </c>
      <c r="D565" s="22">
        <v>30</v>
      </c>
      <c r="E565" s="22">
        <v>12</v>
      </c>
      <c r="F565" s="22">
        <v>0</v>
      </c>
      <c r="G565" s="22">
        <f t="shared" si="82"/>
        <v>18</v>
      </c>
      <c r="H565" s="22">
        <v>72</v>
      </c>
      <c r="I565" s="22">
        <v>55</v>
      </c>
      <c r="J565" s="23">
        <f t="shared" si="83"/>
        <v>36</v>
      </c>
    </row>
    <row r="566" spans="2:10" x14ac:dyDescent="0.25">
      <c r="B566" s="2">
        <v>12</v>
      </c>
      <c r="C566" s="4" t="s">
        <v>56</v>
      </c>
      <c r="D566" s="22">
        <v>30</v>
      </c>
      <c r="E566" s="22">
        <v>9</v>
      </c>
      <c r="F566" s="22">
        <v>4</v>
      </c>
      <c r="G566" s="22">
        <f t="shared" si="82"/>
        <v>17</v>
      </c>
      <c r="H566" s="22">
        <v>47</v>
      </c>
      <c r="I566" s="22">
        <v>69</v>
      </c>
      <c r="J566" s="23">
        <f t="shared" si="83"/>
        <v>31</v>
      </c>
    </row>
    <row r="567" spans="2:10" x14ac:dyDescent="0.25">
      <c r="B567" s="2">
        <v>13</v>
      </c>
      <c r="C567" s="4" t="s">
        <v>52</v>
      </c>
      <c r="D567" s="22">
        <v>30</v>
      </c>
      <c r="E567" s="22">
        <v>9</v>
      </c>
      <c r="F567" s="22">
        <v>2</v>
      </c>
      <c r="G567" s="22">
        <f t="shared" si="82"/>
        <v>19</v>
      </c>
      <c r="H567" s="22">
        <v>46</v>
      </c>
      <c r="I567" s="22">
        <v>67</v>
      </c>
      <c r="J567" s="23">
        <f t="shared" si="83"/>
        <v>29</v>
      </c>
    </row>
    <row r="568" spans="2:10" x14ac:dyDescent="0.25">
      <c r="B568" s="2">
        <v>14</v>
      </c>
      <c r="C568" s="4" t="s">
        <v>24</v>
      </c>
      <c r="D568" s="22">
        <v>30</v>
      </c>
      <c r="E568" s="22">
        <v>5</v>
      </c>
      <c r="F568" s="22">
        <v>1</v>
      </c>
      <c r="G568" s="22">
        <f t="shared" si="82"/>
        <v>24</v>
      </c>
      <c r="H568" s="22">
        <v>31</v>
      </c>
      <c r="I568" s="22">
        <v>175</v>
      </c>
      <c r="J568" s="23">
        <f t="shared" si="83"/>
        <v>16</v>
      </c>
    </row>
    <row r="569" spans="2:10" x14ac:dyDescent="0.25">
      <c r="B569" s="2">
        <v>15</v>
      </c>
      <c r="C569" s="4" t="s">
        <v>34</v>
      </c>
      <c r="D569" s="22">
        <v>30</v>
      </c>
      <c r="E569" s="22">
        <v>2</v>
      </c>
      <c r="F569" s="22">
        <v>0</v>
      </c>
      <c r="G569" s="22">
        <f t="shared" si="82"/>
        <v>28</v>
      </c>
      <c r="H569" s="22">
        <v>6</v>
      </c>
      <c r="I569" s="22">
        <v>287</v>
      </c>
      <c r="J569" s="23">
        <f t="shared" si="83"/>
        <v>6</v>
      </c>
    </row>
    <row r="570" spans="2:10" x14ac:dyDescent="0.25">
      <c r="B570" s="2">
        <v>16</v>
      </c>
      <c r="C570" s="4" t="s">
        <v>34</v>
      </c>
      <c r="D570" s="22">
        <v>6</v>
      </c>
      <c r="E570" s="22">
        <v>0</v>
      </c>
      <c r="F570" s="22">
        <v>0</v>
      </c>
      <c r="G570" s="22">
        <f t="shared" si="82"/>
        <v>6</v>
      </c>
      <c r="H570" s="22">
        <v>0</v>
      </c>
      <c r="I570" s="22">
        <v>52</v>
      </c>
      <c r="J570" s="23">
        <f t="shared" si="83"/>
        <v>0</v>
      </c>
    </row>
    <row r="571" spans="2:10" x14ac:dyDescent="0.25">
      <c r="B571" s="2"/>
      <c r="C571" s="2"/>
      <c r="D571" s="22"/>
      <c r="E571" s="22"/>
      <c r="F571" s="22"/>
      <c r="G571" s="22"/>
      <c r="H571" s="22"/>
      <c r="I571" s="22"/>
      <c r="J571" s="22"/>
    </row>
    <row r="572" spans="2:10" x14ac:dyDescent="0.25">
      <c r="B572" s="53" t="s">
        <v>49</v>
      </c>
      <c r="C572" s="53"/>
      <c r="D572" s="53"/>
      <c r="E572" s="53"/>
      <c r="F572" s="53"/>
      <c r="G572" s="53"/>
      <c r="H572" s="53"/>
      <c r="I572" s="53"/>
      <c r="J572" s="53"/>
    </row>
    <row r="573" spans="2:10" x14ac:dyDescent="0.25">
      <c r="B573" s="2">
        <v>1</v>
      </c>
      <c r="C573" s="4" t="s">
        <v>43</v>
      </c>
      <c r="D573" s="22">
        <v>30</v>
      </c>
      <c r="E573" s="22">
        <v>25</v>
      </c>
      <c r="F573" s="22">
        <v>3</v>
      </c>
      <c r="G573" s="22">
        <f>D573-E573-F573</f>
        <v>2</v>
      </c>
      <c r="H573" s="22">
        <v>104</v>
      </c>
      <c r="I573" s="22">
        <v>15</v>
      </c>
      <c r="J573" s="23">
        <f>E573*3+F573*1</f>
        <v>78</v>
      </c>
    </row>
    <row r="574" spans="2:10" x14ac:dyDescent="0.25">
      <c r="B574" s="2">
        <v>2</v>
      </c>
      <c r="C574" s="4" t="s">
        <v>24</v>
      </c>
      <c r="D574" s="22">
        <v>30</v>
      </c>
      <c r="E574" s="22">
        <v>24</v>
      </c>
      <c r="F574" s="22">
        <v>3</v>
      </c>
      <c r="G574" s="22">
        <f t="shared" ref="G574:G588" si="84">D574-E574-F574</f>
        <v>3</v>
      </c>
      <c r="H574" s="22">
        <v>103</v>
      </c>
      <c r="I574" s="22">
        <v>26</v>
      </c>
      <c r="J574" s="23">
        <f t="shared" ref="J574:J588" si="85">E574*3+F574*1</f>
        <v>75</v>
      </c>
    </row>
    <row r="575" spans="2:10" x14ac:dyDescent="0.25">
      <c r="B575" s="2">
        <v>3</v>
      </c>
      <c r="C575" s="4" t="s">
        <v>18</v>
      </c>
      <c r="D575" s="22">
        <v>30</v>
      </c>
      <c r="E575" s="22">
        <v>22</v>
      </c>
      <c r="F575" s="22">
        <v>4</v>
      </c>
      <c r="G575" s="22">
        <f t="shared" si="84"/>
        <v>4</v>
      </c>
      <c r="H575" s="22">
        <v>120</v>
      </c>
      <c r="I575" s="22">
        <v>27</v>
      </c>
      <c r="J575" s="23">
        <f t="shared" si="85"/>
        <v>70</v>
      </c>
    </row>
    <row r="576" spans="2:10" x14ac:dyDescent="0.25">
      <c r="B576" s="2">
        <v>4</v>
      </c>
      <c r="C576" s="4" t="s">
        <v>33</v>
      </c>
      <c r="D576" s="22">
        <v>30</v>
      </c>
      <c r="E576" s="22">
        <v>21</v>
      </c>
      <c r="F576" s="22">
        <v>3</v>
      </c>
      <c r="G576" s="22">
        <f t="shared" si="84"/>
        <v>6</v>
      </c>
      <c r="H576" s="22">
        <v>86</v>
      </c>
      <c r="I576" s="22">
        <v>31</v>
      </c>
      <c r="J576" s="23">
        <f t="shared" si="85"/>
        <v>66</v>
      </c>
    </row>
    <row r="577" spans="2:10" x14ac:dyDescent="0.25">
      <c r="B577" s="2">
        <v>5</v>
      </c>
      <c r="C577" s="4" t="s">
        <v>32</v>
      </c>
      <c r="D577" s="22">
        <v>30</v>
      </c>
      <c r="E577" s="22">
        <v>20</v>
      </c>
      <c r="F577" s="22">
        <v>3</v>
      </c>
      <c r="G577" s="22">
        <f t="shared" si="84"/>
        <v>7</v>
      </c>
      <c r="H577" s="22">
        <v>72</v>
      </c>
      <c r="I577" s="22">
        <v>22</v>
      </c>
      <c r="J577" s="23">
        <f t="shared" si="85"/>
        <v>63</v>
      </c>
    </row>
    <row r="578" spans="2:10" x14ac:dyDescent="0.25">
      <c r="B578" s="2">
        <v>6</v>
      </c>
      <c r="C578" s="4" t="s">
        <v>27</v>
      </c>
      <c r="D578" s="22">
        <v>30</v>
      </c>
      <c r="E578" s="22">
        <v>15</v>
      </c>
      <c r="F578" s="22">
        <v>9</v>
      </c>
      <c r="G578" s="22">
        <f t="shared" si="84"/>
        <v>6</v>
      </c>
      <c r="H578" s="22">
        <v>69</v>
      </c>
      <c r="I578" s="22">
        <v>29</v>
      </c>
      <c r="J578" s="23">
        <f t="shared" si="85"/>
        <v>54</v>
      </c>
    </row>
    <row r="579" spans="2:10" x14ac:dyDescent="0.25">
      <c r="B579" s="2">
        <v>7</v>
      </c>
      <c r="C579" s="4" t="s">
        <v>50</v>
      </c>
      <c r="D579" s="22">
        <v>30</v>
      </c>
      <c r="E579" s="22">
        <v>13</v>
      </c>
      <c r="F579" s="22">
        <v>2</v>
      </c>
      <c r="G579" s="22">
        <f t="shared" si="84"/>
        <v>15</v>
      </c>
      <c r="H579" s="22">
        <v>49</v>
      </c>
      <c r="I579" s="22">
        <v>55</v>
      </c>
      <c r="J579" s="23">
        <f t="shared" si="85"/>
        <v>41</v>
      </c>
    </row>
    <row r="580" spans="2:10" x14ac:dyDescent="0.25">
      <c r="B580" s="2">
        <v>8</v>
      </c>
      <c r="C580" s="4" t="s">
        <v>47</v>
      </c>
      <c r="D580" s="22">
        <v>30</v>
      </c>
      <c r="E580" s="22">
        <v>12</v>
      </c>
      <c r="F580" s="22">
        <v>4</v>
      </c>
      <c r="G580" s="22">
        <f t="shared" si="84"/>
        <v>14</v>
      </c>
      <c r="H580" s="22">
        <v>60</v>
      </c>
      <c r="I580" s="22">
        <v>41</v>
      </c>
      <c r="J580" s="23">
        <f t="shared" si="85"/>
        <v>40</v>
      </c>
    </row>
    <row r="581" spans="2:10" x14ac:dyDescent="0.25">
      <c r="B581" s="2">
        <v>9</v>
      </c>
      <c r="C581" s="4" t="s">
        <v>51</v>
      </c>
      <c r="D581" s="22">
        <v>30</v>
      </c>
      <c r="E581" s="22">
        <v>12</v>
      </c>
      <c r="F581" s="22">
        <v>2</v>
      </c>
      <c r="G581" s="22">
        <f t="shared" si="84"/>
        <v>16</v>
      </c>
      <c r="H581" s="22">
        <v>56</v>
      </c>
      <c r="I581" s="22">
        <v>50</v>
      </c>
      <c r="J581" s="23">
        <f t="shared" si="85"/>
        <v>38</v>
      </c>
    </row>
    <row r="582" spans="2:10" x14ac:dyDescent="0.25">
      <c r="B582" s="2">
        <v>10</v>
      </c>
      <c r="C582" s="4" t="s">
        <v>48</v>
      </c>
      <c r="D582" s="22">
        <v>30</v>
      </c>
      <c r="E582" s="22">
        <v>8</v>
      </c>
      <c r="F582" s="22">
        <v>8</v>
      </c>
      <c r="G582" s="22">
        <f t="shared" si="84"/>
        <v>14</v>
      </c>
      <c r="H582" s="22">
        <v>46</v>
      </c>
      <c r="I582" s="22">
        <v>59</v>
      </c>
      <c r="J582" s="23">
        <f t="shared" si="85"/>
        <v>32</v>
      </c>
    </row>
    <row r="583" spans="2:10" x14ac:dyDescent="0.25">
      <c r="B583" s="2">
        <v>11</v>
      </c>
      <c r="C583" s="4" t="s">
        <v>52</v>
      </c>
      <c r="D583" s="22">
        <v>30</v>
      </c>
      <c r="E583" s="22">
        <v>9</v>
      </c>
      <c r="F583" s="22">
        <v>5</v>
      </c>
      <c r="G583" s="22">
        <f t="shared" si="84"/>
        <v>16</v>
      </c>
      <c r="H583" s="22">
        <v>45</v>
      </c>
      <c r="I583" s="22">
        <v>72</v>
      </c>
      <c r="J583" s="23">
        <f t="shared" si="85"/>
        <v>32</v>
      </c>
    </row>
    <row r="584" spans="2:10" x14ac:dyDescent="0.25">
      <c r="B584" s="2">
        <v>12</v>
      </c>
      <c r="C584" s="4" t="s">
        <v>53</v>
      </c>
      <c r="D584" s="22">
        <v>30</v>
      </c>
      <c r="E584" s="22">
        <v>8</v>
      </c>
      <c r="F584" s="22">
        <v>3</v>
      </c>
      <c r="G584" s="22">
        <f t="shared" si="84"/>
        <v>19</v>
      </c>
      <c r="H584" s="22">
        <v>31</v>
      </c>
      <c r="I584" s="22">
        <v>50</v>
      </c>
      <c r="J584" s="23">
        <f t="shared" si="85"/>
        <v>27</v>
      </c>
    </row>
    <row r="585" spans="2:10" x14ac:dyDescent="0.25">
      <c r="B585" s="2">
        <v>13</v>
      </c>
      <c r="C585" s="4" t="s">
        <v>9</v>
      </c>
      <c r="D585" s="22">
        <v>30</v>
      </c>
      <c r="E585" s="22">
        <v>3</v>
      </c>
      <c r="F585" s="22">
        <v>6</v>
      </c>
      <c r="G585" s="22">
        <f t="shared" si="84"/>
        <v>21</v>
      </c>
      <c r="H585" s="22">
        <v>17</v>
      </c>
      <c r="I585" s="22">
        <v>64</v>
      </c>
      <c r="J585" s="23">
        <f t="shared" si="85"/>
        <v>15</v>
      </c>
    </row>
    <row r="586" spans="2:10" x14ac:dyDescent="0.25">
      <c r="B586" s="2">
        <v>14</v>
      </c>
      <c r="C586" s="4" t="s">
        <v>41</v>
      </c>
      <c r="D586" s="22">
        <v>30</v>
      </c>
      <c r="E586" s="22">
        <v>3</v>
      </c>
      <c r="F586" s="22">
        <v>5</v>
      </c>
      <c r="G586" s="22">
        <f t="shared" si="84"/>
        <v>22</v>
      </c>
      <c r="H586" s="22">
        <v>26</v>
      </c>
      <c r="I586" s="22">
        <v>73</v>
      </c>
      <c r="J586" s="23">
        <f t="shared" si="85"/>
        <v>14</v>
      </c>
    </row>
    <row r="587" spans="2:10" x14ac:dyDescent="0.25">
      <c r="B587" s="2">
        <v>15</v>
      </c>
      <c r="C587" s="4" t="s">
        <v>34</v>
      </c>
      <c r="D587" s="22">
        <v>30</v>
      </c>
      <c r="E587" s="22">
        <v>2</v>
      </c>
      <c r="F587" s="22">
        <v>0</v>
      </c>
      <c r="G587" s="22">
        <f t="shared" si="84"/>
        <v>28</v>
      </c>
      <c r="H587" s="22">
        <v>6</v>
      </c>
      <c r="I587" s="22">
        <v>283</v>
      </c>
      <c r="J587" s="23">
        <f t="shared" si="85"/>
        <v>6</v>
      </c>
    </row>
    <row r="588" spans="2:10" x14ac:dyDescent="0.25">
      <c r="B588" s="2">
        <v>16</v>
      </c>
      <c r="C588" s="4" t="s">
        <v>34</v>
      </c>
      <c r="D588" s="22">
        <v>1</v>
      </c>
      <c r="E588" s="22">
        <v>0</v>
      </c>
      <c r="F588" s="22">
        <v>0</v>
      </c>
      <c r="G588" s="22">
        <f t="shared" si="84"/>
        <v>1</v>
      </c>
      <c r="H588" s="22">
        <v>0</v>
      </c>
      <c r="I588" s="22">
        <v>9</v>
      </c>
      <c r="J588" s="23">
        <f t="shared" si="85"/>
        <v>0</v>
      </c>
    </row>
    <row r="589" spans="2:10" x14ac:dyDescent="0.25">
      <c r="B589" s="2"/>
      <c r="C589" s="2"/>
      <c r="D589" s="22"/>
      <c r="E589" s="22"/>
      <c r="F589" s="22"/>
      <c r="G589" s="22"/>
      <c r="H589" s="22"/>
      <c r="I589" s="22"/>
      <c r="J589" s="22"/>
    </row>
    <row r="590" spans="2:10" x14ac:dyDescent="0.25">
      <c r="B590" s="53" t="s">
        <v>46</v>
      </c>
      <c r="C590" s="53"/>
      <c r="D590" s="53"/>
      <c r="E590" s="53"/>
      <c r="F590" s="53"/>
      <c r="G590" s="53"/>
      <c r="H590" s="53"/>
      <c r="I590" s="53"/>
      <c r="J590" s="53"/>
    </row>
    <row r="591" spans="2:10" x14ac:dyDescent="0.25">
      <c r="B591" s="2">
        <v>1</v>
      </c>
      <c r="C591" s="4" t="s">
        <v>24</v>
      </c>
      <c r="D591" s="22">
        <v>30</v>
      </c>
      <c r="E591" s="22">
        <v>27</v>
      </c>
      <c r="F591" s="22">
        <v>3</v>
      </c>
      <c r="G591" s="22">
        <f>D591-E591-F591</f>
        <v>0</v>
      </c>
      <c r="H591" s="22">
        <v>115</v>
      </c>
      <c r="I591" s="22">
        <v>8</v>
      </c>
      <c r="J591" s="23">
        <f>E591*3+F591*1</f>
        <v>84</v>
      </c>
    </row>
    <row r="592" spans="2:10" x14ac:dyDescent="0.25">
      <c r="B592" s="2">
        <v>2</v>
      </c>
      <c r="C592" s="4" t="s">
        <v>18</v>
      </c>
      <c r="D592" s="22">
        <v>30</v>
      </c>
      <c r="E592" s="22">
        <v>21</v>
      </c>
      <c r="F592" s="22">
        <v>5</v>
      </c>
      <c r="G592" s="22">
        <f t="shared" ref="G592:G606" si="86">D592-E592-F592</f>
        <v>4</v>
      </c>
      <c r="H592" s="22">
        <v>142</v>
      </c>
      <c r="I592" s="22">
        <v>28</v>
      </c>
      <c r="J592" s="23">
        <f t="shared" ref="J592:J606" si="87">E592*3+F592*1</f>
        <v>68</v>
      </c>
    </row>
    <row r="593" spans="2:10" x14ac:dyDescent="0.25">
      <c r="B593" s="2">
        <v>3</v>
      </c>
      <c r="C593" s="4" t="s">
        <v>33</v>
      </c>
      <c r="D593" s="22">
        <v>30</v>
      </c>
      <c r="E593" s="22">
        <v>21</v>
      </c>
      <c r="F593" s="22">
        <v>3</v>
      </c>
      <c r="G593" s="22">
        <f t="shared" si="86"/>
        <v>6</v>
      </c>
      <c r="H593" s="22">
        <v>121</v>
      </c>
      <c r="I593" s="22">
        <v>25</v>
      </c>
      <c r="J593" s="23">
        <f t="shared" si="87"/>
        <v>66</v>
      </c>
    </row>
    <row r="594" spans="2:10" x14ac:dyDescent="0.25">
      <c r="B594" s="2">
        <v>4</v>
      </c>
      <c r="C594" s="4" t="s">
        <v>23</v>
      </c>
      <c r="D594" s="22">
        <v>30</v>
      </c>
      <c r="E594" s="22">
        <v>20</v>
      </c>
      <c r="F594" s="22">
        <v>5</v>
      </c>
      <c r="G594" s="22">
        <f t="shared" si="86"/>
        <v>5</v>
      </c>
      <c r="H594" s="22">
        <v>116</v>
      </c>
      <c r="I594" s="22">
        <v>25</v>
      </c>
      <c r="J594" s="23">
        <f t="shared" si="87"/>
        <v>65</v>
      </c>
    </row>
    <row r="595" spans="2:10" x14ac:dyDescent="0.25">
      <c r="B595" s="2">
        <v>5</v>
      </c>
      <c r="C595" s="4" t="s">
        <v>32</v>
      </c>
      <c r="D595" s="22">
        <v>30</v>
      </c>
      <c r="E595" s="22">
        <v>20</v>
      </c>
      <c r="F595" s="22">
        <v>4</v>
      </c>
      <c r="G595" s="22">
        <f t="shared" si="86"/>
        <v>6</v>
      </c>
      <c r="H595" s="22">
        <v>92</v>
      </c>
      <c r="I595" s="22">
        <v>22</v>
      </c>
      <c r="J595" s="23">
        <f t="shared" si="87"/>
        <v>64</v>
      </c>
    </row>
    <row r="596" spans="2:10" x14ac:dyDescent="0.25">
      <c r="B596" s="2">
        <v>6</v>
      </c>
      <c r="C596" s="4" t="s">
        <v>43</v>
      </c>
      <c r="D596" s="22">
        <v>30</v>
      </c>
      <c r="E596" s="22">
        <v>17</v>
      </c>
      <c r="F596" s="22">
        <v>3</v>
      </c>
      <c r="G596" s="22">
        <f t="shared" si="86"/>
        <v>10</v>
      </c>
      <c r="H596" s="22">
        <v>100</v>
      </c>
      <c r="I596" s="22">
        <v>36</v>
      </c>
      <c r="J596" s="23">
        <f t="shared" si="87"/>
        <v>54</v>
      </c>
    </row>
    <row r="597" spans="2:10" x14ac:dyDescent="0.25">
      <c r="B597" s="2">
        <v>7</v>
      </c>
      <c r="C597" s="4" t="s">
        <v>27</v>
      </c>
      <c r="D597" s="22">
        <v>30</v>
      </c>
      <c r="E597" s="22">
        <v>16</v>
      </c>
      <c r="F597" s="22">
        <v>2</v>
      </c>
      <c r="G597" s="22">
        <f t="shared" si="86"/>
        <v>12</v>
      </c>
      <c r="H597" s="22">
        <v>96</v>
      </c>
      <c r="I597" s="22">
        <v>38</v>
      </c>
      <c r="J597" s="23">
        <f t="shared" si="87"/>
        <v>50</v>
      </c>
    </row>
    <row r="598" spans="2:10" x14ac:dyDescent="0.25">
      <c r="B598" s="2">
        <v>8</v>
      </c>
      <c r="C598" s="4" t="s">
        <v>4</v>
      </c>
      <c r="D598" s="22">
        <v>30</v>
      </c>
      <c r="E598" s="22">
        <v>14</v>
      </c>
      <c r="F598" s="22">
        <v>4</v>
      </c>
      <c r="G598" s="22">
        <f t="shared" si="86"/>
        <v>12</v>
      </c>
      <c r="H598" s="22">
        <v>93</v>
      </c>
      <c r="I598" s="22">
        <v>34</v>
      </c>
      <c r="J598" s="23">
        <f t="shared" si="87"/>
        <v>46</v>
      </c>
    </row>
    <row r="599" spans="2:10" x14ac:dyDescent="0.25">
      <c r="B599" s="2">
        <v>9</v>
      </c>
      <c r="C599" s="4" t="s">
        <v>9</v>
      </c>
      <c r="D599" s="22">
        <v>30</v>
      </c>
      <c r="E599" s="22">
        <v>12</v>
      </c>
      <c r="F599" s="22">
        <v>7</v>
      </c>
      <c r="G599" s="22">
        <f t="shared" si="86"/>
        <v>11</v>
      </c>
      <c r="H599" s="22">
        <v>87</v>
      </c>
      <c r="I599" s="22">
        <v>46</v>
      </c>
      <c r="J599" s="23">
        <f t="shared" si="87"/>
        <v>43</v>
      </c>
    </row>
    <row r="600" spans="2:10" x14ac:dyDescent="0.25">
      <c r="B600" s="2">
        <v>10</v>
      </c>
      <c r="C600" s="4" t="s">
        <v>47</v>
      </c>
      <c r="D600" s="22">
        <v>30</v>
      </c>
      <c r="E600" s="22">
        <v>12</v>
      </c>
      <c r="F600" s="22">
        <v>3</v>
      </c>
      <c r="G600" s="22">
        <f t="shared" si="86"/>
        <v>15</v>
      </c>
      <c r="H600" s="22">
        <v>85</v>
      </c>
      <c r="I600" s="22">
        <v>52</v>
      </c>
      <c r="J600" s="23">
        <f t="shared" si="87"/>
        <v>39</v>
      </c>
    </row>
    <row r="601" spans="2:10" x14ac:dyDescent="0.25">
      <c r="B601" s="2">
        <v>11</v>
      </c>
      <c r="C601" s="4" t="s">
        <v>41</v>
      </c>
      <c r="D601" s="22">
        <v>30</v>
      </c>
      <c r="E601" s="22">
        <v>11</v>
      </c>
      <c r="F601" s="22">
        <v>3</v>
      </c>
      <c r="G601" s="22">
        <f t="shared" si="86"/>
        <v>16</v>
      </c>
      <c r="H601" s="22">
        <v>70</v>
      </c>
      <c r="I601" s="22">
        <v>58</v>
      </c>
      <c r="J601" s="23">
        <f t="shared" si="87"/>
        <v>36</v>
      </c>
    </row>
    <row r="602" spans="2:10" x14ac:dyDescent="0.25">
      <c r="B602" s="2">
        <v>12</v>
      </c>
      <c r="C602" s="4" t="s">
        <v>48</v>
      </c>
      <c r="D602" s="22">
        <v>30</v>
      </c>
      <c r="E602" s="22">
        <v>10</v>
      </c>
      <c r="F602" s="22">
        <v>5</v>
      </c>
      <c r="G602" s="22">
        <f t="shared" si="86"/>
        <v>15</v>
      </c>
      <c r="H602" s="22">
        <v>70</v>
      </c>
      <c r="I602" s="22">
        <v>55</v>
      </c>
      <c r="J602" s="23">
        <f t="shared" si="87"/>
        <v>35</v>
      </c>
    </row>
    <row r="603" spans="2:10" x14ac:dyDescent="0.25">
      <c r="B603" s="2">
        <v>13</v>
      </c>
      <c r="C603" s="4" t="s">
        <v>34</v>
      </c>
      <c r="D603" s="22">
        <v>24</v>
      </c>
      <c r="E603" s="22">
        <v>2</v>
      </c>
      <c r="F603" s="22">
        <v>1</v>
      </c>
      <c r="G603" s="22">
        <f t="shared" si="86"/>
        <v>21</v>
      </c>
      <c r="H603" s="22">
        <v>4</v>
      </c>
      <c r="I603" s="22">
        <v>210</v>
      </c>
      <c r="J603" s="23">
        <f t="shared" si="87"/>
        <v>7</v>
      </c>
    </row>
    <row r="604" spans="2:10" x14ac:dyDescent="0.25">
      <c r="B604" s="2">
        <v>14</v>
      </c>
      <c r="C604" s="4" t="s">
        <v>34</v>
      </c>
      <c r="D604" s="22">
        <v>26</v>
      </c>
      <c r="E604" s="22">
        <v>2</v>
      </c>
      <c r="F604" s="22">
        <v>1</v>
      </c>
      <c r="G604" s="22">
        <f t="shared" si="86"/>
        <v>23</v>
      </c>
      <c r="H604" s="22">
        <v>3</v>
      </c>
      <c r="I604" s="22">
        <v>236</v>
      </c>
      <c r="J604" s="23">
        <f t="shared" si="87"/>
        <v>7</v>
      </c>
    </row>
    <row r="605" spans="2:10" x14ac:dyDescent="0.25">
      <c r="B605" s="2">
        <v>15</v>
      </c>
      <c r="C605" s="4" t="s">
        <v>34</v>
      </c>
      <c r="D605" s="22">
        <v>17</v>
      </c>
      <c r="E605" s="22">
        <v>2</v>
      </c>
      <c r="F605" s="22">
        <v>0</v>
      </c>
      <c r="G605" s="22">
        <f t="shared" si="86"/>
        <v>15</v>
      </c>
      <c r="H605" s="22">
        <v>4</v>
      </c>
      <c r="I605" s="22">
        <v>144</v>
      </c>
      <c r="J605" s="23">
        <f t="shared" si="87"/>
        <v>6</v>
      </c>
    </row>
    <row r="606" spans="2:10" x14ac:dyDescent="0.25">
      <c r="B606" s="2">
        <v>16</v>
      </c>
      <c r="C606" s="4" t="s">
        <v>34</v>
      </c>
      <c r="D606" s="22">
        <v>13</v>
      </c>
      <c r="E606" s="22">
        <v>0</v>
      </c>
      <c r="F606" s="22">
        <v>0</v>
      </c>
      <c r="G606" s="22">
        <f t="shared" si="86"/>
        <v>13</v>
      </c>
      <c r="H606" s="22">
        <v>0</v>
      </c>
      <c r="I606" s="22">
        <v>111</v>
      </c>
      <c r="J606" s="23">
        <f t="shared" si="87"/>
        <v>0</v>
      </c>
    </row>
    <row r="607" spans="2:10" x14ac:dyDescent="0.25">
      <c r="B607" s="2"/>
      <c r="C607" s="2"/>
      <c r="D607" s="22"/>
      <c r="E607" s="22"/>
      <c r="F607" s="22"/>
      <c r="G607" s="22"/>
      <c r="H607" s="22"/>
      <c r="I607" s="22"/>
      <c r="J607" s="22"/>
    </row>
    <row r="608" spans="2:10" x14ac:dyDescent="0.25">
      <c r="B608" s="53" t="s">
        <v>44</v>
      </c>
      <c r="C608" s="53"/>
      <c r="D608" s="53"/>
      <c r="E608" s="53"/>
      <c r="F608" s="53"/>
      <c r="G608" s="53"/>
      <c r="H608" s="53"/>
      <c r="I608" s="53"/>
      <c r="J608" s="53"/>
    </row>
    <row r="609" spans="2:10" x14ac:dyDescent="0.25">
      <c r="B609" s="2">
        <v>1</v>
      </c>
      <c r="C609" s="4" t="s">
        <v>24</v>
      </c>
      <c r="D609" s="22">
        <v>30</v>
      </c>
      <c r="E609" s="22">
        <v>24</v>
      </c>
      <c r="F609" s="22">
        <v>4</v>
      </c>
      <c r="G609" s="22">
        <f>D609-E609-F609</f>
        <v>2</v>
      </c>
      <c r="H609" s="22">
        <v>83</v>
      </c>
      <c r="I609" s="22">
        <v>15</v>
      </c>
      <c r="J609" s="23">
        <f>E609*3+F609*1</f>
        <v>76</v>
      </c>
    </row>
    <row r="610" spans="2:10" x14ac:dyDescent="0.25">
      <c r="B610" s="2">
        <v>2</v>
      </c>
      <c r="C610" s="4" t="s">
        <v>23</v>
      </c>
      <c r="D610" s="22">
        <v>30</v>
      </c>
      <c r="E610" s="22">
        <v>23</v>
      </c>
      <c r="F610" s="22">
        <v>4</v>
      </c>
      <c r="G610" s="22">
        <f t="shared" ref="G610:G624" si="88">D610-E610-F610</f>
        <v>3</v>
      </c>
      <c r="H610" s="22">
        <v>106</v>
      </c>
      <c r="I610" s="22">
        <v>18</v>
      </c>
      <c r="J610" s="23">
        <f t="shared" ref="J610:J624" si="89">E610*3+F610*1</f>
        <v>73</v>
      </c>
    </row>
    <row r="611" spans="2:10" x14ac:dyDescent="0.25">
      <c r="B611" s="2">
        <v>3</v>
      </c>
      <c r="C611" s="4" t="s">
        <v>18</v>
      </c>
      <c r="D611" s="22">
        <v>30</v>
      </c>
      <c r="E611" s="22">
        <v>21</v>
      </c>
      <c r="F611" s="22">
        <v>3</v>
      </c>
      <c r="G611" s="22">
        <f t="shared" si="88"/>
        <v>6</v>
      </c>
      <c r="H611" s="22">
        <v>104</v>
      </c>
      <c r="I611" s="22">
        <v>30</v>
      </c>
      <c r="J611" s="23">
        <f t="shared" si="89"/>
        <v>66</v>
      </c>
    </row>
    <row r="612" spans="2:10" x14ac:dyDescent="0.25">
      <c r="B612" s="2">
        <v>4</v>
      </c>
      <c r="C612" s="4" t="s">
        <v>32</v>
      </c>
      <c r="D612" s="22">
        <v>30</v>
      </c>
      <c r="E612" s="22">
        <v>19</v>
      </c>
      <c r="F612" s="22">
        <v>6</v>
      </c>
      <c r="G612" s="22">
        <f t="shared" si="88"/>
        <v>5</v>
      </c>
      <c r="H612" s="22">
        <v>83</v>
      </c>
      <c r="I612" s="22">
        <v>22</v>
      </c>
      <c r="J612" s="23">
        <f t="shared" si="89"/>
        <v>63</v>
      </c>
    </row>
    <row r="613" spans="2:10" x14ac:dyDescent="0.25">
      <c r="B613" s="2">
        <v>5</v>
      </c>
      <c r="C613" s="4" t="s">
        <v>27</v>
      </c>
      <c r="D613" s="22">
        <v>30</v>
      </c>
      <c r="E613" s="22">
        <v>19</v>
      </c>
      <c r="F613" s="22">
        <v>4</v>
      </c>
      <c r="G613" s="22">
        <f t="shared" si="88"/>
        <v>7</v>
      </c>
      <c r="H613" s="22">
        <v>92</v>
      </c>
      <c r="I613" s="22">
        <v>29</v>
      </c>
      <c r="J613" s="23">
        <f t="shared" si="89"/>
        <v>61</v>
      </c>
    </row>
    <row r="614" spans="2:10" x14ac:dyDescent="0.25">
      <c r="B614" s="2">
        <v>6</v>
      </c>
      <c r="C614" s="4" t="s">
        <v>43</v>
      </c>
      <c r="D614" s="22">
        <v>30</v>
      </c>
      <c r="E614" s="22">
        <v>16</v>
      </c>
      <c r="F614" s="22">
        <v>5</v>
      </c>
      <c r="G614" s="22">
        <f t="shared" si="88"/>
        <v>9</v>
      </c>
      <c r="H614" s="22">
        <v>73</v>
      </c>
      <c r="I614" s="22">
        <v>30</v>
      </c>
      <c r="J614" s="23">
        <f t="shared" si="89"/>
        <v>53</v>
      </c>
    </row>
    <row r="615" spans="2:10" x14ac:dyDescent="0.25">
      <c r="B615" s="2">
        <v>7</v>
      </c>
      <c r="C615" s="4" t="s">
        <v>33</v>
      </c>
      <c r="D615" s="22">
        <v>30</v>
      </c>
      <c r="E615" s="22">
        <v>13</v>
      </c>
      <c r="F615" s="22">
        <v>7</v>
      </c>
      <c r="G615" s="22">
        <f t="shared" si="88"/>
        <v>10</v>
      </c>
      <c r="H615" s="22">
        <v>71</v>
      </c>
      <c r="I615" s="22">
        <v>39</v>
      </c>
      <c r="J615" s="23">
        <f t="shared" si="89"/>
        <v>46</v>
      </c>
    </row>
    <row r="616" spans="2:10" x14ac:dyDescent="0.25">
      <c r="B616" s="2">
        <v>8</v>
      </c>
      <c r="C616" s="4" t="s">
        <v>25</v>
      </c>
      <c r="D616" s="22">
        <v>30</v>
      </c>
      <c r="E616" s="22">
        <v>13</v>
      </c>
      <c r="F616" s="22">
        <v>6</v>
      </c>
      <c r="G616" s="22">
        <f t="shared" si="88"/>
        <v>11</v>
      </c>
      <c r="H616" s="22">
        <v>74</v>
      </c>
      <c r="I616" s="22">
        <v>50</v>
      </c>
      <c r="J616" s="23">
        <f t="shared" si="89"/>
        <v>45</v>
      </c>
    </row>
    <row r="617" spans="2:10" x14ac:dyDescent="0.25">
      <c r="B617" s="2">
        <v>9</v>
      </c>
      <c r="C617" s="4" t="s">
        <v>9</v>
      </c>
      <c r="D617" s="22">
        <v>30</v>
      </c>
      <c r="E617" s="22">
        <v>10</v>
      </c>
      <c r="F617" s="22">
        <v>7</v>
      </c>
      <c r="G617" s="22">
        <f t="shared" si="88"/>
        <v>13</v>
      </c>
      <c r="H617" s="22">
        <v>64</v>
      </c>
      <c r="I617" s="22">
        <v>45</v>
      </c>
      <c r="J617" s="23">
        <f t="shared" si="89"/>
        <v>37</v>
      </c>
    </row>
    <row r="618" spans="2:10" x14ac:dyDescent="0.25">
      <c r="B618" s="2">
        <v>10</v>
      </c>
      <c r="C618" s="4" t="s">
        <v>4</v>
      </c>
      <c r="D618" s="22">
        <v>30</v>
      </c>
      <c r="E618" s="22">
        <v>10</v>
      </c>
      <c r="F618" s="22">
        <v>7</v>
      </c>
      <c r="G618" s="22">
        <f t="shared" si="88"/>
        <v>13</v>
      </c>
      <c r="H618" s="22">
        <v>52</v>
      </c>
      <c r="I618" s="22">
        <v>56</v>
      </c>
      <c r="J618" s="23">
        <f t="shared" si="89"/>
        <v>37</v>
      </c>
    </row>
    <row r="619" spans="2:10" x14ac:dyDescent="0.25">
      <c r="B619" s="2">
        <v>11</v>
      </c>
      <c r="C619" s="4" t="s">
        <v>3</v>
      </c>
      <c r="D619" s="22">
        <v>30</v>
      </c>
      <c r="E619" s="22">
        <v>10</v>
      </c>
      <c r="F619" s="22">
        <v>5</v>
      </c>
      <c r="G619" s="22">
        <f t="shared" si="88"/>
        <v>15</v>
      </c>
      <c r="H619" s="22">
        <v>52</v>
      </c>
      <c r="I619" s="22">
        <v>58</v>
      </c>
      <c r="J619" s="23">
        <f t="shared" si="89"/>
        <v>35</v>
      </c>
    </row>
    <row r="620" spans="2:10" x14ac:dyDescent="0.25">
      <c r="B620" s="2">
        <v>12</v>
      </c>
      <c r="C620" s="4" t="s">
        <v>45</v>
      </c>
      <c r="D620" s="22">
        <v>30</v>
      </c>
      <c r="E620" s="22">
        <v>9</v>
      </c>
      <c r="F620" s="22">
        <v>4</v>
      </c>
      <c r="G620" s="22">
        <f t="shared" si="88"/>
        <v>17</v>
      </c>
      <c r="H620" s="22">
        <v>45</v>
      </c>
      <c r="I620" s="22">
        <v>57</v>
      </c>
      <c r="J620" s="23">
        <f t="shared" si="89"/>
        <v>31</v>
      </c>
    </row>
    <row r="621" spans="2:10" x14ac:dyDescent="0.25">
      <c r="B621" s="2">
        <v>13</v>
      </c>
      <c r="C621" s="4" t="s">
        <v>41</v>
      </c>
      <c r="D621" s="22">
        <v>30</v>
      </c>
      <c r="E621" s="22">
        <v>9</v>
      </c>
      <c r="F621" s="22">
        <v>4</v>
      </c>
      <c r="G621" s="22">
        <f t="shared" si="88"/>
        <v>17</v>
      </c>
      <c r="H621" s="22">
        <v>57</v>
      </c>
      <c r="I621" s="22">
        <v>73</v>
      </c>
      <c r="J621" s="23">
        <f t="shared" si="89"/>
        <v>31</v>
      </c>
    </row>
    <row r="622" spans="2:10" x14ac:dyDescent="0.25">
      <c r="B622" s="2">
        <v>14</v>
      </c>
      <c r="C622" s="4" t="s">
        <v>38</v>
      </c>
      <c r="D622" s="22">
        <v>30</v>
      </c>
      <c r="E622" s="22">
        <v>3</v>
      </c>
      <c r="F622" s="22">
        <v>1</v>
      </c>
      <c r="G622" s="22">
        <f t="shared" si="88"/>
        <v>26</v>
      </c>
      <c r="H622" s="22">
        <v>23</v>
      </c>
      <c r="I622" s="22">
        <v>122</v>
      </c>
      <c r="J622" s="23">
        <f t="shared" si="89"/>
        <v>10</v>
      </c>
    </row>
    <row r="623" spans="2:10" x14ac:dyDescent="0.25">
      <c r="B623" s="2">
        <v>15</v>
      </c>
      <c r="C623" s="4" t="s">
        <v>34</v>
      </c>
      <c r="D623" s="22">
        <v>21</v>
      </c>
      <c r="E623" s="22">
        <v>2</v>
      </c>
      <c r="F623" s="22">
        <v>0</v>
      </c>
      <c r="G623" s="22">
        <f t="shared" si="88"/>
        <v>19</v>
      </c>
      <c r="H623" s="22">
        <v>5</v>
      </c>
      <c r="I623" s="22">
        <v>177</v>
      </c>
      <c r="J623" s="23">
        <f t="shared" si="89"/>
        <v>6</v>
      </c>
    </row>
    <row r="624" spans="2:10" x14ac:dyDescent="0.25">
      <c r="B624" s="2">
        <v>16</v>
      </c>
      <c r="C624" s="4" t="s">
        <v>34</v>
      </c>
      <c r="D624" s="22">
        <v>14</v>
      </c>
      <c r="E624" s="22">
        <v>1</v>
      </c>
      <c r="F624" s="22">
        <v>0</v>
      </c>
      <c r="G624" s="22">
        <f t="shared" si="88"/>
        <v>13</v>
      </c>
      <c r="H624" s="22">
        <v>3</v>
      </c>
      <c r="I624" s="22">
        <v>123</v>
      </c>
      <c r="J624" s="23">
        <f t="shared" si="89"/>
        <v>3</v>
      </c>
    </row>
    <row r="625" spans="2:10" x14ac:dyDescent="0.25">
      <c r="B625" s="2"/>
      <c r="C625" s="2"/>
      <c r="D625" s="22"/>
      <c r="E625" s="22"/>
      <c r="F625" s="22"/>
      <c r="G625" s="22"/>
      <c r="H625" s="22"/>
      <c r="I625" s="22"/>
      <c r="J625" s="22"/>
    </row>
    <row r="626" spans="2:10" x14ac:dyDescent="0.25">
      <c r="B626" s="53" t="s">
        <v>42</v>
      </c>
      <c r="C626" s="53"/>
      <c r="D626" s="53"/>
      <c r="E626" s="53"/>
      <c r="F626" s="53"/>
      <c r="G626" s="53"/>
      <c r="H626" s="53"/>
      <c r="I626" s="53"/>
      <c r="J626" s="53"/>
    </row>
    <row r="627" spans="2:10" x14ac:dyDescent="0.25">
      <c r="B627" s="2">
        <v>1</v>
      </c>
      <c r="C627" s="4" t="s">
        <v>43</v>
      </c>
      <c r="D627" s="22">
        <v>30</v>
      </c>
      <c r="E627" s="22">
        <v>21</v>
      </c>
      <c r="F627" s="22">
        <v>7</v>
      </c>
      <c r="G627" s="22">
        <f>D627-E627-F627</f>
        <v>2</v>
      </c>
      <c r="H627" s="22">
        <v>73</v>
      </c>
      <c r="I627" s="22">
        <v>21</v>
      </c>
      <c r="J627" s="23">
        <f>E627*3+F627*1</f>
        <v>70</v>
      </c>
    </row>
    <row r="628" spans="2:10" x14ac:dyDescent="0.25">
      <c r="B628" s="2">
        <v>2</v>
      </c>
      <c r="C628" s="4" t="s">
        <v>24</v>
      </c>
      <c r="D628" s="22">
        <v>30</v>
      </c>
      <c r="E628" s="22">
        <v>21</v>
      </c>
      <c r="F628" s="22">
        <v>6</v>
      </c>
      <c r="G628" s="22">
        <f t="shared" ref="G628:G642" si="90">D628-E628-F628</f>
        <v>3</v>
      </c>
      <c r="H628" s="22">
        <v>69</v>
      </c>
      <c r="I628" s="22">
        <v>17</v>
      </c>
      <c r="J628" s="23">
        <f t="shared" ref="J628:J642" si="91">E628*3+F628*1</f>
        <v>69</v>
      </c>
    </row>
    <row r="629" spans="2:10" x14ac:dyDescent="0.25">
      <c r="B629" s="2">
        <v>3</v>
      </c>
      <c r="C629" s="4" t="s">
        <v>18</v>
      </c>
      <c r="D629" s="22">
        <v>30</v>
      </c>
      <c r="E629" s="22">
        <v>21</v>
      </c>
      <c r="F629" s="22">
        <v>4</v>
      </c>
      <c r="G629" s="22">
        <f t="shared" si="90"/>
        <v>5</v>
      </c>
      <c r="H629" s="22">
        <v>92</v>
      </c>
      <c r="I629" s="22">
        <v>32</v>
      </c>
      <c r="J629" s="23">
        <f t="shared" si="91"/>
        <v>67</v>
      </c>
    </row>
    <row r="630" spans="2:10" x14ac:dyDescent="0.25">
      <c r="B630" s="2">
        <v>4</v>
      </c>
      <c r="C630" s="4" t="s">
        <v>23</v>
      </c>
      <c r="D630" s="22">
        <v>30</v>
      </c>
      <c r="E630" s="22">
        <v>15</v>
      </c>
      <c r="F630" s="22">
        <v>8</v>
      </c>
      <c r="G630" s="22">
        <f t="shared" si="90"/>
        <v>7</v>
      </c>
      <c r="H630" s="22">
        <v>60</v>
      </c>
      <c r="I630" s="22">
        <v>27</v>
      </c>
      <c r="J630" s="23">
        <f t="shared" si="91"/>
        <v>53</v>
      </c>
    </row>
    <row r="631" spans="2:10" x14ac:dyDescent="0.25">
      <c r="B631" s="2">
        <v>5</v>
      </c>
      <c r="C631" s="4" t="s">
        <v>0</v>
      </c>
      <c r="D631" s="22">
        <v>30</v>
      </c>
      <c r="E631" s="22">
        <v>15</v>
      </c>
      <c r="F631" s="22">
        <v>6</v>
      </c>
      <c r="G631" s="22">
        <f t="shared" si="90"/>
        <v>9</v>
      </c>
      <c r="H631" s="22">
        <v>73</v>
      </c>
      <c r="I631" s="22">
        <v>36</v>
      </c>
      <c r="J631" s="23">
        <f t="shared" si="91"/>
        <v>51</v>
      </c>
    </row>
    <row r="632" spans="2:10" x14ac:dyDescent="0.25">
      <c r="B632" s="2">
        <v>6</v>
      </c>
      <c r="C632" s="4" t="s">
        <v>33</v>
      </c>
      <c r="D632" s="22">
        <v>30</v>
      </c>
      <c r="E632" s="22">
        <v>14</v>
      </c>
      <c r="F632" s="22">
        <v>5</v>
      </c>
      <c r="G632" s="22">
        <f t="shared" si="90"/>
        <v>11</v>
      </c>
      <c r="H632" s="22">
        <v>53</v>
      </c>
      <c r="I632" s="22">
        <v>36</v>
      </c>
      <c r="J632" s="23">
        <f t="shared" si="91"/>
        <v>47</v>
      </c>
    </row>
    <row r="633" spans="2:10" x14ac:dyDescent="0.25">
      <c r="B633" s="2">
        <v>7</v>
      </c>
      <c r="C633" s="4" t="s">
        <v>27</v>
      </c>
      <c r="D633" s="22">
        <v>30</v>
      </c>
      <c r="E633" s="22">
        <v>11</v>
      </c>
      <c r="F633" s="22">
        <v>10</v>
      </c>
      <c r="G633" s="22">
        <f t="shared" si="90"/>
        <v>9</v>
      </c>
      <c r="H633" s="22">
        <v>47</v>
      </c>
      <c r="I633" s="22">
        <v>27</v>
      </c>
      <c r="J633" s="23">
        <f t="shared" si="91"/>
        <v>43</v>
      </c>
    </row>
    <row r="634" spans="2:10" x14ac:dyDescent="0.25">
      <c r="B634" s="2">
        <v>8</v>
      </c>
      <c r="C634" s="4" t="s">
        <v>4</v>
      </c>
      <c r="D634" s="22">
        <v>30</v>
      </c>
      <c r="E634" s="22">
        <v>12</v>
      </c>
      <c r="F634" s="22">
        <v>5</v>
      </c>
      <c r="G634" s="22">
        <f t="shared" si="90"/>
        <v>13</v>
      </c>
      <c r="H634" s="22">
        <v>48</v>
      </c>
      <c r="I634" s="22">
        <v>46</v>
      </c>
      <c r="J634" s="23">
        <f t="shared" si="91"/>
        <v>41</v>
      </c>
    </row>
    <row r="635" spans="2:10" x14ac:dyDescent="0.25">
      <c r="B635" s="2">
        <v>9</v>
      </c>
      <c r="C635" s="4" t="s">
        <v>32</v>
      </c>
      <c r="D635" s="22">
        <v>30</v>
      </c>
      <c r="E635" s="22">
        <v>11</v>
      </c>
      <c r="F635" s="22">
        <v>7</v>
      </c>
      <c r="G635" s="22">
        <f t="shared" si="90"/>
        <v>12</v>
      </c>
      <c r="H635" s="22">
        <v>50</v>
      </c>
      <c r="I635" s="22">
        <v>42</v>
      </c>
      <c r="J635" s="23">
        <f t="shared" si="91"/>
        <v>40</v>
      </c>
    </row>
    <row r="636" spans="2:10" x14ac:dyDescent="0.25">
      <c r="B636" s="2">
        <v>10</v>
      </c>
      <c r="C636" s="4" t="s">
        <v>9</v>
      </c>
      <c r="D636" s="22">
        <v>30</v>
      </c>
      <c r="E636" s="22">
        <v>11</v>
      </c>
      <c r="F636" s="22">
        <v>5</v>
      </c>
      <c r="G636" s="22">
        <f t="shared" si="90"/>
        <v>14</v>
      </c>
      <c r="H636" s="22">
        <v>42</v>
      </c>
      <c r="I636" s="22">
        <v>40</v>
      </c>
      <c r="J636" s="23">
        <f t="shared" si="91"/>
        <v>38</v>
      </c>
    </row>
    <row r="637" spans="2:10" x14ac:dyDescent="0.25">
      <c r="B637" s="2">
        <v>11</v>
      </c>
      <c r="C637" s="4" t="s">
        <v>3</v>
      </c>
      <c r="D637" s="22">
        <v>30</v>
      </c>
      <c r="E637" s="22">
        <v>10</v>
      </c>
      <c r="F637" s="22">
        <v>4</v>
      </c>
      <c r="G637" s="22">
        <f t="shared" si="90"/>
        <v>16</v>
      </c>
      <c r="H637" s="22">
        <v>41</v>
      </c>
      <c r="I637" s="22">
        <v>54</v>
      </c>
      <c r="J637" s="23">
        <f t="shared" si="91"/>
        <v>34</v>
      </c>
    </row>
    <row r="638" spans="2:10" x14ac:dyDescent="0.25">
      <c r="B638" s="2">
        <v>12</v>
      </c>
      <c r="C638" s="4" t="s">
        <v>25</v>
      </c>
      <c r="D638" s="22">
        <v>30</v>
      </c>
      <c r="E638" s="22">
        <v>9</v>
      </c>
      <c r="F638" s="22">
        <v>6</v>
      </c>
      <c r="G638" s="22">
        <f t="shared" si="90"/>
        <v>15</v>
      </c>
      <c r="H638" s="22">
        <v>44</v>
      </c>
      <c r="I638" s="22">
        <v>51</v>
      </c>
      <c r="J638" s="23">
        <f t="shared" si="91"/>
        <v>33</v>
      </c>
    </row>
    <row r="639" spans="2:10" x14ac:dyDescent="0.25">
      <c r="B639" s="2">
        <v>13</v>
      </c>
      <c r="C639" s="4" t="s">
        <v>41</v>
      </c>
      <c r="D639" s="22">
        <v>30</v>
      </c>
      <c r="E639" s="22">
        <v>9</v>
      </c>
      <c r="F639" s="22">
        <v>4</v>
      </c>
      <c r="G639" s="22">
        <f t="shared" si="90"/>
        <v>17</v>
      </c>
      <c r="H639" s="22">
        <v>42</v>
      </c>
      <c r="I639" s="22">
        <v>53</v>
      </c>
      <c r="J639" s="23">
        <f t="shared" si="91"/>
        <v>31</v>
      </c>
    </row>
    <row r="640" spans="2:10" x14ac:dyDescent="0.25">
      <c r="B640" s="2">
        <v>14</v>
      </c>
      <c r="C640" s="4" t="s">
        <v>38</v>
      </c>
      <c r="D640" s="22">
        <v>30</v>
      </c>
      <c r="E640" s="22">
        <v>4</v>
      </c>
      <c r="F640" s="22">
        <v>3</v>
      </c>
      <c r="G640" s="22">
        <f t="shared" si="90"/>
        <v>23</v>
      </c>
      <c r="H640" s="22">
        <v>26</v>
      </c>
      <c r="I640" s="22">
        <v>88</v>
      </c>
      <c r="J640" s="23">
        <f t="shared" si="91"/>
        <v>15</v>
      </c>
    </row>
    <row r="641" spans="2:10" x14ac:dyDescent="0.25">
      <c r="B641" s="2">
        <v>15</v>
      </c>
      <c r="C641" s="4" t="s">
        <v>34</v>
      </c>
      <c r="D641" s="22">
        <v>0</v>
      </c>
      <c r="E641" s="22">
        <v>0</v>
      </c>
      <c r="F641" s="22">
        <v>0</v>
      </c>
      <c r="G641" s="22">
        <f t="shared" si="90"/>
        <v>0</v>
      </c>
      <c r="H641" s="22">
        <v>0</v>
      </c>
      <c r="I641" s="22">
        <v>0</v>
      </c>
      <c r="J641" s="23">
        <f t="shared" si="91"/>
        <v>0</v>
      </c>
    </row>
    <row r="642" spans="2:10" x14ac:dyDescent="0.25">
      <c r="B642" s="2">
        <v>16</v>
      </c>
      <c r="C642" s="4" t="s">
        <v>34</v>
      </c>
      <c r="D642" s="22">
        <v>18</v>
      </c>
      <c r="E642" s="22">
        <v>0</v>
      </c>
      <c r="F642" s="22">
        <v>0</v>
      </c>
      <c r="G642" s="22">
        <f t="shared" si="90"/>
        <v>18</v>
      </c>
      <c r="H642" s="22">
        <v>0</v>
      </c>
      <c r="I642" s="22">
        <v>180</v>
      </c>
      <c r="J642" s="23">
        <f t="shared" si="91"/>
        <v>0</v>
      </c>
    </row>
    <row r="643" spans="2:10" x14ac:dyDescent="0.25">
      <c r="B643" s="2"/>
      <c r="C643" s="2"/>
      <c r="D643" s="22"/>
      <c r="E643" s="22"/>
      <c r="F643" s="22"/>
      <c r="G643" s="22"/>
      <c r="H643" s="22"/>
      <c r="I643" s="22"/>
      <c r="J643" s="22"/>
    </row>
    <row r="644" spans="2:10" x14ac:dyDescent="0.25">
      <c r="B644" s="53" t="s">
        <v>40</v>
      </c>
      <c r="C644" s="53"/>
      <c r="D644" s="53"/>
      <c r="E644" s="53"/>
      <c r="F644" s="53"/>
      <c r="G644" s="53"/>
      <c r="H644" s="53"/>
      <c r="I644" s="53"/>
      <c r="J644" s="53"/>
    </row>
    <row r="645" spans="2:10" x14ac:dyDescent="0.25">
      <c r="B645" s="2">
        <v>1</v>
      </c>
      <c r="C645" s="4" t="s">
        <v>23</v>
      </c>
      <c r="D645" s="22">
        <v>30</v>
      </c>
      <c r="E645" s="22">
        <v>21</v>
      </c>
      <c r="F645" s="22">
        <v>3</v>
      </c>
      <c r="G645" s="22">
        <f>D645-E645-F645</f>
        <v>6</v>
      </c>
      <c r="H645" s="22">
        <v>86</v>
      </c>
      <c r="I645" s="22">
        <v>34</v>
      </c>
      <c r="J645" s="23">
        <f>E645*3+F645*1</f>
        <v>66</v>
      </c>
    </row>
    <row r="646" spans="2:10" x14ac:dyDescent="0.25">
      <c r="B646" s="2">
        <v>2</v>
      </c>
      <c r="C646" s="4" t="s">
        <v>24</v>
      </c>
      <c r="D646" s="22">
        <v>30</v>
      </c>
      <c r="E646" s="22">
        <v>19</v>
      </c>
      <c r="F646" s="22">
        <v>5</v>
      </c>
      <c r="G646" s="22">
        <f t="shared" ref="G646:G660" si="92">D646-E646-F646</f>
        <v>6</v>
      </c>
      <c r="H646" s="22">
        <v>70</v>
      </c>
      <c r="I646" s="22">
        <v>33</v>
      </c>
      <c r="J646" s="23">
        <f t="shared" ref="J646:J660" si="93">E646*3+F646*1</f>
        <v>62</v>
      </c>
    </row>
    <row r="647" spans="2:10" x14ac:dyDescent="0.25">
      <c r="B647" s="2">
        <v>3</v>
      </c>
      <c r="C647" s="4" t="s">
        <v>18</v>
      </c>
      <c r="D647" s="22">
        <v>30</v>
      </c>
      <c r="E647" s="22">
        <v>16</v>
      </c>
      <c r="F647" s="22">
        <v>6</v>
      </c>
      <c r="G647" s="22">
        <f t="shared" si="92"/>
        <v>8</v>
      </c>
      <c r="H647" s="22">
        <v>89</v>
      </c>
      <c r="I647" s="22">
        <v>53</v>
      </c>
      <c r="J647" s="23">
        <f t="shared" si="93"/>
        <v>54</v>
      </c>
    </row>
    <row r="648" spans="2:10" x14ac:dyDescent="0.25">
      <c r="B648" s="2">
        <v>4</v>
      </c>
      <c r="C648" s="4" t="s">
        <v>32</v>
      </c>
      <c r="D648" s="22">
        <v>30</v>
      </c>
      <c r="E648" s="22">
        <v>13</v>
      </c>
      <c r="F648" s="22">
        <v>8</v>
      </c>
      <c r="G648" s="22">
        <f t="shared" si="92"/>
        <v>9</v>
      </c>
      <c r="H648" s="22">
        <v>63</v>
      </c>
      <c r="I648" s="22">
        <v>42</v>
      </c>
      <c r="J648" s="23">
        <f t="shared" si="93"/>
        <v>47</v>
      </c>
    </row>
    <row r="649" spans="2:10" x14ac:dyDescent="0.25">
      <c r="B649" s="2">
        <v>5</v>
      </c>
      <c r="C649" s="4" t="s">
        <v>27</v>
      </c>
      <c r="D649" s="22">
        <v>30</v>
      </c>
      <c r="E649" s="22">
        <v>14</v>
      </c>
      <c r="F649" s="22">
        <v>5</v>
      </c>
      <c r="G649" s="22">
        <f t="shared" si="92"/>
        <v>11</v>
      </c>
      <c r="H649" s="22">
        <v>61</v>
      </c>
      <c r="I649" s="22">
        <v>45</v>
      </c>
      <c r="J649" s="23">
        <f t="shared" si="93"/>
        <v>47</v>
      </c>
    </row>
    <row r="650" spans="2:10" x14ac:dyDescent="0.25">
      <c r="B650" s="2">
        <v>6</v>
      </c>
      <c r="C650" s="4" t="s">
        <v>0</v>
      </c>
      <c r="D650" s="22">
        <v>30</v>
      </c>
      <c r="E650" s="22">
        <v>14</v>
      </c>
      <c r="F650" s="22">
        <v>4</v>
      </c>
      <c r="G650" s="22">
        <f t="shared" si="92"/>
        <v>12</v>
      </c>
      <c r="H650" s="22">
        <v>67</v>
      </c>
      <c r="I650" s="22">
        <v>43</v>
      </c>
      <c r="J650" s="23">
        <f t="shared" si="93"/>
        <v>46</v>
      </c>
    </row>
    <row r="651" spans="2:10" x14ac:dyDescent="0.25">
      <c r="B651" s="2">
        <v>7</v>
      </c>
      <c r="C651" s="4" t="s">
        <v>33</v>
      </c>
      <c r="D651" s="22">
        <v>30</v>
      </c>
      <c r="E651" s="22">
        <v>13</v>
      </c>
      <c r="F651" s="22">
        <v>6</v>
      </c>
      <c r="G651" s="22">
        <f t="shared" si="92"/>
        <v>11</v>
      </c>
      <c r="H651" s="22">
        <v>67</v>
      </c>
      <c r="I651" s="22">
        <v>47</v>
      </c>
      <c r="J651" s="23">
        <f t="shared" si="93"/>
        <v>45</v>
      </c>
    </row>
    <row r="652" spans="2:10" x14ac:dyDescent="0.25">
      <c r="B652" s="2">
        <v>8</v>
      </c>
      <c r="C652" s="4" t="s">
        <v>3</v>
      </c>
      <c r="D652" s="22">
        <v>30</v>
      </c>
      <c r="E652" s="22">
        <v>11</v>
      </c>
      <c r="F652" s="22">
        <v>9</v>
      </c>
      <c r="G652" s="22">
        <f t="shared" si="92"/>
        <v>10</v>
      </c>
      <c r="H652" s="22">
        <v>54</v>
      </c>
      <c r="I652" s="22">
        <v>53</v>
      </c>
      <c r="J652" s="23">
        <f t="shared" si="93"/>
        <v>42</v>
      </c>
    </row>
    <row r="653" spans="2:10" x14ac:dyDescent="0.25">
      <c r="B653" s="2">
        <v>9</v>
      </c>
      <c r="C653" s="4" t="s">
        <v>28</v>
      </c>
      <c r="D653" s="22">
        <v>30</v>
      </c>
      <c r="E653" s="22">
        <v>10</v>
      </c>
      <c r="F653" s="22">
        <v>10</v>
      </c>
      <c r="G653" s="22">
        <f t="shared" si="92"/>
        <v>10</v>
      </c>
      <c r="H653" s="22">
        <v>38</v>
      </c>
      <c r="I653" s="22">
        <v>43</v>
      </c>
      <c r="J653" s="23">
        <f t="shared" si="93"/>
        <v>40</v>
      </c>
    </row>
    <row r="654" spans="2:10" x14ac:dyDescent="0.25">
      <c r="B654" s="2">
        <v>10</v>
      </c>
      <c r="C654" s="4" t="s">
        <v>25</v>
      </c>
      <c r="D654" s="22">
        <v>30</v>
      </c>
      <c r="E654" s="22">
        <v>11</v>
      </c>
      <c r="F654" s="22">
        <v>5</v>
      </c>
      <c r="G654" s="22">
        <f t="shared" si="92"/>
        <v>14</v>
      </c>
      <c r="H654" s="22">
        <v>58</v>
      </c>
      <c r="I654" s="22">
        <v>48</v>
      </c>
      <c r="J654" s="23">
        <f t="shared" si="93"/>
        <v>38</v>
      </c>
    </row>
    <row r="655" spans="2:10" x14ac:dyDescent="0.25">
      <c r="B655" s="2">
        <v>11</v>
      </c>
      <c r="C655" s="4" t="s">
        <v>38</v>
      </c>
      <c r="D655" s="22">
        <v>30</v>
      </c>
      <c r="E655" s="22">
        <v>12</v>
      </c>
      <c r="F655" s="22">
        <v>1</v>
      </c>
      <c r="G655" s="22">
        <f t="shared" si="92"/>
        <v>17</v>
      </c>
      <c r="H655" s="22">
        <v>44</v>
      </c>
      <c r="I655" s="22">
        <v>57</v>
      </c>
      <c r="J655" s="23">
        <f t="shared" si="93"/>
        <v>37</v>
      </c>
    </row>
    <row r="656" spans="2:10" x14ac:dyDescent="0.25">
      <c r="B656" s="2">
        <v>12</v>
      </c>
      <c r="C656" s="4" t="s">
        <v>6</v>
      </c>
      <c r="D656" s="22">
        <v>30</v>
      </c>
      <c r="E656" s="22">
        <v>9</v>
      </c>
      <c r="F656" s="22">
        <v>9</v>
      </c>
      <c r="G656" s="22">
        <f t="shared" si="92"/>
        <v>12</v>
      </c>
      <c r="H656" s="22">
        <v>48</v>
      </c>
      <c r="I656" s="22">
        <v>52</v>
      </c>
      <c r="J656" s="23">
        <f t="shared" si="93"/>
        <v>36</v>
      </c>
    </row>
    <row r="657" spans="2:10" x14ac:dyDescent="0.25">
      <c r="B657" s="2">
        <v>13</v>
      </c>
      <c r="C657" s="4" t="s">
        <v>4</v>
      </c>
      <c r="D657" s="22">
        <v>30</v>
      </c>
      <c r="E657" s="22">
        <v>9</v>
      </c>
      <c r="F657" s="22">
        <v>6</v>
      </c>
      <c r="G657" s="22">
        <f t="shared" si="92"/>
        <v>15</v>
      </c>
      <c r="H657" s="22">
        <v>33</v>
      </c>
      <c r="I657" s="22">
        <v>48</v>
      </c>
      <c r="J657" s="23">
        <f t="shared" si="93"/>
        <v>33</v>
      </c>
    </row>
    <row r="658" spans="2:10" x14ac:dyDescent="0.25">
      <c r="B658" s="2">
        <v>14</v>
      </c>
      <c r="C658" s="4" t="s">
        <v>41</v>
      </c>
      <c r="D658" s="22">
        <v>30</v>
      </c>
      <c r="E658" s="22">
        <v>7</v>
      </c>
      <c r="F658" s="22">
        <v>7</v>
      </c>
      <c r="G658" s="22">
        <f t="shared" si="92"/>
        <v>16</v>
      </c>
      <c r="H658" s="22">
        <v>44</v>
      </c>
      <c r="I658" s="22">
        <v>73</v>
      </c>
      <c r="J658" s="23">
        <f t="shared" si="93"/>
        <v>28</v>
      </c>
    </row>
    <row r="659" spans="2:10" x14ac:dyDescent="0.25">
      <c r="B659" s="2">
        <v>15</v>
      </c>
      <c r="C659" s="4" t="s">
        <v>34</v>
      </c>
      <c r="D659" s="22">
        <v>27</v>
      </c>
      <c r="E659" s="22">
        <v>3</v>
      </c>
      <c r="F659" s="22">
        <v>0</v>
      </c>
      <c r="G659" s="22">
        <f t="shared" si="92"/>
        <v>24</v>
      </c>
      <c r="H659" s="22">
        <v>11</v>
      </c>
      <c r="I659" s="22">
        <v>167</v>
      </c>
      <c r="J659" s="23">
        <f t="shared" si="93"/>
        <v>9</v>
      </c>
    </row>
    <row r="660" spans="2:10" x14ac:dyDescent="0.25">
      <c r="B660" s="2">
        <v>16</v>
      </c>
      <c r="C660" s="4" t="s">
        <v>34</v>
      </c>
      <c r="D660" s="22">
        <v>0</v>
      </c>
      <c r="E660" s="22">
        <v>0</v>
      </c>
      <c r="F660" s="22">
        <v>0</v>
      </c>
      <c r="G660" s="22">
        <f t="shared" si="92"/>
        <v>0</v>
      </c>
      <c r="H660" s="22">
        <v>0</v>
      </c>
      <c r="I660" s="22">
        <v>0</v>
      </c>
      <c r="J660" s="23">
        <f t="shared" si="93"/>
        <v>0</v>
      </c>
    </row>
    <row r="661" spans="2:10" x14ac:dyDescent="0.25">
      <c r="B661" s="2"/>
      <c r="C661" s="2"/>
      <c r="D661" s="22"/>
      <c r="E661" s="22"/>
      <c r="F661" s="22"/>
      <c r="G661" s="22"/>
      <c r="H661" s="22"/>
      <c r="I661" s="22"/>
      <c r="J661" s="22"/>
    </row>
    <row r="662" spans="2:10" x14ac:dyDescent="0.25">
      <c r="B662" s="53" t="s">
        <v>37</v>
      </c>
      <c r="C662" s="53"/>
      <c r="D662" s="53"/>
      <c r="E662" s="53"/>
      <c r="F662" s="53"/>
      <c r="G662" s="53"/>
      <c r="H662" s="53"/>
      <c r="I662" s="53"/>
      <c r="J662" s="53"/>
    </row>
    <row r="663" spans="2:10" x14ac:dyDescent="0.25">
      <c r="B663" s="2">
        <v>1</v>
      </c>
      <c r="C663" s="4" t="s">
        <v>6</v>
      </c>
      <c r="D663" s="22">
        <v>30</v>
      </c>
      <c r="E663" s="22">
        <v>19</v>
      </c>
      <c r="F663" s="22">
        <v>2</v>
      </c>
      <c r="G663" s="22">
        <f>D663-E663-F663</f>
        <v>9</v>
      </c>
      <c r="H663" s="22">
        <v>58</v>
      </c>
      <c r="I663" s="22">
        <v>43</v>
      </c>
      <c r="J663" s="23">
        <f>E663*3+F663*1</f>
        <v>59</v>
      </c>
    </row>
    <row r="664" spans="2:10" x14ac:dyDescent="0.25">
      <c r="B664" s="2">
        <v>2</v>
      </c>
      <c r="C664" s="4" t="s">
        <v>0</v>
      </c>
      <c r="D664" s="22">
        <v>30</v>
      </c>
      <c r="E664" s="22">
        <v>18</v>
      </c>
      <c r="F664" s="22">
        <v>4</v>
      </c>
      <c r="G664" s="22">
        <f t="shared" ref="G664:G678" si="94">D664-E664-F664</f>
        <v>8</v>
      </c>
      <c r="H664" s="22">
        <v>57</v>
      </c>
      <c r="I664" s="22">
        <v>34</v>
      </c>
      <c r="J664" s="23">
        <f t="shared" ref="J664:J678" si="95">E664*3+F664*1</f>
        <v>58</v>
      </c>
    </row>
    <row r="665" spans="2:10" x14ac:dyDescent="0.25">
      <c r="B665" s="2">
        <v>3</v>
      </c>
      <c r="C665" s="4" t="s">
        <v>23</v>
      </c>
      <c r="D665" s="22">
        <v>30</v>
      </c>
      <c r="E665" s="22">
        <v>17</v>
      </c>
      <c r="F665" s="22">
        <v>7</v>
      </c>
      <c r="G665" s="22">
        <f t="shared" si="94"/>
        <v>6</v>
      </c>
      <c r="H665" s="22">
        <v>49</v>
      </c>
      <c r="I665" s="22">
        <v>30</v>
      </c>
      <c r="J665" s="23">
        <f t="shared" si="95"/>
        <v>58</v>
      </c>
    </row>
    <row r="666" spans="2:10" x14ac:dyDescent="0.25">
      <c r="B666" s="2">
        <v>4</v>
      </c>
      <c r="C666" s="4" t="s">
        <v>24</v>
      </c>
      <c r="D666" s="22">
        <v>30</v>
      </c>
      <c r="E666" s="22">
        <v>16</v>
      </c>
      <c r="F666" s="22">
        <v>6</v>
      </c>
      <c r="G666" s="22">
        <f t="shared" si="94"/>
        <v>8</v>
      </c>
      <c r="H666" s="22">
        <v>61</v>
      </c>
      <c r="I666" s="22">
        <v>36</v>
      </c>
      <c r="J666" s="23">
        <f t="shared" si="95"/>
        <v>54</v>
      </c>
    </row>
    <row r="667" spans="2:10" x14ac:dyDescent="0.25">
      <c r="B667" s="2">
        <v>5</v>
      </c>
      <c r="C667" s="4" t="s">
        <v>4</v>
      </c>
      <c r="D667" s="22">
        <v>30</v>
      </c>
      <c r="E667" s="22">
        <v>17</v>
      </c>
      <c r="F667" s="22">
        <v>3</v>
      </c>
      <c r="G667" s="22">
        <f t="shared" si="94"/>
        <v>10</v>
      </c>
      <c r="H667" s="22">
        <v>54</v>
      </c>
      <c r="I667" s="22">
        <v>48</v>
      </c>
      <c r="J667" s="23">
        <f t="shared" si="95"/>
        <v>54</v>
      </c>
    </row>
    <row r="668" spans="2:10" x14ac:dyDescent="0.25">
      <c r="B668" s="2">
        <v>6</v>
      </c>
      <c r="C668" s="4" t="s">
        <v>18</v>
      </c>
      <c r="D668" s="22">
        <v>30</v>
      </c>
      <c r="E668" s="22">
        <v>16</v>
      </c>
      <c r="F668" s="22">
        <v>5</v>
      </c>
      <c r="G668" s="22">
        <f t="shared" si="94"/>
        <v>9</v>
      </c>
      <c r="H668" s="22">
        <v>58</v>
      </c>
      <c r="I668" s="22">
        <v>43</v>
      </c>
      <c r="J668" s="23">
        <f t="shared" si="95"/>
        <v>53</v>
      </c>
    </row>
    <row r="669" spans="2:10" x14ac:dyDescent="0.25">
      <c r="B669" s="2">
        <v>7</v>
      </c>
      <c r="C669" s="4" t="s">
        <v>33</v>
      </c>
      <c r="D669" s="22">
        <v>30</v>
      </c>
      <c r="E669" s="22">
        <v>14</v>
      </c>
      <c r="F669" s="22">
        <v>6</v>
      </c>
      <c r="G669" s="22">
        <f t="shared" si="94"/>
        <v>10</v>
      </c>
      <c r="H669" s="22">
        <v>55</v>
      </c>
      <c r="I669" s="22">
        <v>51</v>
      </c>
      <c r="J669" s="23">
        <f t="shared" si="95"/>
        <v>48</v>
      </c>
    </row>
    <row r="670" spans="2:10" x14ac:dyDescent="0.25">
      <c r="B670" s="2">
        <v>8</v>
      </c>
      <c r="C670" s="4" t="s">
        <v>27</v>
      </c>
      <c r="D670" s="22">
        <v>30</v>
      </c>
      <c r="E670" s="22">
        <v>14</v>
      </c>
      <c r="F670" s="22">
        <v>4</v>
      </c>
      <c r="G670" s="22">
        <f t="shared" si="94"/>
        <v>12</v>
      </c>
      <c r="H670" s="22">
        <v>42</v>
      </c>
      <c r="I670" s="22">
        <v>47</v>
      </c>
      <c r="J670" s="23">
        <f t="shared" si="95"/>
        <v>46</v>
      </c>
    </row>
    <row r="671" spans="2:10" x14ac:dyDescent="0.25">
      <c r="B671" s="2">
        <v>9</v>
      </c>
      <c r="C671" s="4" t="s">
        <v>32</v>
      </c>
      <c r="D671" s="22">
        <v>30</v>
      </c>
      <c r="E671" s="22">
        <v>10</v>
      </c>
      <c r="F671" s="22">
        <v>10</v>
      </c>
      <c r="G671" s="22">
        <f t="shared" si="94"/>
        <v>10</v>
      </c>
      <c r="H671" s="22">
        <v>43</v>
      </c>
      <c r="I671" s="22">
        <v>33</v>
      </c>
      <c r="J671" s="23">
        <f t="shared" si="95"/>
        <v>40</v>
      </c>
    </row>
    <row r="672" spans="2:10" x14ac:dyDescent="0.25">
      <c r="B672" s="2">
        <v>10</v>
      </c>
      <c r="C672" s="4" t="s">
        <v>38</v>
      </c>
      <c r="D672" s="22">
        <v>30</v>
      </c>
      <c r="E672" s="22">
        <v>10</v>
      </c>
      <c r="F672" s="22">
        <v>6</v>
      </c>
      <c r="G672" s="22">
        <f t="shared" si="94"/>
        <v>14</v>
      </c>
      <c r="H672" s="22">
        <v>45</v>
      </c>
      <c r="I672" s="22">
        <v>55</v>
      </c>
      <c r="J672" s="23">
        <f t="shared" si="95"/>
        <v>36</v>
      </c>
    </row>
    <row r="673" spans="2:10" x14ac:dyDescent="0.25">
      <c r="B673" s="2">
        <v>11</v>
      </c>
      <c r="C673" s="4" t="s">
        <v>28</v>
      </c>
      <c r="D673" s="22">
        <v>30</v>
      </c>
      <c r="E673" s="22">
        <v>9</v>
      </c>
      <c r="F673" s="22">
        <v>6</v>
      </c>
      <c r="G673" s="22">
        <f t="shared" si="94"/>
        <v>15</v>
      </c>
      <c r="H673" s="22">
        <v>27</v>
      </c>
      <c r="I673" s="22">
        <v>44</v>
      </c>
      <c r="J673" s="23">
        <f t="shared" si="95"/>
        <v>33</v>
      </c>
    </row>
    <row r="674" spans="2:10" x14ac:dyDescent="0.25">
      <c r="B674" s="2">
        <v>12</v>
      </c>
      <c r="C674" s="4" t="s">
        <v>39</v>
      </c>
      <c r="D674" s="22">
        <v>30</v>
      </c>
      <c r="E674" s="22">
        <v>8</v>
      </c>
      <c r="F674" s="22">
        <v>7</v>
      </c>
      <c r="G674" s="22">
        <f t="shared" si="94"/>
        <v>15</v>
      </c>
      <c r="H674" s="22">
        <v>44</v>
      </c>
      <c r="I674" s="22">
        <v>55</v>
      </c>
      <c r="J674" s="23">
        <f t="shared" si="95"/>
        <v>31</v>
      </c>
    </row>
    <row r="675" spans="2:10" x14ac:dyDescent="0.25">
      <c r="B675" s="2">
        <v>13</v>
      </c>
      <c r="C675" s="4" t="s">
        <v>1</v>
      </c>
      <c r="D675" s="22">
        <v>30</v>
      </c>
      <c r="E675" s="22">
        <v>7</v>
      </c>
      <c r="F675" s="22">
        <v>9</v>
      </c>
      <c r="G675" s="22">
        <f t="shared" si="94"/>
        <v>14</v>
      </c>
      <c r="H675" s="22">
        <v>43</v>
      </c>
      <c r="I675" s="22">
        <v>51</v>
      </c>
      <c r="J675" s="23">
        <f t="shared" si="95"/>
        <v>30</v>
      </c>
    </row>
    <row r="676" spans="2:10" x14ac:dyDescent="0.25">
      <c r="B676" s="2">
        <v>14</v>
      </c>
      <c r="C676" s="4" t="s">
        <v>3</v>
      </c>
      <c r="D676" s="22">
        <v>30</v>
      </c>
      <c r="E676" s="22">
        <v>8</v>
      </c>
      <c r="F676" s="22">
        <v>6</v>
      </c>
      <c r="G676" s="22">
        <f t="shared" si="94"/>
        <v>16</v>
      </c>
      <c r="H676" s="22">
        <v>33</v>
      </c>
      <c r="I676" s="22">
        <v>48</v>
      </c>
      <c r="J676" s="23">
        <f t="shared" si="95"/>
        <v>30</v>
      </c>
    </row>
    <row r="677" spans="2:10" x14ac:dyDescent="0.25">
      <c r="B677" s="2">
        <v>15</v>
      </c>
      <c r="C677" s="4" t="s">
        <v>30</v>
      </c>
      <c r="D677" s="22">
        <v>30</v>
      </c>
      <c r="E677" s="22">
        <v>5</v>
      </c>
      <c r="F677" s="22">
        <v>7</v>
      </c>
      <c r="G677" s="22">
        <f t="shared" si="94"/>
        <v>18</v>
      </c>
      <c r="H677" s="22">
        <v>24</v>
      </c>
      <c r="I677" s="22">
        <v>50</v>
      </c>
      <c r="J677" s="23">
        <f t="shared" si="95"/>
        <v>22</v>
      </c>
    </row>
    <row r="678" spans="2:10" x14ac:dyDescent="0.25">
      <c r="B678" s="2">
        <v>16</v>
      </c>
      <c r="C678" s="4" t="s">
        <v>36</v>
      </c>
      <c r="D678" s="22">
        <v>30</v>
      </c>
      <c r="E678" s="22">
        <v>3</v>
      </c>
      <c r="F678" s="22">
        <v>10</v>
      </c>
      <c r="G678" s="22">
        <f t="shared" si="94"/>
        <v>17</v>
      </c>
      <c r="H678" s="22">
        <v>35</v>
      </c>
      <c r="I678" s="22">
        <v>60</v>
      </c>
      <c r="J678" s="23">
        <f t="shared" si="95"/>
        <v>19</v>
      </c>
    </row>
    <row r="679" spans="2:10" x14ac:dyDescent="0.25">
      <c r="B679" s="2"/>
      <c r="C679" s="2"/>
      <c r="D679" s="22"/>
      <c r="E679" s="22"/>
      <c r="F679" s="22"/>
      <c r="G679" s="22"/>
      <c r="H679" s="22"/>
      <c r="I679" s="22"/>
      <c r="J679" s="22"/>
    </row>
    <row r="680" spans="2:10" x14ac:dyDescent="0.25">
      <c r="B680" s="53" t="s">
        <v>35</v>
      </c>
      <c r="C680" s="53"/>
      <c r="D680" s="53"/>
      <c r="E680" s="53"/>
      <c r="F680" s="53"/>
      <c r="G680" s="53"/>
      <c r="H680" s="53"/>
      <c r="I680" s="53"/>
      <c r="J680" s="53"/>
    </row>
    <row r="681" spans="2:10" x14ac:dyDescent="0.25">
      <c r="B681" s="2">
        <v>1</v>
      </c>
      <c r="C681" s="4" t="s">
        <v>4</v>
      </c>
      <c r="D681" s="22">
        <v>30</v>
      </c>
      <c r="E681" s="22">
        <v>21</v>
      </c>
      <c r="F681" s="22">
        <v>5</v>
      </c>
      <c r="G681" s="22">
        <f>D681-E681-F681</f>
        <v>4</v>
      </c>
      <c r="H681" s="22">
        <v>60</v>
      </c>
      <c r="I681" s="22">
        <v>28</v>
      </c>
      <c r="J681" s="23">
        <f>E681*3+F681*1</f>
        <v>68</v>
      </c>
    </row>
    <row r="682" spans="2:10" x14ac:dyDescent="0.25">
      <c r="B682" s="2">
        <v>2</v>
      </c>
      <c r="C682" s="4" t="s">
        <v>0</v>
      </c>
      <c r="D682" s="22">
        <v>30</v>
      </c>
      <c r="E682" s="22">
        <v>17</v>
      </c>
      <c r="F682" s="22">
        <v>9</v>
      </c>
      <c r="G682" s="22">
        <f t="shared" ref="G682:G696" si="96">D682-E682-F682</f>
        <v>4</v>
      </c>
      <c r="H682" s="22">
        <v>60</v>
      </c>
      <c r="I682" s="22">
        <v>29</v>
      </c>
      <c r="J682" s="23">
        <f t="shared" ref="J682:J696" si="97">E682*3+F682*1</f>
        <v>60</v>
      </c>
    </row>
    <row r="683" spans="2:10" x14ac:dyDescent="0.25">
      <c r="B683" s="2">
        <v>3</v>
      </c>
      <c r="C683" s="4" t="s">
        <v>18</v>
      </c>
      <c r="D683" s="22">
        <v>30</v>
      </c>
      <c r="E683" s="22">
        <v>17</v>
      </c>
      <c r="F683" s="22">
        <v>9</v>
      </c>
      <c r="G683" s="22">
        <f t="shared" si="96"/>
        <v>4</v>
      </c>
      <c r="H683" s="22">
        <v>62</v>
      </c>
      <c r="I683" s="22">
        <v>35</v>
      </c>
      <c r="J683" s="23">
        <f t="shared" si="97"/>
        <v>60</v>
      </c>
    </row>
    <row r="684" spans="2:10" x14ac:dyDescent="0.25">
      <c r="B684" s="2">
        <v>4</v>
      </c>
      <c r="C684" s="4" t="s">
        <v>23</v>
      </c>
      <c r="D684" s="22">
        <v>30</v>
      </c>
      <c r="E684" s="22">
        <v>15</v>
      </c>
      <c r="F684" s="22">
        <v>8</v>
      </c>
      <c r="G684" s="22">
        <f t="shared" si="96"/>
        <v>7</v>
      </c>
      <c r="H684" s="22">
        <v>51</v>
      </c>
      <c r="I684" s="22">
        <v>32</v>
      </c>
      <c r="J684" s="23">
        <f t="shared" si="97"/>
        <v>53</v>
      </c>
    </row>
    <row r="685" spans="2:10" x14ac:dyDescent="0.25">
      <c r="B685" s="2">
        <v>5</v>
      </c>
      <c r="C685" s="4" t="s">
        <v>33</v>
      </c>
      <c r="D685" s="22">
        <v>30</v>
      </c>
      <c r="E685" s="22">
        <v>17</v>
      </c>
      <c r="F685" s="22">
        <v>2</v>
      </c>
      <c r="G685" s="22">
        <f t="shared" si="96"/>
        <v>11</v>
      </c>
      <c r="H685" s="22">
        <v>41</v>
      </c>
      <c r="I685" s="22">
        <v>33</v>
      </c>
      <c r="J685" s="23">
        <f t="shared" si="97"/>
        <v>53</v>
      </c>
    </row>
    <row r="686" spans="2:10" x14ac:dyDescent="0.25">
      <c r="B686" s="2">
        <v>6</v>
      </c>
      <c r="C686" s="4" t="s">
        <v>32</v>
      </c>
      <c r="D686" s="22">
        <v>30</v>
      </c>
      <c r="E686" s="22">
        <v>16</v>
      </c>
      <c r="F686" s="22">
        <v>0</v>
      </c>
      <c r="G686" s="22">
        <f t="shared" si="96"/>
        <v>14</v>
      </c>
      <c r="H686" s="22">
        <v>47</v>
      </c>
      <c r="I686" s="22">
        <v>41</v>
      </c>
      <c r="J686" s="23">
        <f t="shared" si="97"/>
        <v>48</v>
      </c>
    </row>
    <row r="687" spans="2:10" x14ac:dyDescent="0.25">
      <c r="B687" s="2">
        <v>7</v>
      </c>
      <c r="C687" s="4" t="s">
        <v>3</v>
      </c>
      <c r="D687" s="22">
        <v>30</v>
      </c>
      <c r="E687" s="22">
        <v>12</v>
      </c>
      <c r="F687" s="22">
        <v>10</v>
      </c>
      <c r="G687" s="22">
        <f t="shared" si="96"/>
        <v>8</v>
      </c>
      <c r="H687" s="22">
        <v>48</v>
      </c>
      <c r="I687" s="22">
        <v>42</v>
      </c>
      <c r="J687" s="23">
        <f t="shared" si="97"/>
        <v>46</v>
      </c>
    </row>
    <row r="688" spans="2:10" x14ac:dyDescent="0.25">
      <c r="B688" s="2">
        <v>8</v>
      </c>
      <c r="C688" s="4" t="s">
        <v>1</v>
      </c>
      <c r="D688" s="22">
        <v>30</v>
      </c>
      <c r="E688" s="22">
        <v>10</v>
      </c>
      <c r="F688" s="22">
        <v>10</v>
      </c>
      <c r="G688" s="22">
        <f t="shared" si="96"/>
        <v>10</v>
      </c>
      <c r="H688" s="22">
        <v>46</v>
      </c>
      <c r="I688" s="22">
        <v>50</v>
      </c>
      <c r="J688" s="23">
        <f t="shared" si="97"/>
        <v>40</v>
      </c>
    </row>
    <row r="689" spans="2:10" x14ac:dyDescent="0.25">
      <c r="B689" s="2">
        <v>9</v>
      </c>
      <c r="C689" s="4" t="s">
        <v>24</v>
      </c>
      <c r="D689" s="22">
        <v>30</v>
      </c>
      <c r="E689" s="22">
        <v>11</v>
      </c>
      <c r="F689" s="22">
        <v>6</v>
      </c>
      <c r="G689" s="22">
        <f t="shared" si="96"/>
        <v>13</v>
      </c>
      <c r="H689" s="22">
        <v>37</v>
      </c>
      <c r="I689" s="22">
        <v>46</v>
      </c>
      <c r="J689" s="23">
        <f t="shared" si="97"/>
        <v>39</v>
      </c>
    </row>
    <row r="690" spans="2:10" x14ac:dyDescent="0.25">
      <c r="B690" s="2">
        <v>10</v>
      </c>
      <c r="C690" s="4" t="s">
        <v>27</v>
      </c>
      <c r="D690" s="22">
        <v>30</v>
      </c>
      <c r="E690" s="22">
        <v>10</v>
      </c>
      <c r="F690" s="22">
        <v>8</v>
      </c>
      <c r="G690" s="22">
        <f t="shared" si="96"/>
        <v>12</v>
      </c>
      <c r="H690" s="22">
        <v>37</v>
      </c>
      <c r="I690" s="22">
        <v>39</v>
      </c>
      <c r="J690" s="23">
        <f t="shared" si="97"/>
        <v>38</v>
      </c>
    </row>
    <row r="691" spans="2:10" x14ac:dyDescent="0.25">
      <c r="B691" s="2">
        <v>11</v>
      </c>
      <c r="C691" s="4" t="s">
        <v>30</v>
      </c>
      <c r="D691" s="22">
        <v>30</v>
      </c>
      <c r="E691" s="22">
        <v>10</v>
      </c>
      <c r="F691" s="22">
        <v>6</v>
      </c>
      <c r="G691" s="22">
        <f t="shared" si="96"/>
        <v>14</v>
      </c>
      <c r="H691" s="22">
        <v>25</v>
      </c>
      <c r="I691" s="22">
        <v>36</v>
      </c>
      <c r="J691" s="23">
        <f t="shared" si="97"/>
        <v>36</v>
      </c>
    </row>
    <row r="692" spans="2:10" x14ac:dyDescent="0.25">
      <c r="B692" s="2">
        <v>12</v>
      </c>
      <c r="C692" s="4" t="s">
        <v>36</v>
      </c>
      <c r="D692" s="22">
        <v>30</v>
      </c>
      <c r="E692" s="22">
        <v>10</v>
      </c>
      <c r="F692" s="22">
        <v>4</v>
      </c>
      <c r="G692" s="22">
        <f t="shared" si="96"/>
        <v>16</v>
      </c>
      <c r="H692" s="22">
        <v>43</v>
      </c>
      <c r="I692" s="22">
        <v>49</v>
      </c>
      <c r="J692" s="23">
        <f t="shared" si="97"/>
        <v>34</v>
      </c>
    </row>
    <row r="693" spans="2:10" x14ac:dyDescent="0.25">
      <c r="B693" s="2">
        <v>13</v>
      </c>
      <c r="C693" s="4" t="s">
        <v>6</v>
      </c>
      <c r="D693" s="22">
        <v>30</v>
      </c>
      <c r="E693" s="22">
        <v>9</v>
      </c>
      <c r="F693" s="22">
        <v>6</v>
      </c>
      <c r="G693" s="22">
        <f t="shared" si="96"/>
        <v>15</v>
      </c>
      <c r="H693" s="22">
        <v>39</v>
      </c>
      <c r="I693" s="22">
        <v>45</v>
      </c>
      <c r="J693" s="23">
        <f t="shared" si="97"/>
        <v>33</v>
      </c>
    </row>
    <row r="694" spans="2:10" x14ac:dyDescent="0.25">
      <c r="B694" s="2">
        <v>14</v>
      </c>
      <c r="C694" s="4" t="s">
        <v>28</v>
      </c>
      <c r="D694" s="22">
        <v>30</v>
      </c>
      <c r="E694" s="22">
        <v>9</v>
      </c>
      <c r="F694" s="22">
        <v>6</v>
      </c>
      <c r="G694" s="22">
        <f t="shared" si="96"/>
        <v>15</v>
      </c>
      <c r="H694" s="22">
        <v>28</v>
      </c>
      <c r="I694" s="22">
        <v>43</v>
      </c>
      <c r="J694" s="23">
        <f t="shared" si="97"/>
        <v>33</v>
      </c>
    </row>
    <row r="695" spans="2:10" x14ac:dyDescent="0.25">
      <c r="B695" s="2">
        <v>15</v>
      </c>
      <c r="C695" s="4" t="s">
        <v>25</v>
      </c>
      <c r="D695" s="22">
        <v>30</v>
      </c>
      <c r="E695" s="22">
        <v>3</v>
      </c>
      <c r="F695" s="22">
        <v>9</v>
      </c>
      <c r="G695" s="22">
        <f t="shared" si="96"/>
        <v>18</v>
      </c>
      <c r="H695" s="22">
        <v>32</v>
      </c>
      <c r="I695" s="22">
        <v>63</v>
      </c>
      <c r="J695" s="23">
        <f t="shared" si="97"/>
        <v>18</v>
      </c>
    </row>
    <row r="696" spans="2:10" x14ac:dyDescent="0.25">
      <c r="B696" s="2">
        <v>16</v>
      </c>
      <c r="C696" s="4" t="s">
        <v>2</v>
      </c>
      <c r="D696" s="22">
        <v>30</v>
      </c>
      <c r="E696" s="22">
        <v>1</v>
      </c>
      <c r="F696" s="22">
        <v>6</v>
      </c>
      <c r="G696" s="22">
        <f t="shared" si="96"/>
        <v>23</v>
      </c>
      <c r="H696" s="22">
        <v>23</v>
      </c>
      <c r="I696" s="22">
        <v>68</v>
      </c>
      <c r="J696" s="23">
        <f t="shared" si="97"/>
        <v>9</v>
      </c>
    </row>
    <row r="697" spans="2:10" x14ac:dyDescent="0.25">
      <c r="B697" s="2"/>
      <c r="C697" s="2"/>
      <c r="D697" s="22"/>
      <c r="E697" s="22"/>
      <c r="F697" s="22"/>
      <c r="G697" s="22"/>
      <c r="H697" s="22"/>
      <c r="I697" s="22"/>
      <c r="J697" s="22"/>
    </row>
    <row r="698" spans="2:10" x14ac:dyDescent="0.25">
      <c r="B698" s="53" t="s">
        <v>31</v>
      </c>
      <c r="C698" s="53"/>
      <c r="D698" s="53"/>
      <c r="E698" s="53"/>
      <c r="F698" s="53"/>
      <c r="G698" s="53"/>
      <c r="H698" s="53"/>
      <c r="I698" s="53"/>
      <c r="J698" s="53"/>
    </row>
    <row r="699" spans="2:10" x14ac:dyDescent="0.25">
      <c r="B699" s="2">
        <v>1</v>
      </c>
      <c r="C699" s="4" t="s">
        <v>4</v>
      </c>
      <c r="D699" s="22">
        <v>30</v>
      </c>
      <c r="E699" s="22">
        <v>20</v>
      </c>
      <c r="F699" s="22">
        <v>3</v>
      </c>
      <c r="G699" s="22">
        <f>D699-E699-F699</f>
        <v>7</v>
      </c>
      <c r="H699" s="22">
        <v>67</v>
      </c>
      <c r="I699" s="22">
        <v>29</v>
      </c>
      <c r="J699" s="23">
        <f>E699*3+F699*1</f>
        <v>63</v>
      </c>
    </row>
    <row r="700" spans="2:10" x14ac:dyDescent="0.25">
      <c r="B700" s="2">
        <v>2</v>
      </c>
      <c r="C700" s="4" t="s">
        <v>24</v>
      </c>
      <c r="D700" s="22">
        <v>30</v>
      </c>
      <c r="E700" s="22">
        <v>19</v>
      </c>
      <c r="F700" s="22">
        <v>4</v>
      </c>
      <c r="G700" s="22">
        <f t="shared" ref="G700:G714" si="98">D700-E700-F700</f>
        <v>7</v>
      </c>
      <c r="H700" s="22">
        <v>59</v>
      </c>
      <c r="I700" s="22">
        <v>32</v>
      </c>
      <c r="J700" s="23">
        <f t="shared" ref="J700:J714" si="99">E700*3+F700*1</f>
        <v>61</v>
      </c>
    </row>
    <row r="701" spans="2:10" x14ac:dyDescent="0.25">
      <c r="B701" s="2">
        <v>3</v>
      </c>
      <c r="C701" s="4" t="s">
        <v>32</v>
      </c>
      <c r="D701" s="22">
        <v>30</v>
      </c>
      <c r="E701" s="22">
        <v>17</v>
      </c>
      <c r="F701" s="22">
        <v>8</v>
      </c>
      <c r="G701" s="22">
        <f t="shared" si="98"/>
        <v>5</v>
      </c>
      <c r="H701" s="22">
        <v>60</v>
      </c>
      <c r="I701" s="22">
        <v>26</v>
      </c>
      <c r="J701" s="23">
        <f t="shared" si="99"/>
        <v>59</v>
      </c>
    </row>
    <row r="702" spans="2:10" x14ac:dyDescent="0.25">
      <c r="B702" s="2">
        <v>4</v>
      </c>
      <c r="C702" s="4" t="s">
        <v>23</v>
      </c>
      <c r="D702" s="22">
        <v>30</v>
      </c>
      <c r="E702" s="22">
        <v>16</v>
      </c>
      <c r="F702" s="22">
        <v>6</v>
      </c>
      <c r="G702" s="22">
        <f t="shared" si="98"/>
        <v>8</v>
      </c>
      <c r="H702" s="22">
        <v>61</v>
      </c>
      <c r="I702" s="22">
        <v>33</v>
      </c>
      <c r="J702" s="23">
        <f t="shared" si="99"/>
        <v>54</v>
      </c>
    </row>
    <row r="703" spans="2:10" x14ac:dyDescent="0.25">
      <c r="B703" s="2">
        <v>5</v>
      </c>
      <c r="C703" s="4" t="s">
        <v>0</v>
      </c>
      <c r="D703" s="22">
        <v>30</v>
      </c>
      <c r="E703" s="22">
        <v>16</v>
      </c>
      <c r="F703" s="22">
        <v>5</v>
      </c>
      <c r="G703" s="22">
        <f t="shared" si="98"/>
        <v>9</v>
      </c>
      <c r="H703" s="22">
        <v>67</v>
      </c>
      <c r="I703" s="22">
        <v>29</v>
      </c>
      <c r="J703" s="23">
        <f t="shared" si="99"/>
        <v>53</v>
      </c>
    </row>
    <row r="704" spans="2:10" x14ac:dyDescent="0.25">
      <c r="B704" s="2">
        <v>6</v>
      </c>
      <c r="C704" s="4" t="s">
        <v>3</v>
      </c>
      <c r="D704" s="22">
        <v>30</v>
      </c>
      <c r="E704" s="22">
        <v>15</v>
      </c>
      <c r="F704" s="22">
        <v>7</v>
      </c>
      <c r="G704" s="22">
        <f t="shared" si="98"/>
        <v>8</v>
      </c>
      <c r="H704" s="22">
        <v>52</v>
      </c>
      <c r="I704" s="22">
        <v>35</v>
      </c>
      <c r="J704" s="23">
        <f t="shared" si="99"/>
        <v>52</v>
      </c>
    </row>
    <row r="705" spans="2:10" x14ac:dyDescent="0.25">
      <c r="B705" s="2">
        <v>7</v>
      </c>
      <c r="C705" s="4" t="s">
        <v>33</v>
      </c>
      <c r="D705" s="22">
        <v>30</v>
      </c>
      <c r="E705" s="22">
        <v>14</v>
      </c>
      <c r="F705" s="22">
        <v>6</v>
      </c>
      <c r="G705" s="22">
        <f t="shared" si="98"/>
        <v>10</v>
      </c>
      <c r="H705" s="22">
        <v>63</v>
      </c>
      <c r="I705" s="22">
        <v>34</v>
      </c>
      <c r="J705" s="23">
        <f t="shared" si="99"/>
        <v>48</v>
      </c>
    </row>
    <row r="706" spans="2:10" x14ac:dyDescent="0.25">
      <c r="B706" s="2">
        <v>8</v>
      </c>
      <c r="C706" s="4" t="s">
        <v>18</v>
      </c>
      <c r="D706" s="22">
        <v>30</v>
      </c>
      <c r="E706" s="22">
        <v>13</v>
      </c>
      <c r="F706" s="22">
        <v>5</v>
      </c>
      <c r="G706" s="22">
        <f t="shared" si="98"/>
        <v>12</v>
      </c>
      <c r="H706" s="22">
        <v>52</v>
      </c>
      <c r="I706" s="22">
        <v>31</v>
      </c>
      <c r="J706" s="23">
        <f t="shared" si="99"/>
        <v>44</v>
      </c>
    </row>
    <row r="707" spans="2:10" x14ac:dyDescent="0.25">
      <c r="B707" s="2">
        <v>9</v>
      </c>
      <c r="C707" s="4" t="s">
        <v>27</v>
      </c>
      <c r="D707" s="22">
        <v>30</v>
      </c>
      <c r="E707" s="22">
        <v>13</v>
      </c>
      <c r="F707" s="22">
        <v>4</v>
      </c>
      <c r="G707" s="22">
        <f t="shared" si="98"/>
        <v>13</v>
      </c>
      <c r="H707" s="22">
        <v>44</v>
      </c>
      <c r="I707" s="22">
        <v>48</v>
      </c>
      <c r="J707" s="23">
        <f t="shared" si="99"/>
        <v>43</v>
      </c>
    </row>
    <row r="708" spans="2:10" x14ac:dyDescent="0.25">
      <c r="B708" s="2">
        <v>10</v>
      </c>
      <c r="C708" s="4" t="s">
        <v>6</v>
      </c>
      <c r="D708" s="22">
        <v>30</v>
      </c>
      <c r="E708" s="22">
        <v>11</v>
      </c>
      <c r="F708" s="22">
        <v>8</v>
      </c>
      <c r="G708" s="22">
        <f t="shared" si="98"/>
        <v>11</v>
      </c>
      <c r="H708" s="22">
        <v>52</v>
      </c>
      <c r="I708" s="22">
        <v>40</v>
      </c>
      <c r="J708" s="23">
        <f t="shared" si="99"/>
        <v>41</v>
      </c>
    </row>
    <row r="709" spans="2:10" x14ac:dyDescent="0.25">
      <c r="B709" s="2">
        <v>11</v>
      </c>
      <c r="C709" s="4" t="s">
        <v>28</v>
      </c>
      <c r="D709" s="22">
        <v>30</v>
      </c>
      <c r="E709" s="22">
        <v>11</v>
      </c>
      <c r="F709" s="22">
        <v>7</v>
      </c>
      <c r="G709" s="22">
        <f t="shared" si="98"/>
        <v>12</v>
      </c>
      <c r="H709" s="22">
        <v>43</v>
      </c>
      <c r="I709" s="22">
        <v>42</v>
      </c>
      <c r="J709" s="23">
        <f t="shared" si="99"/>
        <v>40</v>
      </c>
    </row>
    <row r="710" spans="2:10" x14ac:dyDescent="0.25">
      <c r="B710" s="2">
        <v>12</v>
      </c>
      <c r="C710" s="4" t="s">
        <v>1</v>
      </c>
      <c r="D710" s="22">
        <v>30</v>
      </c>
      <c r="E710" s="22">
        <v>10</v>
      </c>
      <c r="F710" s="22">
        <v>6</v>
      </c>
      <c r="G710" s="22">
        <f t="shared" si="98"/>
        <v>14</v>
      </c>
      <c r="H710" s="22">
        <v>47</v>
      </c>
      <c r="I710" s="22">
        <v>50</v>
      </c>
      <c r="J710" s="23">
        <f t="shared" si="99"/>
        <v>36</v>
      </c>
    </row>
    <row r="711" spans="2:10" x14ac:dyDescent="0.25">
      <c r="B711" s="2">
        <v>13</v>
      </c>
      <c r="C711" s="4" t="s">
        <v>25</v>
      </c>
      <c r="D711" s="22">
        <v>30</v>
      </c>
      <c r="E711" s="22">
        <v>9</v>
      </c>
      <c r="F711" s="22">
        <v>3</v>
      </c>
      <c r="G711" s="22">
        <f t="shared" si="98"/>
        <v>18</v>
      </c>
      <c r="H711" s="22">
        <v>44</v>
      </c>
      <c r="I711" s="22">
        <v>58</v>
      </c>
      <c r="J711" s="23">
        <f t="shared" si="99"/>
        <v>30</v>
      </c>
    </row>
    <row r="712" spans="2:10" x14ac:dyDescent="0.25">
      <c r="B712" s="2">
        <v>14</v>
      </c>
      <c r="C712" s="4" t="s">
        <v>2</v>
      </c>
      <c r="D712" s="22">
        <v>30</v>
      </c>
      <c r="E712" s="22">
        <v>8</v>
      </c>
      <c r="F712" s="22">
        <v>5</v>
      </c>
      <c r="G712" s="22">
        <f t="shared" si="98"/>
        <v>17</v>
      </c>
      <c r="H712" s="22">
        <v>49</v>
      </c>
      <c r="I712" s="22">
        <v>60</v>
      </c>
      <c r="J712" s="23">
        <f t="shared" si="99"/>
        <v>29</v>
      </c>
    </row>
    <row r="713" spans="2:10" x14ac:dyDescent="0.25">
      <c r="B713" s="2">
        <v>15</v>
      </c>
      <c r="C713" s="4" t="s">
        <v>9</v>
      </c>
      <c r="D713" s="22">
        <v>30</v>
      </c>
      <c r="E713" s="22">
        <v>8</v>
      </c>
      <c r="F713" s="22">
        <v>3</v>
      </c>
      <c r="G713" s="22">
        <f t="shared" si="98"/>
        <v>19</v>
      </c>
      <c r="H713" s="22">
        <v>37</v>
      </c>
      <c r="I713" s="22">
        <v>58</v>
      </c>
      <c r="J713" s="23">
        <f t="shared" si="99"/>
        <v>27</v>
      </c>
    </row>
    <row r="714" spans="2:10" x14ac:dyDescent="0.25">
      <c r="B714" s="2">
        <v>16</v>
      </c>
      <c r="C714" s="4" t="s">
        <v>34</v>
      </c>
      <c r="D714" s="22">
        <v>30</v>
      </c>
      <c r="E714" s="22">
        <v>0</v>
      </c>
      <c r="F714" s="22">
        <v>0</v>
      </c>
      <c r="G714" s="22">
        <f t="shared" si="98"/>
        <v>30</v>
      </c>
      <c r="H714" s="22">
        <v>4</v>
      </c>
      <c r="I714" s="22">
        <v>196</v>
      </c>
      <c r="J714" s="23">
        <f t="shared" si="99"/>
        <v>0</v>
      </c>
    </row>
    <row r="715" spans="2:10" x14ac:dyDescent="0.25">
      <c r="B715" s="2"/>
      <c r="C715" s="2"/>
      <c r="D715" s="22"/>
      <c r="E715" s="22"/>
      <c r="F715" s="22"/>
      <c r="G715" s="22"/>
      <c r="H715" s="22"/>
      <c r="I715" s="22"/>
      <c r="J715" s="22"/>
    </row>
    <row r="716" spans="2:10" x14ac:dyDescent="0.25">
      <c r="B716" s="53" t="s">
        <v>29</v>
      </c>
      <c r="C716" s="53"/>
      <c r="D716" s="53"/>
      <c r="E716" s="53"/>
      <c r="F716" s="53"/>
      <c r="G716" s="53"/>
      <c r="H716" s="53"/>
      <c r="I716" s="53"/>
      <c r="J716" s="53"/>
    </row>
    <row r="717" spans="2:10" x14ac:dyDescent="0.25">
      <c r="B717" s="2">
        <v>1</v>
      </c>
      <c r="C717" s="4" t="s">
        <v>4</v>
      </c>
      <c r="D717" s="22">
        <v>30</v>
      </c>
      <c r="E717" s="22">
        <v>19</v>
      </c>
      <c r="F717" s="22">
        <v>8</v>
      </c>
      <c r="G717" s="22">
        <f>D717-E717-F717</f>
        <v>3</v>
      </c>
      <c r="H717" s="22">
        <v>48</v>
      </c>
      <c r="I717" s="22">
        <v>24</v>
      </c>
      <c r="J717" s="23">
        <f>E717*3+F717*1</f>
        <v>65</v>
      </c>
    </row>
    <row r="718" spans="2:10" x14ac:dyDescent="0.25">
      <c r="B718" s="2">
        <v>2</v>
      </c>
      <c r="C718" s="4" t="s">
        <v>0</v>
      </c>
      <c r="D718" s="22">
        <v>30</v>
      </c>
      <c r="E718" s="22">
        <v>16</v>
      </c>
      <c r="F718" s="22">
        <v>10</v>
      </c>
      <c r="G718" s="22">
        <f t="shared" ref="G718:G732" si="100">D718-E718-F718</f>
        <v>4</v>
      </c>
      <c r="H718" s="22">
        <v>47</v>
      </c>
      <c r="I718" s="22">
        <v>24</v>
      </c>
      <c r="J718" s="23">
        <f t="shared" ref="J718:J732" si="101">E718*3+F718*1</f>
        <v>58</v>
      </c>
    </row>
    <row r="719" spans="2:10" x14ac:dyDescent="0.25">
      <c r="B719" s="2">
        <v>3</v>
      </c>
      <c r="C719" s="4" t="s">
        <v>23</v>
      </c>
      <c r="D719" s="22">
        <v>30</v>
      </c>
      <c r="E719" s="22">
        <v>16</v>
      </c>
      <c r="F719" s="22">
        <v>7</v>
      </c>
      <c r="G719" s="22">
        <f t="shared" si="100"/>
        <v>7</v>
      </c>
      <c r="H719" s="22">
        <v>50</v>
      </c>
      <c r="I719" s="22">
        <v>33</v>
      </c>
      <c r="J719" s="23">
        <f t="shared" si="101"/>
        <v>55</v>
      </c>
    </row>
    <row r="720" spans="2:10" x14ac:dyDescent="0.25">
      <c r="B720" s="2">
        <v>4</v>
      </c>
      <c r="C720" s="4" t="s">
        <v>7</v>
      </c>
      <c r="D720" s="22">
        <v>30</v>
      </c>
      <c r="E720" s="22">
        <v>13</v>
      </c>
      <c r="F720" s="22">
        <v>8</v>
      </c>
      <c r="G720" s="22">
        <f t="shared" si="100"/>
        <v>9</v>
      </c>
      <c r="H720" s="22">
        <v>42</v>
      </c>
      <c r="I720" s="22">
        <v>34</v>
      </c>
      <c r="J720" s="23">
        <f t="shared" si="101"/>
        <v>47</v>
      </c>
    </row>
    <row r="721" spans="2:10" x14ac:dyDescent="0.25">
      <c r="B721" s="2">
        <v>5</v>
      </c>
      <c r="C721" s="4" t="s">
        <v>18</v>
      </c>
      <c r="D721" s="22">
        <v>30</v>
      </c>
      <c r="E721" s="22">
        <v>12</v>
      </c>
      <c r="F721" s="22">
        <v>9</v>
      </c>
      <c r="G721" s="22">
        <f t="shared" si="100"/>
        <v>9</v>
      </c>
      <c r="H721" s="22">
        <v>33</v>
      </c>
      <c r="I721" s="22">
        <v>36</v>
      </c>
      <c r="J721" s="23">
        <f t="shared" si="101"/>
        <v>45</v>
      </c>
    </row>
    <row r="722" spans="2:10" x14ac:dyDescent="0.25">
      <c r="B722" s="2">
        <v>6</v>
      </c>
      <c r="C722" s="4" t="s">
        <v>24</v>
      </c>
      <c r="D722" s="22">
        <v>30</v>
      </c>
      <c r="E722" s="22">
        <v>12</v>
      </c>
      <c r="F722" s="22">
        <v>7</v>
      </c>
      <c r="G722" s="22">
        <f t="shared" si="100"/>
        <v>11</v>
      </c>
      <c r="H722" s="22">
        <v>40</v>
      </c>
      <c r="I722" s="22">
        <v>40</v>
      </c>
      <c r="J722" s="23">
        <f t="shared" si="101"/>
        <v>43</v>
      </c>
    </row>
    <row r="723" spans="2:10" x14ac:dyDescent="0.25">
      <c r="B723" s="2">
        <v>7</v>
      </c>
      <c r="C723" s="4" t="s">
        <v>25</v>
      </c>
      <c r="D723" s="22">
        <v>30</v>
      </c>
      <c r="E723" s="22">
        <v>10</v>
      </c>
      <c r="F723" s="22">
        <v>11</v>
      </c>
      <c r="G723" s="22">
        <f t="shared" si="100"/>
        <v>9</v>
      </c>
      <c r="H723" s="22">
        <v>40</v>
      </c>
      <c r="I723" s="22">
        <v>41</v>
      </c>
      <c r="J723" s="23">
        <f t="shared" si="101"/>
        <v>41</v>
      </c>
    </row>
    <row r="724" spans="2:10" x14ac:dyDescent="0.25">
      <c r="B724" s="2">
        <v>8</v>
      </c>
      <c r="C724" s="4" t="s">
        <v>27</v>
      </c>
      <c r="D724" s="22">
        <v>30</v>
      </c>
      <c r="E724" s="22">
        <v>10</v>
      </c>
      <c r="F724" s="22">
        <v>11</v>
      </c>
      <c r="G724" s="22">
        <f t="shared" si="100"/>
        <v>9</v>
      </c>
      <c r="H724" s="22">
        <v>41</v>
      </c>
      <c r="I724" s="22">
        <v>50</v>
      </c>
      <c r="J724" s="23">
        <f t="shared" si="101"/>
        <v>41</v>
      </c>
    </row>
    <row r="725" spans="2:10" x14ac:dyDescent="0.25">
      <c r="B725" s="2">
        <v>9</v>
      </c>
      <c r="C725" s="4" t="s">
        <v>3</v>
      </c>
      <c r="D725" s="22">
        <v>30</v>
      </c>
      <c r="E725" s="22">
        <v>10</v>
      </c>
      <c r="F725" s="22">
        <v>10</v>
      </c>
      <c r="G725" s="22">
        <f t="shared" si="100"/>
        <v>10</v>
      </c>
      <c r="H725" s="22">
        <v>44</v>
      </c>
      <c r="I725" s="22">
        <v>42</v>
      </c>
      <c r="J725" s="23">
        <f t="shared" si="101"/>
        <v>40</v>
      </c>
    </row>
    <row r="726" spans="2:10" x14ac:dyDescent="0.25">
      <c r="B726" s="2">
        <v>10</v>
      </c>
      <c r="C726" s="4" t="s">
        <v>28</v>
      </c>
      <c r="D726" s="22">
        <v>30</v>
      </c>
      <c r="E726" s="22">
        <v>11</v>
      </c>
      <c r="F726" s="22">
        <v>4</v>
      </c>
      <c r="G726" s="22">
        <f t="shared" si="100"/>
        <v>15</v>
      </c>
      <c r="H726" s="22">
        <v>41</v>
      </c>
      <c r="I726" s="22">
        <v>41</v>
      </c>
      <c r="J726" s="23">
        <f t="shared" si="101"/>
        <v>37</v>
      </c>
    </row>
    <row r="727" spans="2:10" x14ac:dyDescent="0.25">
      <c r="B727" s="2">
        <v>11</v>
      </c>
      <c r="C727" s="4" t="s">
        <v>6</v>
      </c>
      <c r="D727" s="22">
        <v>30</v>
      </c>
      <c r="E727" s="22">
        <v>8</v>
      </c>
      <c r="F727" s="22">
        <v>10</v>
      </c>
      <c r="G727" s="22">
        <f t="shared" si="100"/>
        <v>12</v>
      </c>
      <c r="H727" s="22">
        <v>36</v>
      </c>
      <c r="I727" s="22">
        <v>44</v>
      </c>
      <c r="J727" s="23">
        <f t="shared" si="101"/>
        <v>34</v>
      </c>
    </row>
    <row r="728" spans="2:10" x14ac:dyDescent="0.25">
      <c r="B728" s="2">
        <v>12</v>
      </c>
      <c r="C728" s="4" t="s">
        <v>1</v>
      </c>
      <c r="D728" s="22">
        <v>30</v>
      </c>
      <c r="E728" s="22">
        <v>9</v>
      </c>
      <c r="F728" s="22">
        <v>7</v>
      </c>
      <c r="G728" s="22">
        <f t="shared" si="100"/>
        <v>14</v>
      </c>
      <c r="H728" s="22">
        <v>34</v>
      </c>
      <c r="I728" s="22">
        <v>46</v>
      </c>
      <c r="J728" s="23">
        <f t="shared" si="101"/>
        <v>34</v>
      </c>
    </row>
    <row r="729" spans="2:10" x14ac:dyDescent="0.25">
      <c r="B729" s="2">
        <v>13</v>
      </c>
      <c r="C729" s="4" t="s">
        <v>2</v>
      </c>
      <c r="D729" s="22">
        <v>30</v>
      </c>
      <c r="E729" s="22">
        <v>7</v>
      </c>
      <c r="F729" s="22">
        <v>11</v>
      </c>
      <c r="G729" s="22">
        <f t="shared" si="100"/>
        <v>12</v>
      </c>
      <c r="H729" s="22">
        <v>38</v>
      </c>
      <c r="I729" s="22">
        <v>36</v>
      </c>
      <c r="J729" s="23">
        <f t="shared" si="101"/>
        <v>32</v>
      </c>
    </row>
    <row r="730" spans="2:10" x14ac:dyDescent="0.25">
      <c r="B730" s="2">
        <v>14</v>
      </c>
      <c r="C730" s="4" t="s">
        <v>9</v>
      </c>
      <c r="D730" s="22">
        <v>30</v>
      </c>
      <c r="E730" s="22">
        <v>6</v>
      </c>
      <c r="F730" s="22">
        <v>10</v>
      </c>
      <c r="G730" s="22">
        <f t="shared" si="100"/>
        <v>14</v>
      </c>
      <c r="H730" s="22">
        <v>30</v>
      </c>
      <c r="I730" s="22">
        <v>38</v>
      </c>
      <c r="J730" s="23">
        <f t="shared" si="101"/>
        <v>28</v>
      </c>
    </row>
    <row r="731" spans="2:10" x14ac:dyDescent="0.25">
      <c r="B731" s="2">
        <v>15</v>
      </c>
      <c r="C731" s="4" t="s">
        <v>30</v>
      </c>
      <c r="D731" s="22">
        <v>30</v>
      </c>
      <c r="E731" s="22">
        <v>6</v>
      </c>
      <c r="F731" s="22">
        <v>8</v>
      </c>
      <c r="G731" s="22">
        <f t="shared" si="100"/>
        <v>16</v>
      </c>
      <c r="H731" s="22">
        <v>38</v>
      </c>
      <c r="I731" s="22">
        <v>47</v>
      </c>
      <c r="J731" s="23">
        <f t="shared" si="101"/>
        <v>26</v>
      </c>
    </row>
    <row r="732" spans="2:10" x14ac:dyDescent="0.25">
      <c r="B732" s="2">
        <v>16</v>
      </c>
      <c r="C732" s="4" t="s">
        <v>17</v>
      </c>
      <c r="D732" s="22">
        <v>30</v>
      </c>
      <c r="E732" s="22">
        <v>5</v>
      </c>
      <c r="F732" s="22">
        <v>9</v>
      </c>
      <c r="G732" s="22">
        <f t="shared" si="100"/>
        <v>16</v>
      </c>
      <c r="H732" s="22">
        <v>28</v>
      </c>
      <c r="I732" s="22">
        <v>54</v>
      </c>
      <c r="J732" s="23">
        <f t="shared" si="101"/>
        <v>24</v>
      </c>
    </row>
    <row r="733" spans="2:10" x14ac:dyDescent="0.25">
      <c r="B733" s="2"/>
      <c r="C733" s="2"/>
      <c r="D733" s="22"/>
      <c r="E733" s="22"/>
      <c r="F733" s="22"/>
      <c r="G733" s="22"/>
      <c r="H733" s="22"/>
      <c r="I733" s="22"/>
      <c r="J733" s="22"/>
    </row>
    <row r="734" spans="2:10" x14ac:dyDescent="0.25">
      <c r="B734" s="53" t="s">
        <v>26</v>
      </c>
      <c r="C734" s="53"/>
      <c r="D734" s="53"/>
      <c r="E734" s="53"/>
      <c r="F734" s="53"/>
      <c r="G734" s="53"/>
      <c r="H734" s="53"/>
      <c r="I734" s="53"/>
      <c r="J734" s="53"/>
    </row>
    <row r="735" spans="2:10" x14ac:dyDescent="0.25">
      <c r="B735" s="2">
        <v>1</v>
      </c>
      <c r="C735" s="4" t="s">
        <v>3</v>
      </c>
      <c r="D735" s="22">
        <v>30</v>
      </c>
      <c r="E735" s="22">
        <v>19</v>
      </c>
      <c r="F735" s="22">
        <v>4</v>
      </c>
      <c r="G735" s="22">
        <f>D735-E735-F735</f>
        <v>7</v>
      </c>
      <c r="H735" s="22">
        <v>54</v>
      </c>
      <c r="I735" s="22">
        <v>28</v>
      </c>
      <c r="J735" s="23">
        <f>E735*3+F735*1</f>
        <v>61</v>
      </c>
    </row>
    <row r="736" spans="2:10" x14ac:dyDescent="0.25">
      <c r="B736" s="2">
        <v>2</v>
      </c>
      <c r="C736" s="4" t="s">
        <v>24</v>
      </c>
      <c r="D736" s="22">
        <v>30</v>
      </c>
      <c r="E736" s="22">
        <v>15</v>
      </c>
      <c r="F736" s="22">
        <v>10</v>
      </c>
      <c r="G736" s="22">
        <f t="shared" ref="G736:G750" si="102">D736-E736-F736</f>
        <v>5</v>
      </c>
      <c r="H736" s="22">
        <v>39</v>
      </c>
      <c r="I736" s="22">
        <v>26</v>
      </c>
      <c r="J736" s="23">
        <f t="shared" ref="J736:J750" si="103">E736*3+F736*1</f>
        <v>55</v>
      </c>
    </row>
    <row r="737" spans="2:10" x14ac:dyDescent="0.25">
      <c r="B737" s="2">
        <v>3</v>
      </c>
      <c r="C737" s="4" t="s">
        <v>23</v>
      </c>
      <c r="D737" s="22">
        <v>30</v>
      </c>
      <c r="E737" s="22">
        <v>16</v>
      </c>
      <c r="F737" s="22">
        <v>7</v>
      </c>
      <c r="G737" s="22">
        <f t="shared" si="102"/>
        <v>7</v>
      </c>
      <c r="H737" s="22">
        <v>37</v>
      </c>
      <c r="I737" s="22">
        <v>27</v>
      </c>
      <c r="J737" s="23">
        <f t="shared" si="103"/>
        <v>55</v>
      </c>
    </row>
    <row r="738" spans="2:10" x14ac:dyDescent="0.25">
      <c r="B738" s="2">
        <v>4</v>
      </c>
      <c r="C738" s="4" t="s">
        <v>27</v>
      </c>
      <c r="D738" s="22">
        <v>30</v>
      </c>
      <c r="E738" s="22">
        <v>16</v>
      </c>
      <c r="F738" s="22">
        <v>6</v>
      </c>
      <c r="G738" s="22">
        <f t="shared" si="102"/>
        <v>8</v>
      </c>
      <c r="H738" s="22">
        <v>56</v>
      </c>
      <c r="I738" s="22">
        <v>36</v>
      </c>
      <c r="J738" s="23">
        <f t="shared" si="103"/>
        <v>54</v>
      </c>
    </row>
    <row r="739" spans="2:10" x14ac:dyDescent="0.25">
      <c r="B739" s="2">
        <v>5</v>
      </c>
      <c r="C739" s="4" t="s">
        <v>4</v>
      </c>
      <c r="D739" s="22">
        <v>30</v>
      </c>
      <c r="E739" s="22">
        <v>14</v>
      </c>
      <c r="F739" s="22">
        <v>11</v>
      </c>
      <c r="G739" s="22">
        <f t="shared" si="102"/>
        <v>5</v>
      </c>
      <c r="H739" s="22">
        <v>50</v>
      </c>
      <c r="I739" s="22">
        <v>34</v>
      </c>
      <c r="J739" s="23">
        <f t="shared" si="103"/>
        <v>53</v>
      </c>
    </row>
    <row r="740" spans="2:10" x14ac:dyDescent="0.25">
      <c r="B740" s="2">
        <v>6</v>
      </c>
      <c r="C740" s="4" t="s">
        <v>6</v>
      </c>
      <c r="D740" s="22">
        <v>30</v>
      </c>
      <c r="E740" s="22">
        <v>14</v>
      </c>
      <c r="F740" s="22">
        <v>8</v>
      </c>
      <c r="G740" s="22">
        <f t="shared" si="102"/>
        <v>8</v>
      </c>
      <c r="H740" s="22">
        <v>44</v>
      </c>
      <c r="I740" s="22">
        <v>35</v>
      </c>
      <c r="J740" s="23">
        <f t="shared" si="103"/>
        <v>50</v>
      </c>
    </row>
    <row r="741" spans="2:10" x14ac:dyDescent="0.25">
      <c r="B741" s="2">
        <v>7</v>
      </c>
      <c r="C741" s="4" t="s">
        <v>25</v>
      </c>
      <c r="D741" s="22">
        <v>30</v>
      </c>
      <c r="E741" s="22">
        <v>13</v>
      </c>
      <c r="F741" s="22">
        <v>8</v>
      </c>
      <c r="G741" s="22">
        <f t="shared" si="102"/>
        <v>9</v>
      </c>
      <c r="H741" s="22">
        <v>42</v>
      </c>
      <c r="I741" s="22">
        <v>37</v>
      </c>
      <c r="J741" s="23">
        <f t="shared" si="103"/>
        <v>47</v>
      </c>
    </row>
    <row r="742" spans="2:10" x14ac:dyDescent="0.25">
      <c r="B742" s="2">
        <v>8</v>
      </c>
      <c r="C742" s="4" t="s">
        <v>28</v>
      </c>
      <c r="D742" s="22">
        <v>30</v>
      </c>
      <c r="E742" s="22">
        <v>14</v>
      </c>
      <c r="F742" s="22">
        <v>4</v>
      </c>
      <c r="G742" s="22">
        <f t="shared" si="102"/>
        <v>12</v>
      </c>
      <c r="H742" s="22">
        <v>45</v>
      </c>
      <c r="I742" s="22">
        <v>41</v>
      </c>
      <c r="J742" s="23">
        <f t="shared" si="103"/>
        <v>46</v>
      </c>
    </row>
    <row r="743" spans="2:10" x14ac:dyDescent="0.25">
      <c r="B743" s="2">
        <v>9</v>
      </c>
      <c r="C743" s="4" t="s">
        <v>0</v>
      </c>
      <c r="D743" s="22">
        <v>30</v>
      </c>
      <c r="E743" s="22">
        <v>13</v>
      </c>
      <c r="F743" s="22">
        <v>6</v>
      </c>
      <c r="G743" s="22">
        <f t="shared" si="102"/>
        <v>11</v>
      </c>
      <c r="H743" s="22">
        <v>49</v>
      </c>
      <c r="I743" s="22">
        <v>38</v>
      </c>
      <c r="J743" s="23">
        <f t="shared" si="103"/>
        <v>45</v>
      </c>
    </row>
    <row r="744" spans="2:10" x14ac:dyDescent="0.25">
      <c r="B744" s="2">
        <v>10</v>
      </c>
      <c r="C744" s="4" t="s">
        <v>1</v>
      </c>
      <c r="D744" s="22">
        <v>30</v>
      </c>
      <c r="E744" s="22">
        <v>10</v>
      </c>
      <c r="F744" s="22">
        <v>11</v>
      </c>
      <c r="G744" s="22">
        <f t="shared" si="102"/>
        <v>9</v>
      </c>
      <c r="H744" s="22">
        <v>37</v>
      </c>
      <c r="I744" s="22">
        <v>30</v>
      </c>
      <c r="J744" s="23">
        <f t="shared" si="103"/>
        <v>41</v>
      </c>
    </row>
    <row r="745" spans="2:10" x14ac:dyDescent="0.25">
      <c r="B745" s="2">
        <v>11</v>
      </c>
      <c r="C745" s="4" t="s">
        <v>18</v>
      </c>
      <c r="D745" s="22">
        <v>30</v>
      </c>
      <c r="E745" s="22">
        <v>11</v>
      </c>
      <c r="F745" s="22">
        <v>5</v>
      </c>
      <c r="G745" s="22">
        <f t="shared" si="102"/>
        <v>14</v>
      </c>
      <c r="H745" s="22">
        <v>33</v>
      </c>
      <c r="I745" s="22">
        <v>35</v>
      </c>
      <c r="J745" s="23">
        <f t="shared" si="103"/>
        <v>38</v>
      </c>
    </row>
    <row r="746" spans="2:10" x14ac:dyDescent="0.25">
      <c r="B746" s="2">
        <v>12</v>
      </c>
      <c r="C746" s="4" t="s">
        <v>7</v>
      </c>
      <c r="D746" s="22">
        <v>30</v>
      </c>
      <c r="E746" s="22">
        <v>8</v>
      </c>
      <c r="F746" s="22">
        <v>8</v>
      </c>
      <c r="G746" s="22">
        <f t="shared" si="102"/>
        <v>14</v>
      </c>
      <c r="H746" s="22">
        <v>30</v>
      </c>
      <c r="I746" s="22">
        <v>39</v>
      </c>
      <c r="J746" s="23">
        <f t="shared" si="103"/>
        <v>32</v>
      </c>
    </row>
    <row r="747" spans="2:10" x14ac:dyDescent="0.25">
      <c r="B747" s="2">
        <v>13</v>
      </c>
      <c r="C747" s="4" t="s">
        <v>9</v>
      </c>
      <c r="D747" s="22">
        <v>30</v>
      </c>
      <c r="E747" s="22">
        <v>5</v>
      </c>
      <c r="F747" s="22">
        <v>9</v>
      </c>
      <c r="G747" s="22">
        <f t="shared" si="102"/>
        <v>16</v>
      </c>
      <c r="H747" s="22">
        <v>23</v>
      </c>
      <c r="I747" s="22">
        <v>47</v>
      </c>
      <c r="J747" s="23">
        <f t="shared" si="103"/>
        <v>24</v>
      </c>
    </row>
    <row r="748" spans="2:10" x14ac:dyDescent="0.25">
      <c r="B748" s="2">
        <v>14</v>
      </c>
      <c r="C748" s="4" t="s">
        <v>17</v>
      </c>
      <c r="D748" s="22">
        <v>30</v>
      </c>
      <c r="E748" s="22">
        <v>5</v>
      </c>
      <c r="F748" s="22">
        <v>7</v>
      </c>
      <c r="G748" s="22">
        <f t="shared" si="102"/>
        <v>18</v>
      </c>
      <c r="H748" s="22">
        <v>19</v>
      </c>
      <c r="I748" s="22">
        <v>48</v>
      </c>
      <c r="J748" s="23">
        <f t="shared" si="103"/>
        <v>22</v>
      </c>
    </row>
    <row r="749" spans="2:10" x14ac:dyDescent="0.25">
      <c r="B749" s="2">
        <v>15</v>
      </c>
      <c r="C749" s="4" t="s">
        <v>5</v>
      </c>
      <c r="D749" s="22">
        <v>30</v>
      </c>
      <c r="E749" s="22">
        <v>5</v>
      </c>
      <c r="F749" s="22">
        <v>5</v>
      </c>
      <c r="G749" s="22">
        <f t="shared" si="102"/>
        <v>20</v>
      </c>
      <c r="H749" s="22">
        <v>22</v>
      </c>
      <c r="I749" s="22">
        <v>55</v>
      </c>
      <c r="J749" s="23">
        <f t="shared" si="103"/>
        <v>20</v>
      </c>
    </row>
    <row r="750" spans="2:10" x14ac:dyDescent="0.25">
      <c r="B750" s="2">
        <v>16</v>
      </c>
      <c r="C750" s="4" t="s">
        <v>13</v>
      </c>
      <c r="D750" s="22">
        <v>30</v>
      </c>
      <c r="E750" s="22">
        <v>4</v>
      </c>
      <c r="F750" s="22">
        <v>7</v>
      </c>
      <c r="G750" s="22">
        <f t="shared" si="102"/>
        <v>19</v>
      </c>
      <c r="H750" s="22">
        <v>21</v>
      </c>
      <c r="I750" s="22">
        <v>45</v>
      </c>
      <c r="J750" s="23">
        <f t="shared" si="103"/>
        <v>19</v>
      </c>
    </row>
    <row r="751" spans="2:10" x14ac:dyDescent="0.25">
      <c r="B751" s="2"/>
      <c r="C751" s="2"/>
      <c r="D751" s="22"/>
      <c r="E751" s="22"/>
      <c r="F751" s="22"/>
      <c r="G751" s="22"/>
      <c r="H751" s="22"/>
      <c r="I751" s="22"/>
      <c r="J751" s="22"/>
    </row>
    <row r="752" spans="2:10" x14ac:dyDescent="0.25">
      <c r="B752" s="53" t="s">
        <v>22</v>
      </c>
      <c r="C752" s="53"/>
      <c r="D752" s="53"/>
      <c r="E752" s="53"/>
      <c r="F752" s="53"/>
      <c r="G752" s="53"/>
      <c r="H752" s="53"/>
      <c r="I752" s="53"/>
      <c r="J752" s="53"/>
    </row>
    <row r="753" spans="2:10" x14ac:dyDescent="0.25">
      <c r="B753" s="2">
        <v>1</v>
      </c>
      <c r="C753" s="4" t="s">
        <v>1</v>
      </c>
      <c r="D753" s="22">
        <f>E753+F753+G753</f>
        <v>30</v>
      </c>
      <c r="E753" s="22">
        <v>19</v>
      </c>
      <c r="F753" s="22">
        <v>8</v>
      </c>
      <c r="G753" s="22">
        <v>3</v>
      </c>
      <c r="H753" s="22">
        <v>51</v>
      </c>
      <c r="I753" s="22">
        <v>22</v>
      </c>
      <c r="J753" s="23">
        <f>E753*3+F753*1</f>
        <v>65</v>
      </c>
    </row>
    <row r="754" spans="2:10" x14ac:dyDescent="0.25">
      <c r="B754" s="2">
        <v>2</v>
      </c>
      <c r="C754" s="4" t="s">
        <v>0</v>
      </c>
      <c r="D754" s="22">
        <f t="shared" ref="D754:D768" si="104">E754+F754+G754</f>
        <v>30</v>
      </c>
      <c r="E754" s="22">
        <v>16</v>
      </c>
      <c r="F754" s="22">
        <v>8</v>
      </c>
      <c r="G754" s="22">
        <v>6</v>
      </c>
      <c r="H754" s="22">
        <v>64</v>
      </c>
      <c r="I754" s="22">
        <v>32</v>
      </c>
      <c r="J754" s="23">
        <f t="shared" ref="J754:J768" si="105">E754*3+F754*1</f>
        <v>56</v>
      </c>
    </row>
    <row r="755" spans="2:10" x14ac:dyDescent="0.25">
      <c r="B755" s="2">
        <v>3</v>
      </c>
      <c r="C755" s="4" t="s">
        <v>4</v>
      </c>
      <c r="D755" s="22">
        <f t="shared" si="104"/>
        <v>30</v>
      </c>
      <c r="E755" s="22">
        <v>16</v>
      </c>
      <c r="F755" s="22">
        <v>6</v>
      </c>
      <c r="G755" s="22">
        <v>8</v>
      </c>
      <c r="H755" s="22">
        <v>44</v>
      </c>
      <c r="I755" s="22">
        <v>28</v>
      </c>
      <c r="J755" s="23">
        <f t="shared" si="105"/>
        <v>54</v>
      </c>
    </row>
    <row r="756" spans="2:10" x14ac:dyDescent="0.25">
      <c r="B756" s="2">
        <v>4</v>
      </c>
      <c r="C756" s="4" t="s">
        <v>3</v>
      </c>
      <c r="D756" s="22">
        <f t="shared" si="104"/>
        <v>30</v>
      </c>
      <c r="E756" s="22">
        <v>14</v>
      </c>
      <c r="F756" s="22">
        <v>11</v>
      </c>
      <c r="G756" s="22">
        <v>5</v>
      </c>
      <c r="H756" s="22">
        <v>37</v>
      </c>
      <c r="I756" s="22">
        <v>19</v>
      </c>
      <c r="J756" s="23">
        <f t="shared" si="105"/>
        <v>53</v>
      </c>
    </row>
    <row r="757" spans="2:10" x14ac:dyDescent="0.25">
      <c r="B757" s="2">
        <v>5</v>
      </c>
      <c r="C757" s="4" t="s">
        <v>23</v>
      </c>
      <c r="D757" s="22">
        <f t="shared" si="104"/>
        <v>30</v>
      </c>
      <c r="E757" s="22">
        <v>15</v>
      </c>
      <c r="F757" s="22">
        <v>6</v>
      </c>
      <c r="G757" s="22">
        <v>9</v>
      </c>
      <c r="H757" s="22">
        <v>34</v>
      </c>
      <c r="I757" s="22">
        <v>28</v>
      </c>
      <c r="J757" s="23">
        <f t="shared" si="105"/>
        <v>51</v>
      </c>
    </row>
    <row r="758" spans="2:10" x14ac:dyDescent="0.25">
      <c r="B758" s="2">
        <v>6</v>
      </c>
      <c r="C758" s="4" t="s">
        <v>6</v>
      </c>
      <c r="D758" s="22">
        <f t="shared" si="104"/>
        <v>30</v>
      </c>
      <c r="E758" s="22">
        <v>13</v>
      </c>
      <c r="F758" s="22">
        <v>7</v>
      </c>
      <c r="G758" s="22">
        <v>10</v>
      </c>
      <c r="H758" s="22">
        <v>37</v>
      </c>
      <c r="I758" s="22">
        <v>35</v>
      </c>
      <c r="J758" s="23">
        <f t="shared" si="105"/>
        <v>46</v>
      </c>
    </row>
    <row r="759" spans="2:10" x14ac:dyDescent="0.25">
      <c r="B759" s="2">
        <v>7</v>
      </c>
      <c r="C759" s="4" t="s">
        <v>24</v>
      </c>
      <c r="D759" s="22">
        <f t="shared" si="104"/>
        <v>30</v>
      </c>
      <c r="E759" s="22">
        <v>12</v>
      </c>
      <c r="F759" s="22">
        <v>6</v>
      </c>
      <c r="G759" s="22">
        <v>12</v>
      </c>
      <c r="H759" s="22">
        <v>39</v>
      </c>
      <c r="I759" s="22">
        <v>36</v>
      </c>
      <c r="J759" s="23">
        <f t="shared" si="105"/>
        <v>42</v>
      </c>
    </row>
    <row r="760" spans="2:10" x14ac:dyDescent="0.25">
      <c r="B760" s="2">
        <v>8</v>
      </c>
      <c r="C760" s="4" t="s">
        <v>17</v>
      </c>
      <c r="D760" s="22">
        <f t="shared" si="104"/>
        <v>30</v>
      </c>
      <c r="E760" s="22">
        <v>11</v>
      </c>
      <c r="F760" s="22">
        <v>7</v>
      </c>
      <c r="G760" s="22">
        <v>12</v>
      </c>
      <c r="H760" s="22">
        <v>29</v>
      </c>
      <c r="I760" s="22">
        <v>40</v>
      </c>
      <c r="J760" s="23">
        <f t="shared" si="105"/>
        <v>40</v>
      </c>
    </row>
    <row r="761" spans="2:10" x14ac:dyDescent="0.25">
      <c r="B761" s="2">
        <v>9</v>
      </c>
      <c r="C761" s="4" t="s">
        <v>25</v>
      </c>
      <c r="D761" s="22">
        <f t="shared" si="104"/>
        <v>30</v>
      </c>
      <c r="E761" s="22">
        <v>9</v>
      </c>
      <c r="F761" s="22">
        <v>10</v>
      </c>
      <c r="G761" s="22">
        <v>11</v>
      </c>
      <c r="H761" s="22">
        <v>37</v>
      </c>
      <c r="I761" s="22">
        <v>39</v>
      </c>
      <c r="J761" s="23">
        <f t="shared" si="105"/>
        <v>37</v>
      </c>
    </row>
    <row r="762" spans="2:10" x14ac:dyDescent="0.25">
      <c r="B762" s="2">
        <v>10</v>
      </c>
      <c r="C762" s="4" t="s">
        <v>7</v>
      </c>
      <c r="D762" s="22">
        <f t="shared" si="104"/>
        <v>30</v>
      </c>
      <c r="E762" s="22">
        <v>10</v>
      </c>
      <c r="F762" s="22">
        <v>7</v>
      </c>
      <c r="G762" s="22">
        <v>13</v>
      </c>
      <c r="H762" s="22">
        <v>32</v>
      </c>
      <c r="I762" s="22">
        <v>40</v>
      </c>
      <c r="J762" s="23">
        <f t="shared" si="105"/>
        <v>37</v>
      </c>
    </row>
    <row r="763" spans="2:10" x14ac:dyDescent="0.25">
      <c r="B763" s="2">
        <v>11</v>
      </c>
      <c r="C763" s="4" t="s">
        <v>9</v>
      </c>
      <c r="D763" s="22">
        <f t="shared" si="104"/>
        <v>30</v>
      </c>
      <c r="E763" s="22">
        <v>9</v>
      </c>
      <c r="F763" s="22">
        <v>9</v>
      </c>
      <c r="G763" s="22">
        <v>12</v>
      </c>
      <c r="H763" s="22">
        <v>30</v>
      </c>
      <c r="I763" s="22">
        <v>35</v>
      </c>
      <c r="J763" s="23">
        <f t="shared" si="105"/>
        <v>36</v>
      </c>
    </row>
    <row r="764" spans="2:10" x14ac:dyDescent="0.25">
      <c r="B764" s="2">
        <v>12</v>
      </c>
      <c r="C764" s="4" t="s">
        <v>18</v>
      </c>
      <c r="D764" s="22">
        <f t="shared" si="104"/>
        <v>30</v>
      </c>
      <c r="E764" s="22">
        <v>9</v>
      </c>
      <c r="F764" s="22">
        <v>8</v>
      </c>
      <c r="G764" s="22">
        <v>13</v>
      </c>
      <c r="H764" s="22">
        <v>29</v>
      </c>
      <c r="I764" s="22">
        <v>35</v>
      </c>
      <c r="J764" s="23">
        <f t="shared" si="105"/>
        <v>35</v>
      </c>
    </row>
    <row r="765" spans="2:10" x14ac:dyDescent="0.25">
      <c r="B765" s="2">
        <v>13</v>
      </c>
      <c r="C765" s="4" t="s">
        <v>5</v>
      </c>
      <c r="D765" s="22">
        <f t="shared" si="104"/>
        <v>30</v>
      </c>
      <c r="E765" s="22">
        <v>7</v>
      </c>
      <c r="F765" s="22">
        <v>10</v>
      </c>
      <c r="G765" s="22">
        <v>13</v>
      </c>
      <c r="H765" s="22">
        <v>25</v>
      </c>
      <c r="I765" s="22">
        <v>44</v>
      </c>
      <c r="J765" s="23">
        <f t="shared" si="105"/>
        <v>31</v>
      </c>
    </row>
    <row r="766" spans="2:10" x14ac:dyDescent="0.25">
      <c r="B766" s="2">
        <v>14</v>
      </c>
      <c r="C766" s="4" t="s">
        <v>13</v>
      </c>
      <c r="D766" s="22">
        <f t="shared" si="104"/>
        <v>30</v>
      </c>
      <c r="E766" s="22">
        <v>6</v>
      </c>
      <c r="F766" s="22">
        <v>7</v>
      </c>
      <c r="G766" s="22">
        <v>17</v>
      </c>
      <c r="H766" s="22">
        <v>23</v>
      </c>
      <c r="I766" s="22">
        <v>39</v>
      </c>
      <c r="J766" s="23">
        <f t="shared" si="105"/>
        <v>25</v>
      </c>
    </row>
    <row r="767" spans="2:10" x14ac:dyDescent="0.25">
      <c r="B767" s="2">
        <v>15</v>
      </c>
      <c r="C767" s="4" t="s">
        <v>2</v>
      </c>
      <c r="D767" s="22">
        <f t="shared" si="104"/>
        <v>30</v>
      </c>
      <c r="E767" s="22">
        <v>4</v>
      </c>
      <c r="F767" s="22">
        <v>12</v>
      </c>
      <c r="G767" s="22">
        <v>14</v>
      </c>
      <c r="H767" s="22">
        <v>25</v>
      </c>
      <c r="I767" s="22">
        <v>43</v>
      </c>
      <c r="J767" s="23">
        <f t="shared" si="105"/>
        <v>24</v>
      </c>
    </row>
    <row r="768" spans="2:10" x14ac:dyDescent="0.25">
      <c r="B768" s="2">
        <v>16</v>
      </c>
      <c r="C768" s="4" t="s">
        <v>10</v>
      </c>
      <c r="D768" s="22">
        <f t="shared" si="104"/>
        <v>30</v>
      </c>
      <c r="E768" s="22">
        <v>5</v>
      </c>
      <c r="F768" s="22">
        <v>8</v>
      </c>
      <c r="G768" s="22">
        <v>17</v>
      </c>
      <c r="H768" s="22">
        <v>28</v>
      </c>
      <c r="I768" s="22">
        <v>49</v>
      </c>
      <c r="J768" s="23">
        <f t="shared" si="105"/>
        <v>23</v>
      </c>
    </row>
    <row r="769" spans="2:10" x14ac:dyDescent="0.25">
      <c r="B769" s="2"/>
      <c r="C769" s="2"/>
      <c r="D769" s="22"/>
      <c r="E769" s="22"/>
      <c r="F769" s="22"/>
      <c r="G769" s="22"/>
      <c r="H769" s="22"/>
      <c r="I769" s="22"/>
      <c r="J769" s="22"/>
    </row>
    <row r="770" spans="2:10" x14ac:dyDescent="0.25">
      <c r="B770" s="53" t="s">
        <v>16</v>
      </c>
      <c r="C770" s="53"/>
      <c r="D770" s="53"/>
      <c r="E770" s="53"/>
      <c r="F770" s="53"/>
      <c r="G770" s="53"/>
      <c r="H770" s="53"/>
      <c r="I770" s="53"/>
      <c r="J770" s="53"/>
    </row>
    <row r="771" spans="2:10" x14ac:dyDescent="0.25">
      <c r="B771" s="2">
        <v>1</v>
      </c>
      <c r="C771" s="4" t="s">
        <v>0</v>
      </c>
      <c r="D771" s="22">
        <f>E771+F771+G771</f>
        <v>30</v>
      </c>
      <c r="E771" s="22">
        <v>19</v>
      </c>
      <c r="F771" s="22">
        <v>8</v>
      </c>
      <c r="G771" s="22">
        <v>3</v>
      </c>
      <c r="H771" s="22">
        <v>64</v>
      </c>
      <c r="I771" s="22">
        <v>30</v>
      </c>
      <c r="J771" s="23">
        <f>E771*3+F771*1</f>
        <v>65</v>
      </c>
    </row>
    <row r="772" spans="2:10" x14ac:dyDescent="0.25">
      <c r="B772" s="2">
        <v>2</v>
      </c>
      <c r="C772" s="4" t="s">
        <v>1</v>
      </c>
      <c r="D772" s="22">
        <f t="shared" ref="D772:D786" si="106">E772+F772+G772</f>
        <v>30</v>
      </c>
      <c r="E772" s="22">
        <v>17</v>
      </c>
      <c r="F772" s="22">
        <v>8</v>
      </c>
      <c r="G772" s="22">
        <v>5</v>
      </c>
      <c r="H772" s="22">
        <v>55</v>
      </c>
      <c r="I772" s="22">
        <v>23</v>
      </c>
      <c r="J772" s="23">
        <f t="shared" ref="J772:J786" si="107">E772*3+F772*1</f>
        <v>59</v>
      </c>
    </row>
    <row r="773" spans="2:10" x14ac:dyDescent="0.25">
      <c r="B773" s="2">
        <v>3</v>
      </c>
      <c r="C773" s="4" t="s">
        <v>3</v>
      </c>
      <c r="D773" s="22">
        <f t="shared" si="106"/>
        <v>30</v>
      </c>
      <c r="E773" s="22">
        <v>17</v>
      </c>
      <c r="F773" s="22">
        <v>4</v>
      </c>
      <c r="G773" s="22">
        <v>9</v>
      </c>
      <c r="H773" s="22">
        <v>50</v>
      </c>
      <c r="I773" s="22">
        <v>31</v>
      </c>
      <c r="J773" s="23">
        <f t="shared" si="107"/>
        <v>55</v>
      </c>
    </row>
    <row r="774" spans="2:10" x14ac:dyDescent="0.25">
      <c r="B774" s="2">
        <v>4</v>
      </c>
      <c r="C774" s="4" t="s">
        <v>6</v>
      </c>
      <c r="D774" s="22">
        <f t="shared" si="106"/>
        <v>30</v>
      </c>
      <c r="E774" s="22">
        <v>14</v>
      </c>
      <c r="F774" s="22">
        <v>12</v>
      </c>
      <c r="G774" s="22">
        <v>4</v>
      </c>
      <c r="H774" s="22">
        <v>47</v>
      </c>
      <c r="I774" s="22">
        <v>22</v>
      </c>
      <c r="J774" s="23">
        <f t="shared" si="107"/>
        <v>54</v>
      </c>
    </row>
    <row r="775" spans="2:10" x14ac:dyDescent="0.25">
      <c r="B775" s="2">
        <v>5</v>
      </c>
      <c r="C775" s="4" t="s">
        <v>17</v>
      </c>
      <c r="D775" s="22">
        <f t="shared" si="106"/>
        <v>30</v>
      </c>
      <c r="E775" s="22">
        <v>14</v>
      </c>
      <c r="F775" s="22">
        <v>11</v>
      </c>
      <c r="G775" s="22">
        <v>5</v>
      </c>
      <c r="H775" s="22">
        <v>47</v>
      </c>
      <c r="I775" s="22">
        <v>27</v>
      </c>
      <c r="J775" s="23">
        <f t="shared" si="107"/>
        <v>53</v>
      </c>
    </row>
    <row r="776" spans="2:10" x14ac:dyDescent="0.25">
      <c r="B776" s="2">
        <v>6</v>
      </c>
      <c r="C776" s="4" t="s">
        <v>9</v>
      </c>
      <c r="D776" s="22">
        <f t="shared" si="106"/>
        <v>30</v>
      </c>
      <c r="E776" s="22">
        <v>15</v>
      </c>
      <c r="F776" s="22">
        <v>4</v>
      </c>
      <c r="G776" s="22">
        <v>11</v>
      </c>
      <c r="H776" s="22">
        <v>49</v>
      </c>
      <c r="I776" s="22">
        <v>40</v>
      </c>
      <c r="J776" s="23">
        <f t="shared" si="107"/>
        <v>49</v>
      </c>
    </row>
    <row r="777" spans="2:10" x14ac:dyDescent="0.25">
      <c r="B777" s="2">
        <v>7</v>
      </c>
      <c r="C777" s="4" t="s">
        <v>18</v>
      </c>
      <c r="D777" s="22">
        <f t="shared" si="106"/>
        <v>30</v>
      </c>
      <c r="E777" s="22">
        <v>14</v>
      </c>
      <c r="F777" s="22">
        <v>6</v>
      </c>
      <c r="G777" s="22">
        <v>10</v>
      </c>
      <c r="H777" s="22">
        <v>49</v>
      </c>
      <c r="I777" s="22">
        <v>33</v>
      </c>
      <c r="J777" s="23">
        <f t="shared" si="107"/>
        <v>48</v>
      </c>
    </row>
    <row r="778" spans="2:10" x14ac:dyDescent="0.25">
      <c r="B778" s="2">
        <v>8</v>
      </c>
      <c r="C778" s="4" t="s">
        <v>7</v>
      </c>
      <c r="D778" s="22">
        <f t="shared" si="106"/>
        <v>30</v>
      </c>
      <c r="E778" s="22">
        <v>14</v>
      </c>
      <c r="F778" s="22">
        <v>5</v>
      </c>
      <c r="G778" s="22">
        <v>11</v>
      </c>
      <c r="H778" s="22">
        <v>52</v>
      </c>
      <c r="I778" s="22">
        <v>35</v>
      </c>
      <c r="J778" s="23">
        <f t="shared" si="107"/>
        <v>47</v>
      </c>
    </row>
    <row r="779" spans="2:10" x14ac:dyDescent="0.25">
      <c r="B779" s="2">
        <v>9</v>
      </c>
      <c r="C779" s="4" t="s">
        <v>2</v>
      </c>
      <c r="D779" s="22">
        <f t="shared" si="106"/>
        <v>30</v>
      </c>
      <c r="E779" s="22">
        <v>13</v>
      </c>
      <c r="F779" s="22">
        <v>8</v>
      </c>
      <c r="G779" s="22">
        <v>9</v>
      </c>
      <c r="H779" s="22">
        <v>54</v>
      </c>
      <c r="I779" s="22">
        <v>41</v>
      </c>
      <c r="J779" s="23">
        <f t="shared" si="107"/>
        <v>47</v>
      </c>
    </row>
    <row r="780" spans="2:10" x14ac:dyDescent="0.25">
      <c r="B780" s="2">
        <v>10</v>
      </c>
      <c r="C780" s="4" t="s">
        <v>5</v>
      </c>
      <c r="D780" s="22">
        <f t="shared" si="106"/>
        <v>30</v>
      </c>
      <c r="E780" s="22">
        <v>12</v>
      </c>
      <c r="F780" s="22">
        <v>7</v>
      </c>
      <c r="G780" s="22">
        <v>11</v>
      </c>
      <c r="H780" s="22">
        <v>38</v>
      </c>
      <c r="I780" s="22">
        <v>32</v>
      </c>
      <c r="J780" s="23">
        <f t="shared" si="107"/>
        <v>43</v>
      </c>
    </row>
    <row r="781" spans="2:10" x14ac:dyDescent="0.25">
      <c r="B781" s="2">
        <v>11</v>
      </c>
      <c r="C781" s="4" t="s">
        <v>4</v>
      </c>
      <c r="D781" s="22">
        <f t="shared" si="106"/>
        <v>30</v>
      </c>
      <c r="E781" s="22">
        <v>10</v>
      </c>
      <c r="F781" s="22">
        <v>8</v>
      </c>
      <c r="G781" s="22">
        <v>12</v>
      </c>
      <c r="H781" s="22">
        <v>48</v>
      </c>
      <c r="I781" s="22">
        <v>32</v>
      </c>
      <c r="J781" s="23">
        <f t="shared" si="107"/>
        <v>38</v>
      </c>
    </row>
    <row r="782" spans="2:10" x14ac:dyDescent="0.25">
      <c r="B782" s="2">
        <v>12</v>
      </c>
      <c r="C782" s="4" t="s">
        <v>10</v>
      </c>
      <c r="D782" s="22">
        <f t="shared" si="106"/>
        <v>30</v>
      </c>
      <c r="E782" s="22">
        <v>8</v>
      </c>
      <c r="F782" s="22">
        <v>8</v>
      </c>
      <c r="G782" s="22">
        <v>14</v>
      </c>
      <c r="H782" s="22">
        <v>32</v>
      </c>
      <c r="I782" s="22">
        <v>45</v>
      </c>
      <c r="J782" s="23">
        <f t="shared" si="107"/>
        <v>32</v>
      </c>
    </row>
    <row r="783" spans="2:10" x14ac:dyDescent="0.25">
      <c r="B783" s="2">
        <v>13</v>
      </c>
      <c r="C783" s="4" t="s">
        <v>13</v>
      </c>
      <c r="D783" s="22">
        <f t="shared" si="106"/>
        <v>30</v>
      </c>
      <c r="E783" s="22">
        <v>8</v>
      </c>
      <c r="F783" s="22">
        <v>7</v>
      </c>
      <c r="G783" s="22">
        <v>15</v>
      </c>
      <c r="H783" s="22">
        <v>35</v>
      </c>
      <c r="I783" s="22">
        <v>49</v>
      </c>
      <c r="J783" s="23">
        <f t="shared" si="107"/>
        <v>31</v>
      </c>
    </row>
    <row r="784" spans="2:10" x14ac:dyDescent="0.25">
      <c r="B784" s="2">
        <v>14</v>
      </c>
      <c r="C784" s="4" t="s">
        <v>19</v>
      </c>
      <c r="D784" s="22">
        <f t="shared" si="106"/>
        <v>24</v>
      </c>
      <c r="E784" s="22">
        <v>4</v>
      </c>
      <c r="F784" s="22">
        <v>1</v>
      </c>
      <c r="G784" s="22">
        <v>19</v>
      </c>
      <c r="H784" s="22">
        <v>23</v>
      </c>
      <c r="I784" s="22">
        <v>73</v>
      </c>
      <c r="J784" s="23">
        <f t="shared" si="107"/>
        <v>13</v>
      </c>
    </row>
    <row r="785" spans="2:10" x14ac:dyDescent="0.25">
      <c r="B785" s="2">
        <v>15</v>
      </c>
      <c r="C785" s="4" t="s">
        <v>20</v>
      </c>
      <c r="D785" s="22">
        <f t="shared" si="106"/>
        <v>14</v>
      </c>
      <c r="E785" s="22">
        <v>2</v>
      </c>
      <c r="F785" s="22">
        <v>1</v>
      </c>
      <c r="G785" s="22">
        <v>11</v>
      </c>
      <c r="H785" s="22">
        <v>13</v>
      </c>
      <c r="I785" s="22">
        <v>48</v>
      </c>
      <c r="J785" s="23">
        <f t="shared" si="107"/>
        <v>7</v>
      </c>
    </row>
    <row r="786" spans="2:10" x14ac:dyDescent="0.25">
      <c r="B786" s="2">
        <v>16</v>
      </c>
      <c r="C786" s="4" t="s">
        <v>21</v>
      </c>
      <c r="D786" s="22">
        <f t="shared" si="106"/>
        <v>27</v>
      </c>
      <c r="E786" s="22">
        <v>2</v>
      </c>
      <c r="F786" s="22">
        <v>1</v>
      </c>
      <c r="G786" s="22">
        <v>24</v>
      </c>
      <c r="H786" s="22">
        <v>14</v>
      </c>
      <c r="I786" s="22">
        <v>82</v>
      </c>
      <c r="J786" s="23">
        <f t="shared" si="107"/>
        <v>7</v>
      </c>
    </row>
    <row r="787" spans="2:10" x14ac:dyDescent="0.25">
      <c r="B787" s="2"/>
      <c r="C787" s="2"/>
      <c r="D787" s="22"/>
      <c r="E787" s="22"/>
      <c r="F787" s="22"/>
      <c r="G787" s="22"/>
      <c r="H787" s="22"/>
      <c r="I787" s="22"/>
      <c r="J787" s="22"/>
    </row>
    <row r="788" spans="2:10" x14ac:dyDescent="0.25">
      <c r="B788" s="53" t="s">
        <v>15</v>
      </c>
      <c r="C788" s="53"/>
      <c r="D788" s="53"/>
      <c r="E788" s="53"/>
      <c r="F788" s="53"/>
      <c r="G788" s="53"/>
      <c r="H788" s="53"/>
      <c r="I788" s="53"/>
      <c r="J788" s="53"/>
    </row>
    <row r="789" spans="2:10" x14ac:dyDescent="0.25">
      <c r="B789" s="2">
        <v>1</v>
      </c>
      <c r="C789" s="4" t="s">
        <v>0</v>
      </c>
      <c r="D789" s="22">
        <f>E789+F789+G789</f>
        <v>30</v>
      </c>
      <c r="E789" s="22">
        <v>22</v>
      </c>
      <c r="F789" s="22">
        <v>2</v>
      </c>
      <c r="G789" s="22">
        <v>6</v>
      </c>
      <c r="H789" s="22">
        <v>57</v>
      </c>
      <c r="I789" s="22">
        <v>25</v>
      </c>
      <c r="J789" s="23">
        <f>E789*3+F789*1</f>
        <v>68</v>
      </c>
    </row>
    <row r="790" spans="2:10" x14ac:dyDescent="0.25">
      <c r="B790" s="2">
        <v>2</v>
      </c>
      <c r="C790" s="4" t="s">
        <v>1</v>
      </c>
      <c r="D790" s="22">
        <f t="shared" ref="D790:D804" si="108">E790+F790+G790</f>
        <v>30</v>
      </c>
      <c r="E790" s="22">
        <v>18</v>
      </c>
      <c r="F790" s="22">
        <v>4</v>
      </c>
      <c r="G790" s="22">
        <v>8</v>
      </c>
      <c r="H790" s="22">
        <v>60</v>
      </c>
      <c r="I790" s="22">
        <v>44</v>
      </c>
      <c r="J790" s="23">
        <f t="shared" ref="J790:J804" si="109">E790*3+F790*1</f>
        <v>58</v>
      </c>
    </row>
    <row r="791" spans="2:10" x14ac:dyDescent="0.25">
      <c r="B791" s="2">
        <v>3</v>
      </c>
      <c r="C791" s="4" t="s">
        <v>2</v>
      </c>
      <c r="D791" s="22">
        <f t="shared" si="108"/>
        <v>30</v>
      </c>
      <c r="E791" s="22">
        <v>16</v>
      </c>
      <c r="F791" s="22">
        <v>4</v>
      </c>
      <c r="G791" s="22">
        <v>10</v>
      </c>
      <c r="H791" s="22">
        <v>61</v>
      </c>
      <c r="I791" s="22">
        <v>38</v>
      </c>
      <c r="J791" s="23">
        <f t="shared" si="109"/>
        <v>52</v>
      </c>
    </row>
    <row r="792" spans="2:10" x14ac:dyDescent="0.25">
      <c r="B792" s="2">
        <v>4</v>
      </c>
      <c r="C792" s="4" t="s">
        <v>3</v>
      </c>
      <c r="D792" s="22">
        <f t="shared" si="108"/>
        <v>30</v>
      </c>
      <c r="E792" s="22">
        <v>15</v>
      </c>
      <c r="F792" s="22">
        <v>6</v>
      </c>
      <c r="G792" s="22">
        <v>9</v>
      </c>
      <c r="H792" s="22">
        <v>58</v>
      </c>
      <c r="I792" s="22">
        <v>33</v>
      </c>
      <c r="J792" s="23">
        <f t="shared" si="109"/>
        <v>51</v>
      </c>
    </row>
    <row r="793" spans="2:10" x14ac:dyDescent="0.25">
      <c r="B793" s="2">
        <v>5</v>
      </c>
      <c r="C793" s="4" t="s">
        <v>4</v>
      </c>
      <c r="D793" s="22">
        <f t="shared" si="108"/>
        <v>30</v>
      </c>
      <c r="E793" s="22">
        <v>16</v>
      </c>
      <c r="F793" s="22">
        <v>3</v>
      </c>
      <c r="G793" s="22">
        <v>11</v>
      </c>
      <c r="H793" s="22">
        <v>50</v>
      </c>
      <c r="I793" s="22">
        <v>31</v>
      </c>
      <c r="J793" s="23">
        <f t="shared" si="109"/>
        <v>51</v>
      </c>
    </row>
    <row r="794" spans="2:10" x14ac:dyDescent="0.25">
      <c r="B794" s="2">
        <v>6</v>
      </c>
      <c r="C794" s="4" t="s">
        <v>5</v>
      </c>
      <c r="D794" s="22">
        <f t="shared" si="108"/>
        <v>30</v>
      </c>
      <c r="E794" s="22">
        <v>15</v>
      </c>
      <c r="F794" s="22">
        <v>5</v>
      </c>
      <c r="G794" s="22">
        <v>10</v>
      </c>
      <c r="H794" s="22">
        <v>51</v>
      </c>
      <c r="I794" s="22">
        <v>37</v>
      </c>
      <c r="J794" s="23">
        <f t="shared" si="109"/>
        <v>50</v>
      </c>
    </row>
    <row r="795" spans="2:10" x14ac:dyDescent="0.25">
      <c r="B795" s="2">
        <v>7</v>
      </c>
      <c r="C795" s="4" t="s">
        <v>6</v>
      </c>
      <c r="D795" s="22">
        <f t="shared" si="108"/>
        <v>30</v>
      </c>
      <c r="E795" s="22">
        <v>14</v>
      </c>
      <c r="F795" s="22">
        <v>7</v>
      </c>
      <c r="G795" s="22">
        <v>9</v>
      </c>
      <c r="H795" s="22">
        <v>52</v>
      </c>
      <c r="I795" s="22">
        <v>38</v>
      </c>
      <c r="J795" s="23">
        <f t="shared" si="109"/>
        <v>49</v>
      </c>
    </row>
    <row r="796" spans="2:10" x14ac:dyDescent="0.25">
      <c r="B796" s="2">
        <v>8</v>
      </c>
      <c r="C796" s="4" t="s">
        <v>7</v>
      </c>
      <c r="D796" s="22">
        <f t="shared" si="108"/>
        <v>30</v>
      </c>
      <c r="E796" s="22">
        <v>14</v>
      </c>
      <c r="F796" s="22">
        <v>4</v>
      </c>
      <c r="G796" s="22">
        <v>12</v>
      </c>
      <c r="H796" s="22">
        <v>50</v>
      </c>
      <c r="I796" s="22">
        <v>37</v>
      </c>
      <c r="J796" s="23">
        <f t="shared" si="109"/>
        <v>46</v>
      </c>
    </row>
    <row r="797" spans="2:10" x14ac:dyDescent="0.25">
      <c r="B797" s="2">
        <v>9</v>
      </c>
      <c r="C797" s="2" t="s">
        <v>8</v>
      </c>
      <c r="D797" s="22">
        <f t="shared" si="108"/>
        <v>30</v>
      </c>
      <c r="E797" s="22">
        <v>12</v>
      </c>
      <c r="F797" s="22">
        <v>3</v>
      </c>
      <c r="G797" s="22">
        <v>15</v>
      </c>
      <c r="H797" s="22">
        <v>45</v>
      </c>
      <c r="I797" s="22">
        <v>43</v>
      </c>
      <c r="J797" s="23">
        <f t="shared" si="109"/>
        <v>39</v>
      </c>
    </row>
    <row r="798" spans="2:10" x14ac:dyDescent="0.25">
      <c r="B798" s="2">
        <v>10</v>
      </c>
      <c r="C798" s="4" t="s">
        <v>9</v>
      </c>
      <c r="D798" s="22">
        <f t="shared" si="108"/>
        <v>30</v>
      </c>
      <c r="E798" s="22">
        <v>10</v>
      </c>
      <c r="F798" s="22">
        <v>7</v>
      </c>
      <c r="G798" s="22">
        <v>13</v>
      </c>
      <c r="H798" s="22">
        <v>38</v>
      </c>
      <c r="I798" s="22">
        <v>45</v>
      </c>
      <c r="J798" s="23">
        <f t="shared" si="109"/>
        <v>37</v>
      </c>
    </row>
    <row r="799" spans="2:10" x14ac:dyDescent="0.25">
      <c r="B799" s="2">
        <v>11</v>
      </c>
      <c r="C799" s="4" t="s">
        <v>10</v>
      </c>
      <c r="D799" s="22">
        <f t="shared" si="108"/>
        <v>30</v>
      </c>
      <c r="E799" s="22">
        <v>10</v>
      </c>
      <c r="F799" s="22">
        <v>6</v>
      </c>
      <c r="G799" s="22">
        <v>14</v>
      </c>
      <c r="H799" s="22">
        <v>38</v>
      </c>
      <c r="I799" s="22">
        <v>49</v>
      </c>
      <c r="J799" s="23">
        <f t="shared" si="109"/>
        <v>36</v>
      </c>
    </row>
    <row r="800" spans="2:10" x14ac:dyDescent="0.25">
      <c r="B800" s="2">
        <v>12</v>
      </c>
      <c r="C800" s="2" t="s">
        <v>11</v>
      </c>
      <c r="D800" s="22">
        <f t="shared" si="108"/>
        <v>30</v>
      </c>
      <c r="E800" s="22">
        <v>10</v>
      </c>
      <c r="F800" s="22">
        <v>5</v>
      </c>
      <c r="G800" s="22">
        <v>15</v>
      </c>
      <c r="H800" s="22">
        <v>53</v>
      </c>
      <c r="I800" s="22">
        <v>57</v>
      </c>
      <c r="J800" s="23">
        <f t="shared" si="109"/>
        <v>35</v>
      </c>
    </row>
    <row r="801" spans="2:10" x14ac:dyDescent="0.25">
      <c r="B801" s="2">
        <v>13</v>
      </c>
      <c r="C801" s="4" t="s">
        <v>12</v>
      </c>
      <c r="D801" s="22">
        <f t="shared" si="108"/>
        <v>30</v>
      </c>
      <c r="E801" s="22">
        <v>10</v>
      </c>
      <c r="F801" s="22">
        <v>5</v>
      </c>
      <c r="G801" s="22">
        <v>15</v>
      </c>
      <c r="H801" s="22">
        <v>27</v>
      </c>
      <c r="I801" s="22">
        <v>50</v>
      </c>
      <c r="J801" s="23">
        <f t="shared" si="109"/>
        <v>35</v>
      </c>
    </row>
    <row r="802" spans="2:10" x14ac:dyDescent="0.25">
      <c r="B802" s="2">
        <v>14</v>
      </c>
      <c r="C802" s="4" t="s">
        <v>13</v>
      </c>
      <c r="D802" s="22">
        <f t="shared" si="108"/>
        <v>30</v>
      </c>
      <c r="E802" s="22">
        <v>6</v>
      </c>
      <c r="F802" s="22">
        <v>9</v>
      </c>
      <c r="G802" s="22">
        <v>15</v>
      </c>
      <c r="H802" s="22">
        <v>39</v>
      </c>
      <c r="I802" s="22">
        <v>57</v>
      </c>
      <c r="J802" s="23">
        <f t="shared" si="109"/>
        <v>27</v>
      </c>
    </row>
    <row r="803" spans="2:10" x14ac:dyDescent="0.25">
      <c r="B803" s="2">
        <v>15</v>
      </c>
      <c r="C803" s="4" t="s">
        <v>14</v>
      </c>
      <c r="D803" s="22">
        <f t="shared" si="108"/>
        <v>0</v>
      </c>
      <c r="E803" s="22"/>
      <c r="F803" s="22"/>
      <c r="G803" s="22"/>
      <c r="H803" s="22"/>
      <c r="I803" s="22"/>
      <c r="J803" s="23">
        <f t="shared" si="109"/>
        <v>0</v>
      </c>
    </row>
    <row r="804" spans="2:10" x14ac:dyDescent="0.25">
      <c r="B804" s="2">
        <v>16</v>
      </c>
      <c r="C804" s="4" t="s">
        <v>14</v>
      </c>
      <c r="D804" s="22">
        <f t="shared" si="108"/>
        <v>0</v>
      </c>
      <c r="E804" s="22"/>
      <c r="F804" s="22"/>
      <c r="G804" s="22"/>
      <c r="H804" s="22"/>
      <c r="I804" s="22"/>
      <c r="J804" s="23">
        <f t="shared" si="109"/>
        <v>0</v>
      </c>
    </row>
  </sheetData>
  <sortState ref="B25:N98">
    <sortCondition descending="1" ref="J25:J98"/>
    <sortCondition ref="D25:D98"/>
    <sortCondition descending="1" ref="E25:E98"/>
    <sortCondition descending="1" ref="H25:H98"/>
    <sortCondition ref="I25:I98"/>
  </sortState>
  <mergeCells count="39">
    <mergeCell ref="B357:J357"/>
    <mergeCell ref="B340:J340"/>
    <mergeCell ref="B374:J374"/>
    <mergeCell ref="B572:J572"/>
    <mergeCell ref="B554:J554"/>
    <mergeCell ref="B536:J536"/>
    <mergeCell ref="B518:J518"/>
    <mergeCell ref="B500:J500"/>
    <mergeCell ref="B482:J482"/>
    <mergeCell ref="B464:J464"/>
    <mergeCell ref="B446:J446"/>
    <mergeCell ref="B428:J428"/>
    <mergeCell ref="B410:J410"/>
    <mergeCell ref="B392:J392"/>
    <mergeCell ref="B590:J590"/>
    <mergeCell ref="B788:J788"/>
    <mergeCell ref="B770:J770"/>
    <mergeCell ref="B752:J752"/>
    <mergeCell ref="B734:J734"/>
    <mergeCell ref="B716:J716"/>
    <mergeCell ref="B698:J698"/>
    <mergeCell ref="B680:J680"/>
    <mergeCell ref="B662:J662"/>
    <mergeCell ref="B644:J644"/>
    <mergeCell ref="B626:J626"/>
    <mergeCell ref="B608:J608"/>
    <mergeCell ref="B138:J138"/>
    <mergeCell ref="B120:J120"/>
    <mergeCell ref="B102:J102"/>
    <mergeCell ref="B264:J264"/>
    <mergeCell ref="B320:J320"/>
    <mergeCell ref="B301:J301"/>
    <mergeCell ref="B282:J282"/>
    <mergeCell ref="B156:J156"/>
    <mergeCell ref="B246:J246"/>
    <mergeCell ref="B228:J228"/>
    <mergeCell ref="B210:J210"/>
    <mergeCell ref="B192:J192"/>
    <mergeCell ref="B174:J174"/>
  </mergeCells>
  <conditionalFormatting sqref="O25:O8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6:O9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X49"/>
  <sheetViews>
    <sheetView topLeftCell="X1" workbookViewId="0">
      <selection activeCell="AP19" sqref="AP19"/>
    </sheetView>
  </sheetViews>
  <sheetFormatPr defaultRowHeight="12.75" x14ac:dyDescent="0.2"/>
  <cols>
    <col min="1" max="1" width="1.85546875" style="39" customWidth="1"/>
    <col min="2" max="2" width="3.28515625" style="44" customWidth="1"/>
    <col min="3" max="3" width="20.42578125" style="39" customWidth="1"/>
    <col min="4" max="10" width="4.42578125" style="39" customWidth="1"/>
    <col min="11" max="11" width="1.85546875" style="39" customWidth="1"/>
    <col min="12" max="12" width="3.28515625" style="44" customWidth="1"/>
    <col min="13" max="13" width="20.42578125" style="39" customWidth="1"/>
    <col min="14" max="20" width="4.42578125" style="39" customWidth="1"/>
    <col min="21" max="21" width="1.85546875" style="39" customWidth="1"/>
    <col min="22" max="22" width="3.28515625" style="44" customWidth="1"/>
    <col min="23" max="23" width="20.42578125" style="39" customWidth="1"/>
    <col min="24" max="30" width="4.42578125" style="39" customWidth="1"/>
    <col min="31" max="31" width="1.85546875" style="39" customWidth="1"/>
    <col min="32" max="32" width="3.28515625" style="39" customWidth="1"/>
    <col min="33" max="33" width="20.42578125" style="39" customWidth="1"/>
    <col min="34" max="40" width="4.42578125" style="39" customWidth="1"/>
    <col min="41" max="41" width="16" style="39" bestFit="1" customWidth="1"/>
    <col min="42" max="42" width="32.28515625" style="39" bestFit="1" customWidth="1"/>
    <col min="43" max="53" width="3.140625" style="39" customWidth="1"/>
    <col min="54" max="16384" width="9.140625" style="39"/>
  </cols>
  <sheetData>
    <row r="2" spans="2:50" x14ac:dyDescent="0.2">
      <c r="B2" s="54" t="s">
        <v>15</v>
      </c>
      <c r="C2" s="54"/>
      <c r="D2" s="54"/>
      <c r="E2" s="54"/>
      <c r="F2" s="54"/>
      <c r="G2" s="54"/>
      <c r="H2" s="54"/>
      <c r="I2" s="54"/>
      <c r="J2" s="54"/>
      <c r="L2" s="54" t="s">
        <v>46</v>
      </c>
      <c r="M2" s="54"/>
      <c r="N2" s="54"/>
      <c r="O2" s="54"/>
      <c r="P2" s="54"/>
      <c r="Q2" s="54"/>
      <c r="R2" s="54"/>
      <c r="S2" s="54"/>
      <c r="T2" s="54"/>
      <c r="V2" s="54" t="s">
        <v>91</v>
      </c>
      <c r="W2" s="54"/>
      <c r="X2" s="54"/>
      <c r="Y2" s="54"/>
      <c r="Z2" s="54"/>
      <c r="AA2" s="54"/>
      <c r="AB2" s="54"/>
      <c r="AC2" s="54"/>
      <c r="AD2" s="54"/>
      <c r="AF2" s="54" t="s">
        <v>157</v>
      </c>
      <c r="AG2" s="54"/>
      <c r="AH2" s="54"/>
      <c r="AI2" s="54"/>
      <c r="AJ2" s="54"/>
      <c r="AK2" s="54"/>
      <c r="AL2" s="54"/>
      <c r="AM2" s="54"/>
      <c r="AN2" s="54"/>
    </row>
    <row r="3" spans="2:50" x14ac:dyDescent="0.2">
      <c r="B3" s="40">
        <v>1</v>
      </c>
      <c r="C3" s="41" t="s">
        <v>0</v>
      </c>
      <c r="D3" s="42">
        <f>E3+F3+G3</f>
        <v>30</v>
      </c>
      <c r="E3" s="42">
        <v>22</v>
      </c>
      <c r="F3" s="42">
        <v>2</v>
      </c>
      <c r="G3" s="42">
        <v>6</v>
      </c>
      <c r="H3" s="42">
        <v>57</v>
      </c>
      <c r="I3" s="42">
        <v>25</v>
      </c>
      <c r="J3" s="43">
        <f>E3*3+F3*1</f>
        <v>68</v>
      </c>
      <c r="L3" s="40">
        <v>1</v>
      </c>
      <c r="M3" s="41" t="s">
        <v>24</v>
      </c>
      <c r="N3" s="42">
        <v>30</v>
      </c>
      <c r="O3" s="42">
        <v>27</v>
      </c>
      <c r="P3" s="42">
        <v>3</v>
      </c>
      <c r="Q3" s="42">
        <f>N3-O3-P3</f>
        <v>0</v>
      </c>
      <c r="R3" s="42">
        <v>115</v>
      </c>
      <c r="S3" s="42">
        <v>8</v>
      </c>
      <c r="T3" s="43">
        <f>O3*3+P3*1</f>
        <v>84</v>
      </c>
      <c r="V3" s="40">
        <v>1</v>
      </c>
      <c r="W3" s="41" t="s">
        <v>18</v>
      </c>
      <c r="X3" s="42">
        <v>30</v>
      </c>
      <c r="Y3" s="42">
        <v>25</v>
      </c>
      <c r="Z3" s="42">
        <v>2</v>
      </c>
      <c r="AA3" s="42">
        <f>X3-Y3-Z3</f>
        <v>3</v>
      </c>
      <c r="AB3" s="42">
        <v>97</v>
      </c>
      <c r="AC3" s="42">
        <v>17</v>
      </c>
      <c r="AD3" s="43">
        <f>Y3*3+Z3*1</f>
        <v>77</v>
      </c>
      <c r="AF3" s="40">
        <v>1</v>
      </c>
      <c r="AG3" s="46" t="s">
        <v>64</v>
      </c>
      <c r="AH3" s="48">
        <v>30</v>
      </c>
      <c r="AI3" s="48">
        <v>26</v>
      </c>
      <c r="AJ3" s="48">
        <v>2</v>
      </c>
      <c r="AK3" s="48">
        <v>2</v>
      </c>
      <c r="AL3" s="48">
        <v>122</v>
      </c>
      <c r="AM3" s="48">
        <v>23</v>
      </c>
      <c r="AN3" s="48">
        <v>80</v>
      </c>
      <c r="AO3" s="39" t="s">
        <v>105</v>
      </c>
      <c r="AP3" s="39" t="s">
        <v>103</v>
      </c>
    </row>
    <row r="4" spans="2:50" x14ac:dyDescent="0.2">
      <c r="B4" s="40">
        <v>2</v>
      </c>
      <c r="C4" s="41" t="s">
        <v>1</v>
      </c>
      <c r="D4" s="42">
        <f t="shared" ref="D4:D5" si="0">E4+F4+G4</f>
        <v>30</v>
      </c>
      <c r="E4" s="42">
        <v>18</v>
      </c>
      <c r="F4" s="42">
        <v>4</v>
      </c>
      <c r="G4" s="42">
        <v>8</v>
      </c>
      <c r="H4" s="42">
        <v>60</v>
      </c>
      <c r="I4" s="42">
        <v>44</v>
      </c>
      <c r="J4" s="43">
        <f t="shared" ref="J4:J5" si="1">E4*3+F4*1</f>
        <v>58</v>
      </c>
      <c r="L4" s="40">
        <v>2</v>
      </c>
      <c r="M4" s="41" t="s">
        <v>18</v>
      </c>
      <c r="N4" s="42">
        <v>30</v>
      </c>
      <c r="O4" s="42">
        <v>21</v>
      </c>
      <c r="P4" s="42">
        <v>5</v>
      </c>
      <c r="Q4" s="42">
        <f t="shared" ref="Q4:Q5" si="2">N4-O4-P4</f>
        <v>4</v>
      </c>
      <c r="R4" s="42">
        <v>142</v>
      </c>
      <c r="S4" s="42">
        <v>28</v>
      </c>
      <c r="T4" s="43">
        <f t="shared" ref="T4:T5" si="3">O4*3+P4*1</f>
        <v>68</v>
      </c>
      <c r="V4" s="40">
        <v>2</v>
      </c>
      <c r="W4" s="41" t="s">
        <v>32</v>
      </c>
      <c r="X4" s="42">
        <v>30</v>
      </c>
      <c r="Y4" s="42">
        <v>25</v>
      </c>
      <c r="Z4" s="42">
        <v>1</v>
      </c>
      <c r="AA4" s="42">
        <f t="shared" ref="AA4:AA5" si="4">X4-Y4-Z4</f>
        <v>4</v>
      </c>
      <c r="AB4" s="42">
        <v>109</v>
      </c>
      <c r="AC4" s="42">
        <v>32</v>
      </c>
      <c r="AD4" s="43">
        <f t="shared" ref="AD4:AD5" si="5">Y4*3+Z4*1</f>
        <v>76</v>
      </c>
      <c r="AF4" s="40">
        <v>2</v>
      </c>
      <c r="AG4" s="46" t="s">
        <v>128</v>
      </c>
      <c r="AH4" s="48">
        <v>30</v>
      </c>
      <c r="AI4" s="48">
        <v>23</v>
      </c>
      <c r="AJ4" s="48">
        <v>4</v>
      </c>
      <c r="AK4" s="48">
        <v>3</v>
      </c>
      <c r="AL4" s="48">
        <v>100</v>
      </c>
      <c r="AM4" s="48">
        <v>24</v>
      </c>
      <c r="AN4" s="48">
        <v>73</v>
      </c>
      <c r="AP4" s="39" t="s">
        <v>186</v>
      </c>
    </row>
    <row r="5" spans="2:50" x14ac:dyDescent="0.2">
      <c r="B5" s="40">
        <v>3</v>
      </c>
      <c r="C5" s="41" t="s">
        <v>2</v>
      </c>
      <c r="D5" s="42">
        <f t="shared" si="0"/>
        <v>30</v>
      </c>
      <c r="E5" s="42">
        <v>16</v>
      </c>
      <c r="F5" s="42">
        <v>4</v>
      </c>
      <c r="G5" s="42">
        <v>10</v>
      </c>
      <c r="H5" s="42">
        <v>61</v>
      </c>
      <c r="I5" s="42">
        <v>38</v>
      </c>
      <c r="J5" s="43">
        <f t="shared" si="1"/>
        <v>52</v>
      </c>
      <c r="L5" s="40">
        <v>3</v>
      </c>
      <c r="M5" s="41" t="s">
        <v>33</v>
      </c>
      <c r="N5" s="42">
        <v>30</v>
      </c>
      <c r="O5" s="42">
        <v>21</v>
      </c>
      <c r="P5" s="42">
        <v>3</v>
      </c>
      <c r="Q5" s="42">
        <f t="shared" si="2"/>
        <v>6</v>
      </c>
      <c r="R5" s="42">
        <v>121</v>
      </c>
      <c r="S5" s="42">
        <v>25</v>
      </c>
      <c r="T5" s="43">
        <f t="shared" si="3"/>
        <v>66</v>
      </c>
      <c r="V5" s="40">
        <v>3</v>
      </c>
      <c r="W5" s="41" t="s">
        <v>64</v>
      </c>
      <c r="X5" s="42">
        <v>30</v>
      </c>
      <c r="Y5" s="42">
        <v>24</v>
      </c>
      <c r="Z5" s="42">
        <v>2</v>
      </c>
      <c r="AA5" s="42">
        <f t="shared" si="4"/>
        <v>4</v>
      </c>
      <c r="AB5" s="42">
        <v>108</v>
      </c>
      <c r="AC5" s="42">
        <v>25</v>
      </c>
      <c r="AD5" s="43">
        <f t="shared" si="5"/>
        <v>74</v>
      </c>
      <c r="AF5" s="40">
        <v>3</v>
      </c>
      <c r="AG5" s="46" t="s">
        <v>32</v>
      </c>
      <c r="AH5" s="48">
        <v>30</v>
      </c>
      <c r="AI5" s="48">
        <v>22</v>
      </c>
      <c r="AJ5" s="48">
        <v>4</v>
      </c>
      <c r="AK5" s="48">
        <v>4</v>
      </c>
      <c r="AL5" s="48">
        <v>80</v>
      </c>
      <c r="AM5" s="48">
        <v>20</v>
      </c>
      <c r="AN5" s="48">
        <v>70</v>
      </c>
      <c r="AO5" s="39" t="s">
        <v>104</v>
      </c>
      <c r="AP5" s="39" t="s">
        <v>106</v>
      </c>
    </row>
    <row r="6" spans="2:50" x14ac:dyDescent="0.2">
      <c r="B6" s="54" t="s">
        <v>16</v>
      </c>
      <c r="C6" s="54"/>
      <c r="D6" s="54"/>
      <c r="E6" s="54"/>
      <c r="F6" s="54"/>
      <c r="G6" s="54"/>
      <c r="H6" s="54"/>
      <c r="I6" s="54"/>
      <c r="J6" s="54"/>
      <c r="L6" s="54" t="s">
        <v>49</v>
      </c>
      <c r="M6" s="54"/>
      <c r="N6" s="54"/>
      <c r="O6" s="54"/>
      <c r="P6" s="54"/>
      <c r="Q6" s="54"/>
      <c r="R6" s="54"/>
      <c r="S6" s="54"/>
      <c r="T6" s="54"/>
      <c r="V6" s="54" t="s">
        <v>94</v>
      </c>
      <c r="W6" s="54"/>
      <c r="X6" s="54"/>
      <c r="Y6" s="54"/>
      <c r="Z6" s="54"/>
      <c r="AA6" s="54"/>
      <c r="AB6" s="54"/>
      <c r="AC6" s="54"/>
      <c r="AD6" s="54"/>
      <c r="AF6" s="54" t="s">
        <v>159</v>
      </c>
      <c r="AG6" s="54"/>
      <c r="AH6" s="54"/>
      <c r="AI6" s="54"/>
      <c r="AJ6" s="54"/>
      <c r="AK6" s="54"/>
      <c r="AL6" s="54"/>
      <c r="AM6" s="54"/>
      <c r="AN6" s="54"/>
      <c r="AO6" s="39" t="s">
        <v>107</v>
      </c>
      <c r="AP6" s="39" t="s">
        <v>108</v>
      </c>
    </row>
    <row r="7" spans="2:50" x14ac:dyDescent="0.2">
      <c r="B7" s="40">
        <v>1</v>
      </c>
      <c r="C7" s="41" t="s">
        <v>0</v>
      </c>
      <c r="D7" s="42">
        <f>E7+F7+G7</f>
        <v>30</v>
      </c>
      <c r="E7" s="42">
        <v>19</v>
      </c>
      <c r="F7" s="42">
        <v>8</v>
      </c>
      <c r="G7" s="42">
        <v>3</v>
      </c>
      <c r="H7" s="42">
        <v>64</v>
      </c>
      <c r="I7" s="42">
        <v>30</v>
      </c>
      <c r="J7" s="43">
        <f>E7*3+F7*1</f>
        <v>65</v>
      </c>
      <c r="L7" s="40">
        <v>1</v>
      </c>
      <c r="M7" s="41" t="s">
        <v>43</v>
      </c>
      <c r="N7" s="42">
        <v>30</v>
      </c>
      <c r="O7" s="42">
        <v>25</v>
      </c>
      <c r="P7" s="42">
        <v>3</v>
      </c>
      <c r="Q7" s="42">
        <f>N7-O7-P7</f>
        <v>2</v>
      </c>
      <c r="R7" s="42">
        <v>104</v>
      </c>
      <c r="S7" s="42">
        <v>15</v>
      </c>
      <c r="T7" s="43">
        <f>O7*3+P7*1</f>
        <v>78</v>
      </c>
      <c r="V7" s="40">
        <v>1</v>
      </c>
      <c r="W7" s="41" t="s">
        <v>70</v>
      </c>
      <c r="X7" s="42">
        <v>30</v>
      </c>
      <c r="Y7" s="42">
        <v>25</v>
      </c>
      <c r="Z7" s="42">
        <v>0</v>
      </c>
      <c r="AA7" s="42">
        <f>X7-Y7-Z7</f>
        <v>5</v>
      </c>
      <c r="AB7" s="42">
        <v>118</v>
      </c>
      <c r="AC7" s="42">
        <v>18</v>
      </c>
      <c r="AD7" s="43">
        <f>Y7*3+Z7*1</f>
        <v>75</v>
      </c>
      <c r="AF7" s="40">
        <v>1</v>
      </c>
      <c r="AG7" s="46" t="s">
        <v>64</v>
      </c>
      <c r="AH7" s="48">
        <v>30</v>
      </c>
      <c r="AI7" s="48">
        <v>28</v>
      </c>
      <c r="AJ7" s="48">
        <v>1</v>
      </c>
      <c r="AK7" s="48">
        <v>1</v>
      </c>
      <c r="AL7" s="48">
        <v>122</v>
      </c>
      <c r="AM7" s="48">
        <v>20</v>
      </c>
      <c r="AN7" s="48">
        <v>85</v>
      </c>
      <c r="AO7" s="39" t="s">
        <v>109</v>
      </c>
      <c r="AP7" s="39" t="s">
        <v>110</v>
      </c>
    </row>
    <row r="8" spans="2:50" x14ac:dyDescent="0.2">
      <c r="B8" s="40">
        <v>2</v>
      </c>
      <c r="C8" s="41" t="s">
        <v>1</v>
      </c>
      <c r="D8" s="42">
        <f t="shared" ref="D8:D9" si="6">E8+F8+G8</f>
        <v>30</v>
      </c>
      <c r="E8" s="42">
        <v>17</v>
      </c>
      <c r="F8" s="42">
        <v>8</v>
      </c>
      <c r="G8" s="42">
        <v>5</v>
      </c>
      <c r="H8" s="42">
        <v>55</v>
      </c>
      <c r="I8" s="42">
        <v>23</v>
      </c>
      <c r="J8" s="43">
        <f t="shared" ref="J8:J9" si="7">E8*3+F8*1</f>
        <v>59</v>
      </c>
      <c r="L8" s="40">
        <v>2</v>
      </c>
      <c r="M8" s="41" t="s">
        <v>24</v>
      </c>
      <c r="N8" s="42">
        <v>30</v>
      </c>
      <c r="O8" s="42">
        <v>24</v>
      </c>
      <c r="P8" s="42">
        <v>3</v>
      </c>
      <c r="Q8" s="42">
        <f t="shared" ref="Q8:Q9" si="8">N8-O8-P8</f>
        <v>3</v>
      </c>
      <c r="R8" s="42">
        <v>103</v>
      </c>
      <c r="S8" s="42">
        <v>26</v>
      </c>
      <c r="T8" s="43">
        <f t="shared" ref="T8:T9" si="9">O8*3+P8*1</f>
        <v>75</v>
      </c>
      <c r="V8" s="40">
        <v>2</v>
      </c>
      <c r="W8" s="41" t="s">
        <v>43</v>
      </c>
      <c r="X8" s="42">
        <v>30</v>
      </c>
      <c r="Y8" s="42">
        <v>25</v>
      </c>
      <c r="Z8" s="42">
        <v>0</v>
      </c>
      <c r="AA8" s="42">
        <f t="shared" ref="AA8:AA9" si="10">X8-Y8-Z8</f>
        <v>5</v>
      </c>
      <c r="AB8" s="42">
        <v>110</v>
      </c>
      <c r="AC8" s="42">
        <v>20</v>
      </c>
      <c r="AD8" s="43">
        <f t="shared" ref="AD8:AD9" si="11">Y8*3+Z8*1</f>
        <v>75</v>
      </c>
      <c r="AF8" s="40">
        <v>2</v>
      </c>
      <c r="AG8" s="46" t="s">
        <v>128</v>
      </c>
      <c r="AH8" s="48">
        <v>30</v>
      </c>
      <c r="AI8" s="48">
        <v>26</v>
      </c>
      <c r="AJ8" s="48">
        <v>3</v>
      </c>
      <c r="AK8" s="48">
        <v>1</v>
      </c>
      <c r="AL8" s="48">
        <v>118</v>
      </c>
      <c r="AM8" s="48">
        <v>17</v>
      </c>
      <c r="AN8" s="48">
        <v>81</v>
      </c>
      <c r="AP8" s="39" t="s">
        <v>187</v>
      </c>
    </row>
    <row r="9" spans="2:50" x14ac:dyDescent="0.2">
      <c r="B9" s="40">
        <v>3</v>
      </c>
      <c r="C9" s="41" t="s">
        <v>3</v>
      </c>
      <c r="D9" s="42">
        <f t="shared" si="6"/>
        <v>30</v>
      </c>
      <c r="E9" s="42">
        <v>17</v>
      </c>
      <c r="F9" s="42">
        <v>4</v>
      </c>
      <c r="G9" s="42">
        <v>9</v>
      </c>
      <c r="H9" s="42">
        <v>50</v>
      </c>
      <c r="I9" s="42">
        <v>31</v>
      </c>
      <c r="J9" s="43">
        <f t="shared" si="7"/>
        <v>55</v>
      </c>
      <c r="L9" s="40">
        <v>3</v>
      </c>
      <c r="M9" s="41" t="s">
        <v>18</v>
      </c>
      <c r="N9" s="42">
        <v>30</v>
      </c>
      <c r="O9" s="42">
        <v>22</v>
      </c>
      <c r="P9" s="42">
        <v>4</v>
      </c>
      <c r="Q9" s="42">
        <f t="shared" si="8"/>
        <v>4</v>
      </c>
      <c r="R9" s="42">
        <v>120</v>
      </c>
      <c r="S9" s="42">
        <v>27</v>
      </c>
      <c r="T9" s="43">
        <f t="shared" si="9"/>
        <v>70</v>
      </c>
      <c r="V9" s="40">
        <v>3</v>
      </c>
      <c r="W9" s="41" t="s">
        <v>64</v>
      </c>
      <c r="X9" s="42">
        <v>30</v>
      </c>
      <c r="Y9" s="42">
        <v>24</v>
      </c>
      <c r="Z9" s="42">
        <v>2</v>
      </c>
      <c r="AA9" s="42">
        <f t="shared" si="10"/>
        <v>4</v>
      </c>
      <c r="AB9" s="42">
        <v>138</v>
      </c>
      <c r="AC9" s="42">
        <v>21</v>
      </c>
      <c r="AD9" s="43">
        <f t="shared" si="11"/>
        <v>74</v>
      </c>
      <c r="AF9" s="40">
        <v>3</v>
      </c>
      <c r="AG9" s="46" t="s">
        <v>32</v>
      </c>
      <c r="AH9" s="48">
        <v>30</v>
      </c>
      <c r="AI9" s="48">
        <v>21</v>
      </c>
      <c r="AJ9" s="48">
        <v>4</v>
      </c>
      <c r="AK9" s="48">
        <v>5</v>
      </c>
      <c r="AL9" s="48">
        <v>88</v>
      </c>
      <c r="AM9" s="48">
        <v>29</v>
      </c>
      <c r="AN9" s="48">
        <v>67</v>
      </c>
    </row>
    <row r="10" spans="2:50" x14ac:dyDescent="0.2">
      <c r="B10" s="54" t="s">
        <v>22</v>
      </c>
      <c r="C10" s="54"/>
      <c r="D10" s="54"/>
      <c r="E10" s="54"/>
      <c r="F10" s="54"/>
      <c r="G10" s="54"/>
      <c r="H10" s="54"/>
      <c r="I10" s="54"/>
      <c r="J10" s="54"/>
      <c r="L10" s="54" t="s">
        <v>54</v>
      </c>
      <c r="M10" s="54"/>
      <c r="N10" s="54"/>
      <c r="O10" s="54"/>
      <c r="P10" s="54"/>
      <c r="Q10" s="54"/>
      <c r="R10" s="54"/>
      <c r="S10" s="54"/>
      <c r="T10" s="54"/>
      <c r="V10" s="54" t="s">
        <v>111</v>
      </c>
      <c r="W10" s="54"/>
      <c r="X10" s="54"/>
      <c r="Y10" s="54"/>
      <c r="Z10" s="54"/>
      <c r="AA10" s="54"/>
      <c r="AB10" s="54"/>
      <c r="AC10" s="54"/>
      <c r="AD10" s="54"/>
      <c r="AF10" s="54" t="s">
        <v>162</v>
      </c>
      <c r="AG10" s="54"/>
      <c r="AH10" s="54"/>
      <c r="AI10" s="54"/>
      <c r="AJ10" s="54"/>
      <c r="AK10" s="54"/>
      <c r="AL10" s="54"/>
      <c r="AM10" s="54"/>
      <c r="AN10" s="54"/>
    </row>
    <row r="11" spans="2:50" x14ac:dyDescent="0.2">
      <c r="B11" s="40">
        <v>1</v>
      </c>
      <c r="C11" s="41" t="s">
        <v>1</v>
      </c>
      <c r="D11" s="42">
        <f>E11+F11+G11</f>
        <v>30</v>
      </c>
      <c r="E11" s="42">
        <v>19</v>
      </c>
      <c r="F11" s="42">
        <v>8</v>
      </c>
      <c r="G11" s="42">
        <v>3</v>
      </c>
      <c r="H11" s="42">
        <v>51</v>
      </c>
      <c r="I11" s="42">
        <v>22</v>
      </c>
      <c r="J11" s="43">
        <f>E11*3+F11*1</f>
        <v>65</v>
      </c>
      <c r="L11" s="40">
        <v>1</v>
      </c>
      <c r="M11" s="41" t="s">
        <v>18</v>
      </c>
      <c r="N11" s="42">
        <v>30</v>
      </c>
      <c r="O11" s="42">
        <v>27</v>
      </c>
      <c r="P11" s="42">
        <v>1</v>
      </c>
      <c r="Q11" s="42">
        <f>N11-O11-P11</f>
        <v>2</v>
      </c>
      <c r="R11" s="42">
        <v>163</v>
      </c>
      <c r="S11" s="42">
        <v>16</v>
      </c>
      <c r="T11" s="43">
        <f>O11*3+P11*1</f>
        <v>82</v>
      </c>
      <c r="V11" s="40">
        <v>1</v>
      </c>
      <c r="W11" s="41" t="s">
        <v>70</v>
      </c>
      <c r="X11" s="42">
        <v>30</v>
      </c>
      <c r="Y11" s="42">
        <v>27</v>
      </c>
      <c r="Z11" s="42">
        <v>1</v>
      </c>
      <c r="AA11" s="42">
        <f>X11-Y11-Z11</f>
        <v>2</v>
      </c>
      <c r="AB11" s="42">
        <v>118</v>
      </c>
      <c r="AC11" s="42">
        <v>18</v>
      </c>
      <c r="AD11" s="43">
        <f>Y11*3+Z11*1</f>
        <v>82</v>
      </c>
      <c r="AF11" s="40">
        <v>1</v>
      </c>
      <c r="AG11" s="46" t="s">
        <v>32</v>
      </c>
      <c r="AH11" s="48">
        <v>30</v>
      </c>
      <c r="AI11" s="48">
        <v>24</v>
      </c>
      <c r="AJ11" s="48">
        <v>2</v>
      </c>
      <c r="AK11" s="48">
        <v>4</v>
      </c>
      <c r="AL11" s="48">
        <v>104</v>
      </c>
      <c r="AM11" s="48">
        <v>29</v>
      </c>
      <c r="AN11" s="48">
        <v>74</v>
      </c>
    </row>
    <row r="12" spans="2:50" x14ac:dyDescent="0.2">
      <c r="B12" s="40">
        <v>2</v>
      </c>
      <c r="C12" s="41" t="s">
        <v>0</v>
      </c>
      <c r="D12" s="42">
        <f t="shared" ref="D12:D13" si="12">E12+F12+G12</f>
        <v>30</v>
      </c>
      <c r="E12" s="42">
        <v>16</v>
      </c>
      <c r="F12" s="42">
        <v>8</v>
      </c>
      <c r="G12" s="42">
        <v>6</v>
      </c>
      <c r="H12" s="42">
        <v>64</v>
      </c>
      <c r="I12" s="42">
        <v>32</v>
      </c>
      <c r="J12" s="43">
        <f t="shared" ref="J12:J13" si="13">E12*3+F12*1</f>
        <v>56</v>
      </c>
      <c r="L12" s="40">
        <v>2</v>
      </c>
      <c r="M12" s="41" t="s">
        <v>43</v>
      </c>
      <c r="N12" s="42">
        <v>30</v>
      </c>
      <c r="O12" s="42">
        <v>25</v>
      </c>
      <c r="P12" s="42">
        <v>2</v>
      </c>
      <c r="Q12" s="42">
        <f t="shared" ref="Q12:Q13" si="14">N12-O12-P12</f>
        <v>3</v>
      </c>
      <c r="R12" s="42">
        <v>108</v>
      </c>
      <c r="S12" s="42">
        <v>17</v>
      </c>
      <c r="T12" s="43">
        <f t="shared" ref="T12:T13" si="15">O12*3+P12*1</f>
        <v>77</v>
      </c>
      <c r="V12" s="40">
        <v>2</v>
      </c>
      <c r="W12" s="41" t="s">
        <v>33</v>
      </c>
      <c r="X12" s="42">
        <v>30</v>
      </c>
      <c r="Y12" s="42">
        <v>25</v>
      </c>
      <c r="Z12" s="42">
        <v>3</v>
      </c>
      <c r="AA12" s="42">
        <f t="shared" ref="AA12:AA13" si="16">X12-Y12-Z12</f>
        <v>2</v>
      </c>
      <c r="AB12" s="42">
        <v>110</v>
      </c>
      <c r="AC12" s="42">
        <v>20</v>
      </c>
      <c r="AD12" s="43">
        <f t="shared" ref="AD12:AD13" si="17">Y12*3+Z12*1</f>
        <v>78</v>
      </c>
      <c r="AF12" s="40">
        <v>2</v>
      </c>
      <c r="AG12" s="46" t="s">
        <v>128</v>
      </c>
      <c r="AH12" s="48">
        <v>30</v>
      </c>
      <c r="AI12" s="48">
        <v>23</v>
      </c>
      <c r="AJ12" s="48">
        <v>1</v>
      </c>
      <c r="AK12" s="48">
        <v>6</v>
      </c>
      <c r="AL12" s="48">
        <v>98</v>
      </c>
      <c r="AM12" s="48">
        <v>21</v>
      </c>
      <c r="AN12" s="48">
        <v>70</v>
      </c>
    </row>
    <row r="13" spans="2:50" x14ac:dyDescent="0.2">
      <c r="B13" s="40">
        <v>3</v>
      </c>
      <c r="C13" s="41" t="s">
        <v>4</v>
      </c>
      <c r="D13" s="42">
        <f t="shared" si="12"/>
        <v>30</v>
      </c>
      <c r="E13" s="42">
        <v>16</v>
      </c>
      <c r="F13" s="42">
        <v>6</v>
      </c>
      <c r="G13" s="42">
        <v>8</v>
      </c>
      <c r="H13" s="42">
        <v>44</v>
      </c>
      <c r="I13" s="42">
        <v>28</v>
      </c>
      <c r="J13" s="43">
        <f t="shared" si="13"/>
        <v>54</v>
      </c>
      <c r="L13" s="40">
        <v>3</v>
      </c>
      <c r="M13" s="41" t="s">
        <v>32</v>
      </c>
      <c r="N13" s="42">
        <v>30</v>
      </c>
      <c r="O13" s="42">
        <v>21</v>
      </c>
      <c r="P13" s="42">
        <v>7</v>
      </c>
      <c r="Q13" s="42">
        <f t="shared" si="14"/>
        <v>2</v>
      </c>
      <c r="R13" s="42">
        <v>104</v>
      </c>
      <c r="S13" s="42">
        <v>17</v>
      </c>
      <c r="T13" s="43">
        <f t="shared" si="15"/>
        <v>70</v>
      </c>
      <c r="V13" s="40">
        <v>3</v>
      </c>
      <c r="W13" s="41" t="s">
        <v>64</v>
      </c>
      <c r="X13" s="42">
        <v>30</v>
      </c>
      <c r="Y13" s="42">
        <v>23</v>
      </c>
      <c r="Z13" s="42">
        <v>1</v>
      </c>
      <c r="AA13" s="42">
        <f t="shared" si="16"/>
        <v>6</v>
      </c>
      <c r="AB13" s="42">
        <v>138</v>
      </c>
      <c r="AC13" s="42">
        <v>21</v>
      </c>
      <c r="AD13" s="43">
        <f t="shared" si="17"/>
        <v>70</v>
      </c>
      <c r="AF13" s="40">
        <v>3</v>
      </c>
      <c r="AG13" s="46" t="s">
        <v>146</v>
      </c>
      <c r="AH13" s="48">
        <v>30</v>
      </c>
      <c r="AI13" s="48">
        <v>22</v>
      </c>
      <c r="AJ13" s="48">
        <v>4</v>
      </c>
      <c r="AK13" s="48">
        <v>4</v>
      </c>
      <c r="AL13" s="48">
        <v>100</v>
      </c>
      <c r="AM13" s="48">
        <v>25</v>
      </c>
      <c r="AN13" s="48">
        <v>70</v>
      </c>
    </row>
    <row r="14" spans="2:50" x14ac:dyDescent="0.2">
      <c r="B14" s="54" t="s">
        <v>26</v>
      </c>
      <c r="C14" s="54"/>
      <c r="D14" s="54"/>
      <c r="E14" s="54"/>
      <c r="F14" s="54"/>
      <c r="G14" s="54"/>
      <c r="H14" s="54"/>
      <c r="I14" s="54"/>
      <c r="J14" s="54"/>
      <c r="L14" s="54" t="s">
        <v>57</v>
      </c>
      <c r="M14" s="54"/>
      <c r="N14" s="54"/>
      <c r="O14" s="54"/>
      <c r="P14" s="54"/>
      <c r="Q14" s="54"/>
      <c r="R14" s="54"/>
      <c r="S14" s="54"/>
      <c r="T14" s="54"/>
      <c r="V14" s="54" t="s">
        <v>113</v>
      </c>
      <c r="W14" s="54"/>
      <c r="X14" s="54"/>
      <c r="Y14" s="54"/>
      <c r="Z14" s="54"/>
      <c r="AA14" s="54"/>
      <c r="AB14" s="54"/>
      <c r="AC14" s="54"/>
      <c r="AD14" s="54"/>
      <c r="AF14" s="54" t="s">
        <v>164</v>
      </c>
      <c r="AG14" s="54"/>
      <c r="AH14" s="54"/>
      <c r="AI14" s="54"/>
      <c r="AJ14" s="54"/>
      <c r="AK14" s="54"/>
      <c r="AL14" s="54"/>
      <c r="AM14" s="54"/>
      <c r="AN14" s="54"/>
      <c r="AO14" s="55" t="s">
        <v>102</v>
      </c>
      <c r="AP14" s="55"/>
      <c r="AQ14" s="55"/>
      <c r="AR14" s="55"/>
      <c r="AS14" s="55"/>
      <c r="AT14" s="55"/>
      <c r="AU14" s="55"/>
      <c r="AV14" s="55"/>
      <c r="AW14" s="55"/>
      <c r="AX14" s="55"/>
    </row>
    <row r="15" spans="2:50" x14ac:dyDescent="0.2">
      <c r="B15" s="40">
        <v>1</v>
      </c>
      <c r="C15" s="41" t="s">
        <v>3</v>
      </c>
      <c r="D15" s="42">
        <v>30</v>
      </c>
      <c r="E15" s="42">
        <v>19</v>
      </c>
      <c r="F15" s="42">
        <v>4</v>
      </c>
      <c r="G15" s="42">
        <f>D15-E15-F15</f>
        <v>7</v>
      </c>
      <c r="H15" s="42">
        <v>54</v>
      </c>
      <c r="I15" s="42">
        <v>28</v>
      </c>
      <c r="J15" s="43">
        <f>E15*3+F15*1</f>
        <v>61</v>
      </c>
      <c r="L15" s="40">
        <v>1</v>
      </c>
      <c r="M15" s="41" t="s">
        <v>18</v>
      </c>
      <c r="N15" s="42">
        <v>30</v>
      </c>
      <c r="O15" s="42">
        <v>23</v>
      </c>
      <c r="P15" s="42">
        <v>4</v>
      </c>
      <c r="Q15" s="42">
        <f>N15-O15-P15</f>
        <v>3</v>
      </c>
      <c r="R15" s="42">
        <v>144</v>
      </c>
      <c r="S15" s="42">
        <v>23</v>
      </c>
      <c r="T15" s="43">
        <f>O15*3+P15*1</f>
        <v>73</v>
      </c>
      <c r="V15" s="40">
        <v>1</v>
      </c>
      <c r="W15" s="41" t="s">
        <v>70</v>
      </c>
      <c r="X15" s="42">
        <v>30</v>
      </c>
      <c r="Y15" s="42">
        <v>24</v>
      </c>
      <c r="Z15" s="42">
        <v>1</v>
      </c>
      <c r="AA15" s="42">
        <f>X15-Y15-Z15</f>
        <v>5</v>
      </c>
      <c r="AB15" s="42">
        <v>126</v>
      </c>
      <c r="AC15" s="42">
        <v>27</v>
      </c>
      <c r="AD15" s="43">
        <f>Y15*3+Z15*1</f>
        <v>73</v>
      </c>
      <c r="AF15" s="40">
        <v>1</v>
      </c>
      <c r="AG15" s="47" t="s">
        <v>128</v>
      </c>
      <c r="AH15" s="48">
        <v>30</v>
      </c>
      <c r="AI15" s="48">
        <v>25</v>
      </c>
      <c r="AJ15" s="48">
        <v>4</v>
      </c>
      <c r="AK15" s="48">
        <v>1</v>
      </c>
      <c r="AL15" s="48">
        <v>88</v>
      </c>
      <c r="AM15" s="48">
        <v>15</v>
      </c>
      <c r="AN15" s="48">
        <v>79</v>
      </c>
      <c r="AO15" s="44">
        <v>1</v>
      </c>
      <c r="AP15" s="41" t="s">
        <v>64</v>
      </c>
      <c r="AQ15" s="41">
        <f>COUNTA(AR15:BA15)</f>
        <v>6</v>
      </c>
      <c r="AR15" s="45">
        <v>24</v>
      </c>
      <c r="AS15" s="39">
        <v>31</v>
      </c>
      <c r="AT15" s="39">
        <v>34</v>
      </c>
      <c r="AU15" s="39">
        <v>36</v>
      </c>
      <c r="AV15" s="39">
        <v>37</v>
      </c>
      <c r="AW15" s="39">
        <v>40</v>
      </c>
    </row>
    <row r="16" spans="2:50" x14ac:dyDescent="0.2">
      <c r="B16" s="40">
        <v>2</v>
      </c>
      <c r="C16" s="41" t="s">
        <v>24</v>
      </c>
      <c r="D16" s="42">
        <v>30</v>
      </c>
      <c r="E16" s="42">
        <v>15</v>
      </c>
      <c r="F16" s="42">
        <v>10</v>
      </c>
      <c r="G16" s="42">
        <f>D16-E16-F16</f>
        <v>5</v>
      </c>
      <c r="H16" s="42">
        <v>39</v>
      </c>
      <c r="I16" s="42">
        <v>26</v>
      </c>
      <c r="J16" s="43">
        <f t="shared" ref="J16:J17" si="18">E16*3+F16*1</f>
        <v>55</v>
      </c>
      <c r="L16" s="40">
        <v>2</v>
      </c>
      <c r="M16" s="41" t="s">
        <v>33</v>
      </c>
      <c r="N16" s="42">
        <v>30</v>
      </c>
      <c r="O16" s="42">
        <v>22</v>
      </c>
      <c r="P16" s="42">
        <v>5</v>
      </c>
      <c r="Q16" s="42">
        <f t="shared" ref="Q16:Q17" si="19">N16-O16-P16</f>
        <v>3</v>
      </c>
      <c r="R16" s="42">
        <v>107</v>
      </c>
      <c r="S16" s="42">
        <v>19</v>
      </c>
      <c r="T16" s="43">
        <f t="shared" ref="T16:T17" si="20">O16*3+P16*1</f>
        <v>71</v>
      </c>
      <c r="V16" s="40">
        <v>2</v>
      </c>
      <c r="W16" s="41" t="s">
        <v>33</v>
      </c>
      <c r="X16" s="42">
        <v>30</v>
      </c>
      <c r="Y16" s="42">
        <v>23</v>
      </c>
      <c r="Z16" s="42">
        <v>2</v>
      </c>
      <c r="AA16" s="42">
        <f t="shared" ref="AA16:AA17" si="21">X16-Y16-Z16</f>
        <v>5</v>
      </c>
      <c r="AB16" s="42">
        <v>106</v>
      </c>
      <c r="AC16" s="42">
        <v>23</v>
      </c>
      <c r="AD16" s="43">
        <f t="shared" ref="AD16:AD17" si="22">Y16*3+Z16*1</f>
        <v>71</v>
      </c>
      <c r="AF16" s="40">
        <v>2</v>
      </c>
      <c r="AG16" s="47" t="s">
        <v>64</v>
      </c>
      <c r="AH16" s="48">
        <v>30</v>
      </c>
      <c r="AI16" s="48">
        <v>24</v>
      </c>
      <c r="AJ16" s="48">
        <v>4</v>
      </c>
      <c r="AK16" s="48">
        <v>2</v>
      </c>
      <c r="AL16" s="48">
        <v>96</v>
      </c>
      <c r="AM16" s="48">
        <v>18</v>
      </c>
      <c r="AN16" s="48">
        <v>76</v>
      </c>
      <c r="AO16" s="44">
        <v>2</v>
      </c>
      <c r="AP16" s="41" t="s">
        <v>18</v>
      </c>
      <c r="AQ16" s="41">
        <f>COUNTA(AR16:BA16)</f>
        <v>6</v>
      </c>
      <c r="AR16" s="45">
        <v>16</v>
      </c>
      <c r="AS16" s="39">
        <v>17</v>
      </c>
      <c r="AT16" s="39">
        <v>19</v>
      </c>
      <c r="AU16" s="39">
        <v>20</v>
      </c>
      <c r="AV16" s="39">
        <v>23</v>
      </c>
      <c r="AW16" s="39">
        <v>25</v>
      </c>
    </row>
    <row r="17" spans="2:47" x14ac:dyDescent="0.2">
      <c r="B17" s="40">
        <v>3</v>
      </c>
      <c r="C17" s="41" t="s">
        <v>23</v>
      </c>
      <c r="D17" s="42">
        <v>30</v>
      </c>
      <c r="E17" s="42">
        <v>16</v>
      </c>
      <c r="F17" s="42">
        <v>7</v>
      </c>
      <c r="G17" s="42">
        <f>D17-E17-F17</f>
        <v>7</v>
      </c>
      <c r="H17" s="42">
        <v>37</v>
      </c>
      <c r="I17" s="42">
        <v>27</v>
      </c>
      <c r="J17" s="43">
        <f t="shared" si="18"/>
        <v>55</v>
      </c>
      <c r="L17" s="40">
        <v>3</v>
      </c>
      <c r="M17" s="41" t="s">
        <v>32</v>
      </c>
      <c r="N17" s="42">
        <v>30</v>
      </c>
      <c r="O17" s="42">
        <v>20</v>
      </c>
      <c r="P17" s="42">
        <v>9</v>
      </c>
      <c r="Q17" s="42">
        <f t="shared" si="19"/>
        <v>1</v>
      </c>
      <c r="R17" s="42">
        <v>121</v>
      </c>
      <c r="S17" s="42">
        <v>19</v>
      </c>
      <c r="T17" s="43">
        <f t="shared" si="20"/>
        <v>69</v>
      </c>
      <c r="V17" s="40">
        <v>3</v>
      </c>
      <c r="W17" s="41" t="s">
        <v>64</v>
      </c>
      <c r="X17" s="42">
        <v>30</v>
      </c>
      <c r="Y17" s="42">
        <v>21</v>
      </c>
      <c r="Z17" s="42">
        <v>6</v>
      </c>
      <c r="AA17" s="42">
        <f t="shared" si="21"/>
        <v>3</v>
      </c>
      <c r="AB17" s="42">
        <v>130</v>
      </c>
      <c r="AC17" s="42">
        <v>24</v>
      </c>
      <c r="AD17" s="43">
        <f t="shared" si="22"/>
        <v>69</v>
      </c>
      <c r="AF17" s="40">
        <v>3</v>
      </c>
      <c r="AG17" s="47" t="s">
        <v>130</v>
      </c>
      <c r="AH17" s="48">
        <v>30</v>
      </c>
      <c r="AI17" s="48">
        <v>24</v>
      </c>
      <c r="AJ17" s="48">
        <v>0</v>
      </c>
      <c r="AK17" s="48">
        <v>6</v>
      </c>
      <c r="AL17" s="48">
        <v>90</v>
      </c>
      <c r="AM17" s="48">
        <v>23</v>
      </c>
      <c r="AN17" s="48">
        <v>72</v>
      </c>
      <c r="AO17" s="44">
        <v>3</v>
      </c>
      <c r="AP17" s="41" t="s">
        <v>70</v>
      </c>
      <c r="AQ17" s="41">
        <f>COUNTA(AR17:BA17)</f>
        <v>4</v>
      </c>
      <c r="AR17" s="45">
        <v>26</v>
      </c>
      <c r="AS17" s="39">
        <v>27</v>
      </c>
      <c r="AT17" s="39">
        <v>28</v>
      </c>
      <c r="AU17" s="39">
        <v>30</v>
      </c>
    </row>
    <row r="18" spans="2:47" x14ac:dyDescent="0.2">
      <c r="B18" s="54" t="s">
        <v>29</v>
      </c>
      <c r="C18" s="54"/>
      <c r="D18" s="54"/>
      <c r="E18" s="54"/>
      <c r="F18" s="54"/>
      <c r="G18" s="54"/>
      <c r="H18" s="54"/>
      <c r="I18" s="54"/>
      <c r="J18" s="54"/>
      <c r="L18" s="54" t="s">
        <v>60</v>
      </c>
      <c r="M18" s="54"/>
      <c r="N18" s="54"/>
      <c r="O18" s="54"/>
      <c r="P18" s="54"/>
      <c r="Q18" s="54"/>
      <c r="R18" s="54"/>
      <c r="S18" s="54"/>
      <c r="T18" s="54"/>
      <c r="V18" s="54" t="s">
        <v>129</v>
      </c>
      <c r="W18" s="54"/>
      <c r="X18" s="54"/>
      <c r="Y18" s="54"/>
      <c r="Z18" s="54"/>
      <c r="AA18" s="54"/>
      <c r="AB18" s="54"/>
      <c r="AC18" s="54"/>
      <c r="AD18" s="54"/>
      <c r="AF18" s="54" t="s">
        <v>167</v>
      </c>
      <c r="AG18" s="54"/>
      <c r="AH18" s="54"/>
      <c r="AI18" s="54"/>
      <c r="AJ18" s="54"/>
      <c r="AK18" s="54"/>
      <c r="AL18" s="54"/>
      <c r="AM18" s="54"/>
      <c r="AN18" s="54"/>
      <c r="AO18" s="44">
        <v>4</v>
      </c>
      <c r="AP18" s="41" t="s">
        <v>43</v>
      </c>
      <c r="AQ18" s="41">
        <f>COUNTA(AR18:BA18)</f>
        <v>3</v>
      </c>
      <c r="AR18" s="45">
        <v>12</v>
      </c>
      <c r="AS18" s="39">
        <v>15</v>
      </c>
      <c r="AT18" s="39">
        <v>29</v>
      </c>
    </row>
    <row r="19" spans="2:47" x14ac:dyDescent="0.2">
      <c r="B19" s="40">
        <v>1</v>
      </c>
      <c r="C19" s="41" t="s">
        <v>4</v>
      </c>
      <c r="D19" s="42">
        <v>30</v>
      </c>
      <c r="E19" s="42">
        <v>19</v>
      </c>
      <c r="F19" s="42">
        <v>8</v>
      </c>
      <c r="G19" s="42">
        <f>D19-E19-F19</f>
        <v>3</v>
      </c>
      <c r="H19" s="42">
        <v>48</v>
      </c>
      <c r="I19" s="42">
        <v>24</v>
      </c>
      <c r="J19" s="43">
        <f>E19*3+F19*1</f>
        <v>65</v>
      </c>
      <c r="L19" s="40">
        <v>1</v>
      </c>
      <c r="M19" s="41" t="s">
        <v>33</v>
      </c>
      <c r="N19" s="42">
        <v>30</v>
      </c>
      <c r="O19" s="42">
        <v>28</v>
      </c>
      <c r="P19" s="42">
        <v>1</v>
      </c>
      <c r="Q19" s="42">
        <f>N19-O19-P19</f>
        <v>1</v>
      </c>
      <c r="R19" s="42">
        <v>121</v>
      </c>
      <c r="S19" s="42">
        <v>13</v>
      </c>
      <c r="T19" s="43">
        <f>O19*3+P19*1</f>
        <v>85</v>
      </c>
      <c r="V19" s="39">
        <v>1</v>
      </c>
      <c r="W19" s="41" t="s">
        <v>43</v>
      </c>
      <c r="X19" s="39">
        <v>30</v>
      </c>
      <c r="Y19" s="39">
        <v>24</v>
      </c>
      <c r="Z19" s="39">
        <v>4</v>
      </c>
      <c r="AA19" s="39">
        <v>2</v>
      </c>
      <c r="AB19" s="39">
        <v>90</v>
      </c>
      <c r="AC19" s="39">
        <v>18</v>
      </c>
      <c r="AD19" s="39">
        <v>76</v>
      </c>
      <c r="AF19" s="42">
        <v>1</v>
      </c>
      <c r="AG19" s="46" t="s">
        <v>64</v>
      </c>
      <c r="AH19" s="48">
        <v>30</v>
      </c>
      <c r="AI19" s="48">
        <v>22</v>
      </c>
      <c r="AJ19" s="48">
        <v>4</v>
      </c>
      <c r="AK19" s="48">
        <v>4</v>
      </c>
      <c r="AL19" s="48">
        <v>110</v>
      </c>
      <c r="AM19" s="48">
        <v>20</v>
      </c>
      <c r="AN19" s="48">
        <v>70</v>
      </c>
      <c r="AO19" s="44">
        <v>5</v>
      </c>
      <c r="AP19" s="41" t="s">
        <v>32</v>
      </c>
      <c r="AQ19" s="41">
        <f>COUNTA(AR19:BA19)</f>
        <v>3</v>
      </c>
      <c r="AR19" s="45">
        <v>21</v>
      </c>
      <c r="AS19" s="39">
        <v>22</v>
      </c>
      <c r="AT19" s="39">
        <v>38</v>
      </c>
    </row>
    <row r="20" spans="2:47" x14ac:dyDescent="0.2">
      <c r="B20" s="40">
        <v>2</v>
      </c>
      <c r="C20" s="41" t="s">
        <v>0</v>
      </c>
      <c r="D20" s="42">
        <v>30</v>
      </c>
      <c r="E20" s="42">
        <v>16</v>
      </c>
      <c r="F20" s="42">
        <v>10</v>
      </c>
      <c r="G20" s="42">
        <f>D20-E20-F20</f>
        <v>4</v>
      </c>
      <c r="H20" s="42">
        <v>47</v>
      </c>
      <c r="I20" s="42">
        <v>24</v>
      </c>
      <c r="J20" s="43">
        <f t="shared" ref="J20:J21" si="23">E20*3+F20*1</f>
        <v>58</v>
      </c>
      <c r="L20" s="40">
        <v>2</v>
      </c>
      <c r="M20" s="41" t="s">
        <v>18</v>
      </c>
      <c r="N20" s="42">
        <v>30</v>
      </c>
      <c r="O20" s="42">
        <v>25</v>
      </c>
      <c r="P20" s="42">
        <v>3</v>
      </c>
      <c r="Q20" s="42">
        <f t="shared" ref="Q20:Q21" si="24">N20-O20-P20</f>
        <v>2</v>
      </c>
      <c r="R20" s="42">
        <v>128</v>
      </c>
      <c r="S20" s="42">
        <v>20</v>
      </c>
      <c r="T20" s="43">
        <f t="shared" ref="T20:T21" si="25">O20*3+P20*1</f>
        <v>78</v>
      </c>
      <c r="V20" s="39">
        <v>2</v>
      </c>
      <c r="W20" s="41" t="s">
        <v>64</v>
      </c>
      <c r="X20" s="39">
        <v>30</v>
      </c>
      <c r="Y20" s="39">
        <v>23</v>
      </c>
      <c r="Z20" s="39">
        <v>5</v>
      </c>
      <c r="AA20" s="39">
        <v>2</v>
      </c>
      <c r="AB20" s="39">
        <v>99</v>
      </c>
      <c r="AC20" s="39">
        <v>19</v>
      </c>
      <c r="AD20" s="39">
        <v>74</v>
      </c>
      <c r="AF20" s="42">
        <v>2</v>
      </c>
      <c r="AG20" s="46" t="s">
        <v>32</v>
      </c>
      <c r="AH20" s="48">
        <v>30</v>
      </c>
      <c r="AI20" s="48">
        <v>22</v>
      </c>
      <c r="AJ20" s="48">
        <v>0</v>
      </c>
      <c r="AK20" s="48">
        <v>8</v>
      </c>
      <c r="AL20" s="48">
        <v>80</v>
      </c>
      <c r="AM20" s="48">
        <v>27</v>
      </c>
      <c r="AN20" s="48">
        <v>66</v>
      </c>
      <c r="AO20" s="44">
        <v>6</v>
      </c>
      <c r="AP20" s="41" t="s">
        <v>4</v>
      </c>
      <c r="AQ20" s="41">
        <f>COUNTA(AR20:BA20)</f>
        <v>3</v>
      </c>
      <c r="AR20" s="45">
        <v>7</v>
      </c>
      <c r="AS20" s="39">
        <v>8</v>
      </c>
      <c r="AT20" s="39">
        <v>9</v>
      </c>
    </row>
    <row r="21" spans="2:47" x14ac:dyDescent="0.2">
      <c r="B21" s="40">
        <v>3</v>
      </c>
      <c r="C21" s="41" t="s">
        <v>23</v>
      </c>
      <c r="D21" s="42">
        <v>30</v>
      </c>
      <c r="E21" s="42">
        <v>16</v>
      </c>
      <c r="F21" s="42">
        <v>7</v>
      </c>
      <c r="G21" s="42">
        <f>D21-E21-F21</f>
        <v>7</v>
      </c>
      <c r="H21" s="42">
        <v>50</v>
      </c>
      <c r="I21" s="42">
        <v>33</v>
      </c>
      <c r="J21" s="43">
        <f t="shared" si="23"/>
        <v>55</v>
      </c>
      <c r="L21" s="40">
        <v>3</v>
      </c>
      <c r="M21" s="41" t="s">
        <v>32</v>
      </c>
      <c r="N21" s="42">
        <v>30</v>
      </c>
      <c r="O21" s="42">
        <v>23</v>
      </c>
      <c r="P21" s="42">
        <v>2</v>
      </c>
      <c r="Q21" s="42">
        <f t="shared" si="24"/>
        <v>5</v>
      </c>
      <c r="R21" s="42">
        <v>105</v>
      </c>
      <c r="S21" s="42">
        <v>23</v>
      </c>
      <c r="T21" s="43">
        <f t="shared" si="25"/>
        <v>71</v>
      </c>
      <c r="V21" s="39">
        <v>3</v>
      </c>
      <c r="W21" s="41" t="s">
        <v>92</v>
      </c>
      <c r="X21" s="39">
        <v>30</v>
      </c>
      <c r="Y21" s="39">
        <v>23</v>
      </c>
      <c r="Z21" s="39">
        <v>4</v>
      </c>
      <c r="AA21" s="39">
        <v>3</v>
      </c>
      <c r="AB21" s="39">
        <v>91</v>
      </c>
      <c r="AC21" s="39">
        <v>17</v>
      </c>
      <c r="AD21" s="39">
        <v>73</v>
      </c>
      <c r="AF21" s="42">
        <v>3</v>
      </c>
      <c r="AG21" s="46" t="s">
        <v>58</v>
      </c>
      <c r="AH21" s="48">
        <v>30</v>
      </c>
      <c r="AI21" s="48">
        <v>21</v>
      </c>
      <c r="AJ21" s="48">
        <v>2</v>
      </c>
      <c r="AK21" s="48">
        <v>7</v>
      </c>
      <c r="AL21" s="48">
        <v>95</v>
      </c>
      <c r="AM21" s="48">
        <v>36</v>
      </c>
      <c r="AN21" s="48">
        <v>65</v>
      </c>
      <c r="AO21" s="44">
        <v>7</v>
      </c>
      <c r="AP21" s="41" t="s">
        <v>128</v>
      </c>
      <c r="AQ21" s="41">
        <f>COUNTA(AR21:BA21)</f>
        <v>2</v>
      </c>
      <c r="AR21" s="39">
        <v>35</v>
      </c>
      <c r="AS21" s="39">
        <v>39</v>
      </c>
    </row>
    <row r="22" spans="2:47" x14ac:dyDescent="0.2">
      <c r="B22" s="54" t="s">
        <v>31</v>
      </c>
      <c r="C22" s="54"/>
      <c r="D22" s="54"/>
      <c r="E22" s="54"/>
      <c r="F22" s="54"/>
      <c r="G22" s="54"/>
      <c r="H22" s="54"/>
      <c r="I22" s="54"/>
      <c r="J22" s="54"/>
      <c r="L22" s="54" t="s">
        <v>63</v>
      </c>
      <c r="M22" s="54"/>
      <c r="N22" s="54"/>
      <c r="O22" s="54"/>
      <c r="P22" s="54"/>
      <c r="Q22" s="54"/>
      <c r="R22" s="54"/>
      <c r="S22" s="54"/>
      <c r="T22" s="54"/>
      <c r="V22" s="54" t="s">
        <v>132</v>
      </c>
      <c r="W22" s="54"/>
      <c r="X22" s="54"/>
      <c r="Y22" s="54"/>
      <c r="Z22" s="54"/>
      <c r="AA22" s="54"/>
      <c r="AB22" s="54"/>
      <c r="AC22" s="54"/>
      <c r="AD22" s="54"/>
      <c r="AF22" s="54" t="s">
        <v>171</v>
      </c>
      <c r="AG22" s="54"/>
      <c r="AH22" s="54"/>
      <c r="AI22" s="54"/>
      <c r="AJ22" s="54"/>
      <c r="AK22" s="54"/>
      <c r="AL22" s="54"/>
      <c r="AM22" s="54"/>
      <c r="AN22" s="54"/>
      <c r="AO22" s="44">
        <v>8</v>
      </c>
      <c r="AP22" s="41" t="s">
        <v>24</v>
      </c>
      <c r="AQ22" s="41">
        <f>COUNTA(AR22:BA22)</f>
        <v>2</v>
      </c>
      <c r="AR22" s="45">
        <v>13</v>
      </c>
      <c r="AS22" s="39">
        <v>14</v>
      </c>
    </row>
    <row r="23" spans="2:47" x14ac:dyDescent="0.2">
      <c r="B23" s="40">
        <v>1</v>
      </c>
      <c r="C23" s="41" t="s">
        <v>4</v>
      </c>
      <c r="D23" s="42">
        <v>30</v>
      </c>
      <c r="E23" s="42">
        <v>20</v>
      </c>
      <c r="F23" s="42">
        <v>3</v>
      </c>
      <c r="G23" s="42">
        <f>D23-E23-F23</f>
        <v>7</v>
      </c>
      <c r="H23" s="42">
        <v>67</v>
      </c>
      <c r="I23" s="42">
        <v>29</v>
      </c>
      <c r="J23" s="43">
        <f>E23*3+F23*1</f>
        <v>63</v>
      </c>
      <c r="L23" s="40">
        <v>1</v>
      </c>
      <c r="M23" s="41" t="s">
        <v>18</v>
      </c>
      <c r="N23" s="42">
        <v>30</v>
      </c>
      <c r="O23" s="42">
        <v>26</v>
      </c>
      <c r="P23" s="42">
        <v>2</v>
      </c>
      <c r="Q23" s="42">
        <f>N23-O23-P23</f>
        <v>2</v>
      </c>
      <c r="R23" s="42">
        <v>136</v>
      </c>
      <c r="S23" s="42">
        <v>14</v>
      </c>
      <c r="T23" s="43">
        <f>O23*3+P23*1</f>
        <v>80</v>
      </c>
      <c r="V23" s="39">
        <v>1</v>
      </c>
      <c r="W23" s="41" t="s">
        <v>70</v>
      </c>
      <c r="X23" s="39">
        <v>30</v>
      </c>
      <c r="Y23" s="39">
        <v>23</v>
      </c>
      <c r="Z23" s="39">
        <v>3</v>
      </c>
      <c r="AA23" s="39">
        <v>4</v>
      </c>
      <c r="AB23" s="39">
        <v>95</v>
      </c>
      <c r="AC23" s="39">
        <v>30</v>
      </c>
      <c r="AD23" s="39">
        <v>72</v>
      </c>
      <c r="AF23" s="42">
        <v>1</v>
      </c>
      <c r="AG23" s="46" t="s">
        <v>58</v>
      </c>
      <c r="AH23" s="48">
        <v>30</v>
      </c>
      <c r="AI23" s="48">
        <v>22</v>
      </c>
      <c r="AJ23" s="48">
        <v>5</v>
      </c>
      <c r="AK23" s="48">
        <v>3</v>
      </c>
      <c r="AL23" s="48">
        <v>71</v>
      </c>
      <c r="AM23" s="48">
        <v>20</v>
      </c>
      <c r="AN23" s="48">
        <v>71</v>
      </c>
      <c r="AO23" s="44">
        <v>9</v>
      </c>
      <c r="AP23" s="41" t="s">
        <v>0</v>
      </c>
      <c r="AQ23" s="41">
        <f>COUNTA(AR23:BA23)</f>
        <v>2</v>
      </c>
      <c r="AR23" s="45">
        <v>3</v>
      </c>
      <c r="AS23" s="45">
        <v>4</v>
      </c>
    </row>
    <row r="24" spans="2:47" x14ac:dyDescent="0.2">
      <c r="B24" s="40">
        <v>2</v>
      </c>
      <c r="C24" s="41" t="s">
        <v>24</v>
      </c>
      <c r="D24" s="42">
        <v>30</v>
      </c>
      <c r="E24" s="42">
        <v>19</v>
      </c>
      <c r="F24" s="42">
        <v>4</v>
      </c>
      <c r="G24" s="42">
        <f>D24-E24-F24</f>
        <v>7</v>
      </c>
      <c r="H24" s="42">
        <v>59</v>
      </c>
      <c r="I24" s="42">
        <v>32</v>
      </c>
      <c r="J24" s="43">
        <f t="shared" ref="J24:J25" si="26">E24*3+F24*1</f>
        <v>61</v>
      </c>
      <c r="L24" s="40">
        <v>2</v>
      </c>
      <c r="M24" s="41" t="s">
        <v>32</v>
      </c>
      <c r="N24" s="42">
        <v>30</v>
      </c>
      <c r="O24" s="42">
        <v>26</v>
      </c>
      <c r="P24" s="42">
        <v>2</v>
      </c>
      <c r="Q24" s="42">
        <f t="shared" ref="Q24:Q25" si="27">N24-O24-P24</f>
        <v>2</v>
      </c>
      <c r="R24" s="42">
        <v>137</v>
      </c>
      <c r="S24" s="42">
        <v>16</v>
      </c>
      <c r="T24" s="43">
        <f t="shared" ref="T24:T25" si="28">O24*3+P24*1</f>
        <v>80</v>
      </c>
      <c r="V24" s="39">
        <v>2</v>
      </c>
      <c r="W24" s="41" t="s">
        <v>92</v>
      </c>
      <c r="X24" s="39">
        <v>30</v>
      </c>
      <c r="Y24" s="39">
        <v>21</v>
      </c>
      <c r="Z24" s="39">
        <v>4</v>
      </c>
      <c r="AA24" s="39">
        <v>5</v>
      </c>
      <c r="AB24" s="39">
        <v>78</v>
      </c>
      <c r="AC24" s="39">
        <v>22</v>
      </c>
      <c r="AD24" s="39">
        <v>67</v>
      </c>
      <c r="AF24" s="42">
        <v>2</v>
      </c>
      <c r="AG24" s="46" t="s">
        <v>131</v>
      </c>
      <c r="AH24" s="48">
        <v>30</v>
      </c>
      <c r="AI24" s="48">
        <v>21</v>
      </c>
      <c r="AJ24" s="48">
        <v>6</v>
      </c>
      <c r="AK24" s="48">
        <v>3</v>
      </c>
      <c r="AL24" s="48">
        <v>90</v>
      </c>
      <c r="AM24" s="48">
        <v>33</v>
      </c>
      <c r="AN24" s="48">
        <v>69</v>
      </c>
      <c r="AO24" s="44">
        <v>10</v>
      </c>
      <c r="AP24" s="41" t="s">
        <v>6</v>
      </c>
      <c r="AQ24" s="41">
        <f>COUNTA(AR24:BA24)</f>
        <v>1</v>
      </c>
      <c r="AR24" s="45">
        <v>10</v>
      </c>
    </row>
    <row r="25" spans="2:47" x14ac:dyDescent="0.2">
      <c r="B25" s="40">
        <v>3</v>
      </c>
      <c r="C25" s="41" t="s">
        <v>32</v>
      </c>
      <c r="D25" s="42">
        <v>30</v>
      </c>
      <c r="E25" s="42">
        <v>17</v>
      </c>
      <c r="F25" s="42">
        <v>8</v>
      </c>
      <c r="G25" s="42">
        <f>D25-E25-F25</f>
        <v>5</v>
      </c>
      <c r="H25" s="42">
        <v>60</v>
      </c>
      <c r="I25" s="42">
        <v>26</v>
      </c>
      <c r="J25" s="43">
        <f t="shared" si="26"/>
        <v>59</v>
      </c>
      <c r="L25" s="40">
        <v>3</v>
      </c>
      <c r="M25" s="41" t="s">
        <v>33</v>
      </c>
      <c r="N25" s="42">
        <v>30</v>
      </c>
      <c r="O25" s="42">
        <v>23</v>
      </c>
      <c r="P25" s="42">
        <v>3</v>
      </c>
      <c r="Q25" s="42">
        <f t="shared" si="27"/>
        <v>4</v>
      </c>
      <c r="R25" s="42">
        <v>136</v>
      </c>
      <c r="S25" s="42">
        <v>23</v>
      </c>
      <c r="T25" s="43">
        <f t="shared" si="28"/>
        <v>72</v>
      </c>
      <c r="V25" s="39">
        <v>3</v>
      </c>
      <c r="W25" s="41" t="s">
        <v>43</v>
      </c>
      <c r="X25" s="39">
        <v>30</v>
      </c>
      <c r="Y25" s="39">
        <v>22</v>
      </c>
      <c r="Z25" s="39">
        <v>1</v>
      </c>
      <c r="AA25" s="39">
        <v>7</v>
      </c>
      <c r="AB25" s="39">
        <v>76</v>
      </c>
      <c r="AC25" s="39">
        <v>29</v>
      </c>
      <c r="AD25" s="39">
        <v>67</v>
      </c>
      <c r="AF25" s="42">
        <v>3</v>
      </c>
      <c r="AG25" s="46" t="s">
        <v>64</v>
      </c>
      <c r="AH25" s="48">
        <v>30</v>
      </c>
      <c r="AI25" s="48">
        <v>22</v>
      </c>
      <c r="AJ25" s="48">
        <v>2</v>
      </c>
      <c r="AK25" s="48">
        <v>6</v>
      </c>
      <c r="AL25" s="48">
        <v>104</v>
      </c>
      <c r="AM25" s="48">
        <v>28</v>
      </c>
      <c r="AN25" s="48">
        <v>68</v>
      </c>
      <c r="AO25" s="44">
        <v>11</v>
      </c>
      <c r="AP25" s="41" t="s">
        <v>23</v>
      </c>
      <c r="AQ25" s="41">
        <f>COUNTA(AR25:BA25)</f>
        <v>1</v>
      </c>
      <c r="AR25" s="45">
        <v>11</v>
      </c>
    </row>
    <row r="26" spans="2:47" x14ac:dyDescent="0.2">
      <c r="B26" s="54" t="s">
        <v>35</v>
      </c>
      <c r="C26" s="54"/>
      <c r="D26" s="54"/>
      <c r="E26" s="54"/>
      <c r="F26" s="54"/>
      <c r="G26" s="54"/>
      <c r="H26" s="54"/>
      <c r="I26" s="54"/>
      <c r="J26" s="54"/>
      <c r="L26" s="54" t="s">
        <v>66</v>
      </c>
      <c r="M26" s="54"/>
      <c r="N26" s="54"/>
      <c r="O26" s="54"/>
      <c r="P26" s="54"/>
      <c r="Q26" s="54"/>
      <c r="R26" s="54"/>
      <c r="S26" s="54"/>
      <c r="T26" s="54"/>
      <c r="V26" s="54" t="s">
        <v>134</v>
      </c>
      <c r="W26" s="54"/>
      <c r="X26" s="54"/>
      <c r="Y26" s="54"/>
      <c r="Z26" s="54"/>
      <c r="AA26" s="54"/>
      <c r="AB26" s="54"/>
      <c r="AC26" s="54"/>
      <c r="AD26" s="54"/>
      <c r="AF26" s="54" t="s">
        <v>182</v>
      </c>
      <c r="AG26" s="54"/>
      <c r="AH26" s="54"/>
      <c r="AI26" s="54"/>
      <c r="AJ26" s="54"/>
      <c r="AK26" s="54"/>
      <c r="AL26" s="54"/>
      <c r="AM26" s="54"/>
      <c r="AN26" s="54"/>
      <c r="AO26" s="44">
        <v>12</v>
      </c>
      <c r="AP26" s="41" t="s">
        <v>58</v>
      </c>
      <c r="AQ26" s="41">
        <f>COUNTA(AR26:BA26)</f>
        <v>1</v>
      </c>
      <c r="AR26" s="39">
        <v>41</v>
      </c>
    </row>
    <row r="27" spans="2:47" x14ac:dyDescent="0.2">
      <c r="B27" s="40">
        <v>1</v>
      </c>
      <c r="C27" s="41" t="s">
        <v>4</v>
      </c>
      <c r="D27" s="42">
        <v>30</v>
      </c>
      <c r="E27" s="42">
        <v>21</v>
      </c>
      <c r="F27" s="42">
        <v>5</v>
      </c>
      <c r="G27" s="42">
        <f>D27-E27-F27</f>
        <v>4</v>
      </c>
      <c r="H27" s="42">
        <v>60</v>
      </c>
      <c r="I27" s="42">
        <v>28</v>
      </c>
      <c r="J27" s="43">
        <f>E27*3+F27*1</f>
        <v>68</v>
      </c>
      <c r="L27" s="40">
        <v>1</v>
      </c>
      <c r="M27" s="41" t="s">
        <v>18</v>
      </c>
      <c r="N27" s="42">
        <v>30</v>
      </c>
      <c r="O27" s="42">
        <v>27</v>
      </c>
      <c r="P27" s="42">
        <v>2</v>
      </c>
      <c r="Q27" s="42">
        <f>N27-O27-P27</f>
        <v>1</v>
      </c>
      <c r="R27" s="42">
        <v>101</v>
      </c>
      <c r="S27" s="42">
        <v>17</v>
      </c>
      <c r="T27" s="43">
        <f>O27*3+P27*1</f>
        <v>83</v>
      </c>
      <c r="V27" s="39">
        <v>1</v>
      </c>
      <c r="W27" s="41" t="s">
        <v>64</v>
      </c>
      <c r="X27" s="39">
        <v>30</v>
      </c>
      <c r="Y27" s="39">
        <v>26</v>
      </c>
      <c r="Z27" s="39">
        <v>1</v>
      </c>
      <c r="AA27" s="39">
        <v>3</v>
      </c>
      <c r="AB27" s="39">
        <v>108</v>
      </c>
      <c r="AC27" s="39">
        <v>23</v>
      </c>
      <c r="AD27" s="39">
        <v>79</v>
      </c>
      <c r="AF27" s="39">
        <v>1</v>
      </c>
      <c r="AO27" s="44">
        <v>13</v>
      </c>
      <c r="AP27" s="41" t="s">
        <v>1</v>
      </c>
      <c r="AQ27" s="41">
        <f>COUNTA(AR27:BA27)</f>
        <v>1</v>
      </c>
      <c r="AR27" s="45">
        <v>5</v>
      </c>
    </row>
    <row r="28" spans="2:47" x14ac:dyDescent="0.2">
      <c r="B28" s="40">
        <v>2</v>
      </c>
      <c r="C28" s="41" t="s">
        <v>0</v>
      </c>
      <c r="D28" s="42">
        <v>30</v>
      </c>
      <c r="E28" s="42">
        <v>17</v>
      </c>
      <c r="F28" s="42">
        <v>9</v>
      </c>
      <c r="G28" s="42">
        <f>D28-E28-F28</f>
        <v>4</v>
      </c>
      <c r="H28" s="42">
        <v>60</v>
      </c>
      <c r="I28" s="42">
        <v>29</v>
      </c>
      <c r="J28" s="43">
        <f t="shared" ref="J28:J29" si="29">E28*3+F28*1</f>
        <v>60</v>
      </c>
      <c r="L28" s="40">
        <v>2</v>
      </c>
      <c r="M28" s="41" t="s">
        <v>32</v>
      </c>
      <c r="N28" s="42">
        <v>30</v>
      </c>
      <c r="O28" s="42">
        <v>27</v>
      </c>
      <c r="P28" s="42">
        <v>1</v>
      </c>
      <c r="Q28" s="42">
        <f t="shared" ref="Q28:Q29" si="30">N28-O28-P28</f>
        <v>2</v>
      </c>
      <c r="R28" s="42">
        <v>122</v>
      </c>
      <c r="S28" s="42">
        <v>13</v>
      </c>
      <c r="T28" s="43">
        <f t="shared" ref="T28:T29" si="31">O28*3+P28*1</f>
        <v>82</v>
      </c>
      <c r="V28" s="39">
        <v>2</v>
      </c>
      <c r="W28" s="41" t="s">
        <v>92</v>
      </c>
      <c r="X28" s="39">
        <v>30</v>
      </c>
      <c r="Y28" s="39">
        <v>26</v>
      </c>
      <c r="Z28" s="39">
        <v>1</v>
      </c>
      <c r="AA28" s="39">
        <v>3</v>
      </c>
      <c r="AB28" s="39">
        <v>88</v>
      </c>
      <c r="AC28" s="39">
        <v>16</v>
      </c>
      <c r="AD28" s="39">
        <v>79</v>
      </c>
      <c r="AF28" s="39">
        <v>2</v>
      </c>
      <c r="AO28" s="44">
        <v>14</v>
      </c>
      <c r="AP28" s="41" t="s">
        <v>33</v>
      </c>
      <c r="AQ28" s="41">
        <f>COUNTA(AR28:BA28)</f>
        <v>1</v>
      </c>
      <c r="AR28" s="45">
        <v>18</v>
      </c>
    </row>
    <row r="29" spans="2:47" x14ac:dyDescent="0.2">
      <c r="B29" s="40">
        <v>3</v>
      </c>
      <c r="C29" s="41" t="s">
        <v>18</v>
      </c>
      <c r="D29" s="42">
        <v>30</v>
      </c>
      <c r="E29" s="42">
        <v>17</v>
      </c>
      <c r="F29" s="42">
        <v>9</v>
      </c>
      <c r="G29" s="42">
        <f>D29-E29-F29</f>
        <v>4</v>
      </c>
      <c r="H29" s="42">
        <v>62</v>
      </c>
      <c r="I29" s="42">
        <v>35</v>
      </c>
      <c r="J29" s="43">
        <f t="shared" si="29"/>
        <v>60</v>
      </c>
      <c r="L29" s="40">
        <v>3</v>
      </c>
      <c r="M29" s="41" t="s">
        <v>33</v>
      </c>
      <c r="N29" s="42">
        <v>30</v>
      </c>
      <c r="O29" s="42">
        <v>26</v>
      </c>
      <c r="P29" s="42">
        <v>3</v>
      </c>
      <c r="Q29" s="42">
        <f t="shared" si="30"/>
        <v>1</v>
      </c>
      <c r="R29" s="42">
        <v>106</v>
      </c>
      <c r="S29" s="42">
        <v>11</v>
      </c>
      <c r="T29" s="43">
        <f t="shared" si="31"/>
        <v>81</v>
      </c>
      <c r="V29" s="39">
        <v>3</v>
      </c>
      <c r="W29" s="41" t="s">
        <v>70</v>
      </c>
      <c r="X29" s="39">
        <v>30</v>
      </c>
      <c r="Y29" s="39">
        <v>23</v>
      </c>
      <c r="Z29" s="39">
        <v>0</v>
      </c>
      <c r="AA29" s="39">
        <v>7</v>
      </c>
      <c r="AB29" s="39">
        <v>101</v>
      </c>
      <c r="AC29" s="39">
        <v>30</v>
      </c>
      <c r="AD29" s="39">
        <v>69</v>
      </c>
      <c r="AF29" s="39">
        <v>3</v>
      </c>
      <c r="AO29" s="44">
        <v>15</v>
      </c>
      <c r="AP29" s="41" t="s">
        <v>3</v>
      </c>
      <c r="AQ29" s="41">
        <f>COUNTA(AR29:BA29)</f>
        <v>1</v>
      </c>
      <c r="AR29" s="45">
        <v>6</v>
      </c>
    </row>
    <row r="30" spans="2:47" x14ac:dyDescent="0.2">
      <c r="B30" s="54" t="s">
        <v>37</v>
      </c>
      <c r="C30" s="54"/>
      <c r="D30" s="54"/>
      <c r="E30" s="54"/>
      <c r="F30" s="54"/>
      <c r="G30" s="54"/>
      <c r="H30" s="54"/>
      <c r="I30" s="54"/>
      <c r="J30" s="54"/>
      <c r="L30" s="54" t="s">
        <v>69</v>
      </c>
      <c r="M30" s="54"/>
      <c r="N30" s="54"/>
      <c r="O30" s="54"/>
      <c r="P30" s="54"/>
      <c r="Q30" s="54"/>
      <c r="R30" s="54"/>
      <c r="S30" s="54"/>
      <c r="T30" s="54"/>
      <c r="V30" s="54" t="s">
        <v>145</v>
      </c>
      <c r="W30" s="54"/>
      <c r="X30" s="54"/>
      <c r="Y30" s="54"/>
      <c r="Z30" s="54"/>
      <c r="AA30" s="54"/>
      <c r="AB30" s="54"/>
      <c r="AC30" s="54"/>
      <c r="AD30" s="54"/>
      <c r="AF30" s="54" t="s">
        <v>183</v>
      </c>
      <c r="AG30" s="54"/>
      <c r="AH30" s="54"/>
      <c r="AI30" s="54"/>
      <c r="AJ30" s="54"/>
      <c r="AK30" s="54"/>
      <c r="AL30" s="54"/>
      <c r="AM30" s="54"/>
      <c r="AN30" s="54"/>
      <c r="AO30" s="44">
        <v>16</v>
      </c>
      <c r="AP30" s="41" t="s">
        <v>112</v>
      </c>
      <c r="AQ30" s="41">
        <f>COUNTA(AR30:BA30)</f>
        <v>1</v>
      </c>
      <c r="AR30" s="39">
        <v>33</v>
      </c>
    </row>
    <row r="31" spans="2:47" x14ac:dyDescent="0.2">
      <c r="B31" s="40">
        <v>1</v>
      </c>
      <c r="C31" s="41" t="s">
        <v>6</v>
      </c>
      <c r="D31" s="42">
        <v>30</v>
      </c>
      <c r="E31" s="42">
        <v>19</v>
      </c>
      <c r="F31" s="42">
        <v>2</v>
      </c>
      <c r="G31" s="42">
        <f>D31-E31-F31</f>
        <v>9</v>
      </c>
      <c r="H31" s="42">
        <v>58</v>
      </c>
      <c r="I31" s="42">
        <v>43</v>
      </c>
      <c r="J31" s="43">
        <f>E31*3+F31*1</f>
        <v>59</v>
      </c>
      <c r="L31" s="40">
        <v>1</v>
      </c>
      <c r="M31" s="41" t="s">
        <v>32</v>
      </c>
      <c r="N31" s="42">
        <v>30</v>
      </c>
      <c r="O31" s="42">
        <v>26</v>
      </c>
      <c r="P31" s="42">
        <v>2</v>
      </c>
      <c r="Q31" s="42">
        <f>N31-O31-P31</f>
        <v>2</v>
      </c>
      <c r="R31" s="42">
        <v>121</v>
      </c>
      <c r="S31" s="42">
        <v>12</v>
      </c>
      <c r="T31" s="43">
        <f>O31*3+P31*1</f>
        <v>80</v>
      </c>
      <c r="V31" s="39">
        <v>1</v>
      </c>
      <c r="W31" s="41" t="s">
        <v>92</v>
      </c>
      <c r="X31" s="39">
        <v>30</v>
      </c>
      <c r="Y31" s="39">
        <v>26</v>
      </c>
      <c r="Z31" s="39">
        <v>2</v>
      </c>
      <c r="AA31" s="39">
        <v>2</v>
      </c>
      <c r="AB31" s="39">
        <v>89</v>
      </c>
      <c r="AC31" s="39">
        <v>13</v>
      </c>
      <c r="AD31" s="39">
        <v>80</v>
      </c>
      <c r="AF31" s="39">
        <v>1</v>
      </c>
      <c r="AO31" s="44">
        <v>17</v>
      </c>
      <c r="AP31" s="41" t="s">
        <v>92</v>
      </c>
      <c r="AQ31" s="41">
        <f>COUNTA(AR31:BA31)</f>
        <v>1</v>
      </c>
      <c r="AR31" s="45">
        <v>32</v>
      </c>
    </row>
    <row r="32" spans="2:47" x14ac:dyDescent="0.2">
      <c r="B32" s="40">
        <v>2</v>
      </c>
      <c r="C32" s="41" t="s">
        <v>0</v>
      </c>
      <c r="D32" s="42">
        <v>30</v>
      </c>
      <c r="E32" s="42">
        <v>18</v>
      </c>
      <c r="F32" s="42">
        <v>4</v>
      </c>
      <c r="G32" s="42">
        <f>D32-E32-F32</f>
        <v>8</v>
      </c>
      <c r="H32" s="42">
        <v>57</v>
      </c>
      <c r="I32" s="42">
        <v>34</v>
      </c>
      <c r="J32" s="43">
        <f t="shared" ref="J32:J33" si="32">E32*3+F32*1</f>
        <v>58</v>
      </c>
      <c r="L32" s="40">
        <v>2</v>
      </c>
      <c r="M32" s="41" t="s">
        <v>18</v>
      </c>
      <c r="N32" s="42">
        <v>30</v>
      </c>
      <c r="O32" s="42">
        <v>26</v>
      </c>
      <c r="P32" s="42">
        <v>1</v>
      </c>
      <c r="Q32" s="42">
        <f t="shared" ref="Q32:Q33" si="33">N32-O32-P32</f>
        <v>3</v>
      </c>
      <c r="R32" s="42">
        <v>115</v>
      </c>
      <c r="S32" s="42">
        <v>16</v>
      </c>
      <c r="T32" s="43">
        <f t="shared" ref="T32:T33" si="34">O32*3+P32*1</f>
        <v>79</v>
      </c>
      <c r="V32" s="39">
        <v>2</v>
      </c>
      <c r="W32" s="41" t="s">
        <v>43</v>
      </c>
      <c r="X32" s="39">
        <v>30</v>
      </c>
      <c r="Y32" s="39">
        <v>20</v>
      </c>
      <c r="Z32" s="39">
        <v>4</v>
      </c>
      <c r="AA32" s="39">
        <v>6</v>
      </c>
      <c r="AB32" s="39">
        <v>67</v>
      </c>
      <c r="AC32" s="39">
        <v>23</v>
      </c>
      <c r="AD32" s="39">
        <v>64</v>
      </c>
      <c r="AF32" s="39">
        <v>2</v>
      </c>
    </row>
    <row r="33" spans="2:40" x14ac:dyDescent="0.2">
      <c r="B33" s="40">
        <v>3</v>
      </c>
      <c r="C33" s="41" t="s">
        <v>23</v>
      </c>
      <c r="D33" s="42">
        <v>30</v>
      </c>
      <c r="E33" s="42">
        <v>17</v>
      </c>
      <c r="F33" s="42">
        <v>7</v>
      </c>
      <c r="G33" s="42">
        <f>D33-E33-F33</f>
        <v>6</v>
      </c>
      <c r="H33" s="42">
        <v>49</v>
      </c>
      <c r="I33" s="42">
        <v>30</v>
      </c>
      <c r="J33" s="43">
        <f t="shared" si="32"/>
        <v>58</v>
      </c>
      <c r="L33" s="40">
        <v>3</v>
      </c>
      <c r="M33" s="41" t="s">
        <v>33</v>
      </c>
      <c r="N33" s="42">
        <v>30</v>
      </c>
      <c r="O33" s="42">
        <v>24</v>
      </c>
      <c r="P33" s="42">
        <v>2</v>
      </c>
      <c r="Q33" s="42">
        <f t="shared" si="33"/>
        <v>4</v>
      </c>
      <c r="R33" s="42">
        <v>91</v>
      </c>
      <c r="S33" s="42">
        <v>21</v>
      </c>
      <c r="T33" s="43">
        <f t="shared" si="34"/>
        <v>74</v>
      </c>
      <c r="V33" s="39">
        <v>3</v>
      </c>
      <c r="W33" s="41" t="s">
        <v>70</v>
      </c>
      <c r="X33" s="39">
        <v>30</v>
      </c>
      <c r="Y33" s="39">
        <v>19</v>
      </c>
      <c r="Z33" s="39">
        <v>2</v>
      </c>
      <c r="AA33" s="39">
        <v>9</v>
      </c>
      <c r="AB33" s="39">
        <v>77</v>
      </c>
      <c r="AC33" s="39">
        <v>30</v>
      </c>
      <c r="AD33" s="39">
        <v>59</v>
      </c>
      <c r="AF33" s="39">
        <v>3</v>
      </c>
    </row>
    <row r="34" spans="2:40" x14ac:dyDescent="0.2">
      <c r="B34" s="54" t="s">
        <v>40</v>
      </c>
      <c r="C34" s="54"/>
      <c r="D34" s="54"/>
      <c r="E34" s="54"/>
      <c r="F34" s="54"/>
      <c r="G34" s="54"/>
      <c r="H34" s="54"/>
      <c r="I34" s="54"/>
      <c r="J34" s="54"/>
      <c r="L34" s="54" t="s">
        <v>74</v>
      </c>
      <c r="M34" s="54"/>
      <c r="N34" s="54"/>
      <c r="O34" s="54"/>
      <c r="P34" s="54"/>
      <c r="Q34" s="54"/>
      <c r="R34" s="54"/>
      <c r="S34" s="54"/>
      <c r="T34" s="54"/>
      <c r="V34" s="54" t="s">
        <v>149</v>
      </c>
      <c r="W34" s="54"/>
      <c r="X34" s="54"/>
      <c r="Y34" s="54"/>
      <c r="Z34" s="54"/>
      <c r="AA34" s="54"/>
      <c r="AB34" s="54"/>
      <c r="AC34" s="54"/>
      <c r="AD34" s="54"/>
      <c r="AF34" s="54"/>
      <c r="AG34" s="54"/>
      <c r="AH34" s="54"/>
      <c r="AI34" s="54"/>
      <c r="AJ34" s="54"/>
      <c r="AK34" s="54"/>
      <c r="AL34" s="54"/>
      <c r="AM34" s="54"/>
      <c r="AN34" s="54"/>
    </row>
    <row r="35" spans="2:40" x14ac:dyDescent="0.2">
      <c r="B35" s="40">
        <v>1</v>
      </c>
      <c r="C35" s="41" t="s">
        <v>23</v>
      </c>
      <c r="D35" s="42">
        <v>30</v>
      </c>
      <c r="E35" s="42">
        <v>21</v>
      </c>
      <c r="F35" s="42">
        <v>3</v>
      </c>
      <c r="G35" s="42">
        <f>D35-E35-F35</f>
        <v>6</v>
      </c>
      <c r="H35" s="42">
        <v>86</v>
      </c>
      <c r="I35" s="42">
        <v>34</v>
      </c>
      <c r="J35" s="43">
        <f>E35*3+F35*1</f>
        <v>66</v>
      </c>
      <c r="L35" s="40">
        <v>1</v>
      </c>
      <c r="M35" s="41" t="s">
        <v>32</v>
      </c>
      <c r="N35" s="42">
        <v>30</v>
      </c>
      <c r="O35" s="42">
        <v>27</v>
      </c>
      <c r="P35" s="42">
        <v>2</v>
      </c>
      <c r="Q35" s="42">
        <f>N35-O35-P35</f>
        <v>1</v>
      </c>
      <c r="R35" s="42">
        <v>121</v>
      </c>
      <c r="S35" s="42">
        <v>12</v>
      </c>
      <c r="T35" s="43">
        <f>O35*3+P35*1</f>
        <v>83</v>
      </c>
      <c r="V35" s="42">
        <v>1</v>
      </c>
      <c r="W35" s="46" t="s">
        <v>112</v>
      </c>
      <c r="X35" s="48">
        <v>30</v>
      </c>
      <c r="Y35" s="48">
        <v>21</v>
      </c>
      <c r="Z35" s="48">
        <v>2</v>
      </c>
      <c r="AA35" s="48">
        <v>7</v>
      </c>
      <c r="AB35" s="48">
        <v>63</v>
      </c>
      <c r="AC35" s="48">
        <v>27</v>
      </c>
      <c r="AD35" s="42">
        <v>79</v>
      </c>
    </row>
    <row r="36" spans="2:40" x14ac:dyDescent="0.2">
      <c r="B36" s="40">
        <v>2</v>
      </c>
      <c r="C36" s="41" t="s">
        <v>24</v>
      </c>
      <c r="D36" s="42">
        <v>30</v>
      </c>
      <c r="E36" s="42">
        <v>19</v>
      </c>
      <c r="F36" s="42">
        <v>5</v>
      </c>
      <c r="G36" s="42">
        <f>D36-E36-F36</f>
        <v>6</v>
      </c>
      <c r="H36" s="42">
        <v>70</v>
      </c>
      <c r="I36" s="42">
        <v>33</v>
      </c>
      <c r="J36" s="43">
        <f t="shared" ref="J36:J37" si="35">E36*3+F36*1</f>
        <v>62</v>
      </c>
      <c r="L36" s="40">
        <v>2</v>
      </c>
      <c r="M36" s="41" t="s">
        <v>18</v>
      </c>
      <c r="N36" s="42">
        <v>30</v>
      </c>
      <c r="O36" s="42">
        <v>26</v>
      </c>
      <c r="P36" s="42">
        <v>0</v>
      </c>
      <c r="Q36" s="42">
        <f t="shared" ref="Q36:Q37" si="36">N36-O36-P36</f>
        <v>4</v>
      </c>
      <c r="R36" s="42">
        <v>115</v>
      </c>
      <c r="S36" s="42">
        <v>16</v>
      </c>
      <c r="T36" s="43">
        <f t="shared" ref="T36:T37" si="37">O36*3+P36*1</f>
        <v>78</v>
      </c>
      <c r="V36" s="42">
        <v>2</v>
      </c>
      <c r="W36" s="46" t="s">
        <v>92</v>
      </c>
      <c r="X36" s="48">
        <v>30</v>
      </c>
      <c r="Y36" s="48">
        <v>20</v>
      </c>
      <c r="Z36" s="48">
        <v>3</v>
      </c>
      <c r="AA36" s="48">
        <v>7</v>
      </c>
      <c r="AB36" s="48">
        <v>86</v>
      </c>
      <c r="AC36" s="48">
        <v>19</v>
      </c>
      <c r="AD36" s="42">
        <v>79</v>
      </c>
    </row>
    <row r="37" spans="2:40" x14ac:dyDescent="0.2">
      <c r="B37" s="40">
        <v>3</v>
      </c>
      <c r="C37" s="41" t="s">
        <v>18</v>
      </c>
      <c r="D37" s="42">
        <v>30</v>
      </c>
      <c r="E37" s="42">
        <v>16</v>
      </c>
      <c r="F37" s="42">
        <v>6</v>
      </c>
      <c r="G37" s="42">
        <f>D37-E37-F37</f>
        <v>8</v>
      </c>
      <c r="H37" s="42">
        <v>89</v>
      </c>
      <c r="I37" s="42">
        <v>53</v>
      </c>
      <c r="J37" s="43">
        <f t="shared" si="35"/>
        <v>54</v>
      </c>
      <c r="L37" s="40">
        <v>3</v>
      </c>
      <c r="M37" s="41" t="s">
        <v>51</v>
      </c>
      <c r="N37" s="42">
        <v>30</v>
      </c>
      <c r="O37" s="42">
        <v>21</v>
      </c>
      <c r="P37" s="42">
        <v>3</v>
      </c>
      <c r="Q37" s="42">
        <f t="shared" si="36"/>
        <v>6</v>
      </c>
      <c r="R37" s="42">
        <v>91</v>
      </c>
      <c r="S37" s="42">
        <v>21</v>
      </c>
      <c r="T37" s="43">
        <f t="shared" si="37"/>
        <v>66</v>
      </c>
      <c r="V37" s="42">
        <v>3</v>
      </c>
      <c r="W37" s="46" t="s">
        <v>43</v>
      </c>
      <c r="X37" s="48">
        <v>30</v>
      </c>
      <c r="Y37" s="48">
        <v>19</v>
      </c>
      <c r="Z37" s="48">
        <v>5</v>
      </c>
      <c r="AA37" s="48">
        <v>6</v>
      </c>
      <c r="AB37" s="48">
        <v>73</v>
      </c>
      <c r="AC37" s="48">
        <v>21</v>
      </c>
      <c r="AD37" s="42">
        <v>69</v>
      </c>
    </row>
    <row r="38" spans="2:40" x14ac:dyDescent="0.2">
      <c r="B38" s="54" t="s">
        <v>42</v>
      </c>
      <c r="C38" s="54"/>
      <c r="D38" s="54"/>
      <c r="E38" s="54"/>
      <c r="F38" s="54"/>
      <c r="G38" s="54"/>
      <c r="H38" s="54"/>
      <c r="I38" s="54"/>
      <c r="J38" s="54"/>
      <c r="L38" s="54" t="s">
        <v>75</v>
      </c>
      <c r="M38" s="54"/>
      <c r="N38" s="54"/>
      <c r="O38" s="54"/>
      <c r="P38" s="54"/>
      <c r="Q38" s="54"/>
      <c r="R38" s="54"/>
      <c r="S38" s="54"/>
      <c r="T38" s="54"/>
      <c r="V38" s="54" t="s">
        <v>152</v>
      </c>
      <c r="W38" s="54"/>
      <c r="X38" s="54"/>
      <c r="Y38" s="54"/>
      <c r="Z38" s="54"/>
      <c r="AA38" s="54"/>
      <c r="AB38" s="54"/>
      <c r="AC38" s="54"/>
      <c r="AD38" s="54"/>
      <c r="AF38" s="54"/>
      <c r="AG38" s="54"/>
      <c r="AH38" s="54"/>
      <c r="AI38" s="54"/>
      <c r="AJ38" s="54"/>
      <c r="AK38" s="54"/>
      <c r="AL38" s="54"/>
      <c r="AM38" s="54"/>
      <c r="AN38" s="54"/>
    </row>
    <row r="39" spans="2:40" x14ac:dyDescent="0.2">
      <c r="B39" s="40">
        <v>1</v>
      </c>
      <c r="C39" s="41" t="s">
        <v>43</v>
      </c>
      <c r="D39" s="42">
        <v>30</v>
      </c>
      <c r="E39" s="42">
        <v>21</v>
      </c>
      <c r="F39" s="42">
        <v>7</v>
      </c>
      <c r="G39" s="42">
        <f>D39-E39-F39</f>
        <v>2</v>
      </c>
      <c r="H39" s="42">
        <v>73</v>
      </c>
      <c r="I39" s="42">
        <v>21</v>
      </c>
      <c r="J39" s="43">
        <f>E39*3+F39*1</f>
        <v>70</v>
      </c>
      <c r="L39" s="40">
        <v>1</v>
      </c>
      <c r="M39" s="41" t="s">
        <v>18</v>
      </c>
      <c r="N39" s="42">
        <v>30</v>
      </c>
      <c r="O39" s="42">
        <v>27</v>
      </c>
      <c r="P39" s="42">
        <v>3</v>
      </c>
      <c r="Q39" s="42">
        <f>N39-O39-P39</f>
        <v>0</v>
      </c>
      <c r="R39" s="42">
        <v>112</v>
      </c>
      <c r="S39" s="42">
        <v>14</v>
      </c>
      <c r="T39" s="43">
        <f>O39*3+P39*1</f>
        <v>84</v>
      </c>
      <c r="V39" s="42">
        <v>1</v>
      </c>
      <c r="W39" s="46" t="s">
        <v>64</v>
      </c>
      <c r="X39" s="48">
        <v>30</v>
      </c>
      <c r="Y39" s="48">
        <v>23</v>
      </c>
      <c r="Z39" s="48">
        <v>3</v>
      </c>
      <c r="AA39" s="48">
        <v>4</v>
      </c>
      <c r="AB39" s="48">
        <v>84</v>
      </c>
      <c r="AC39" s="48">
        <v>15</v>
      </c>
      <c r="AD39" s="48">
        <f t="shared" ref="AD39:AD41" si="38">Y39*3+Z39</f>
        <v>72</v>
      </c>
    </row>
    <row r="40" spans="2:40" x14ac:dyDescent="0.2">
      <c r="B40" s="40">
        <v>2</v>
      </c>
      <c r="C40" s="41" t="s">
        <v>24</v>
      </c>
      <c r="D40" s="42">
        <v>30</v>
      </c>
      <c r="E40" s="42">
        <v>21</v>
      </c>
      <c r="F40" s="42">
        <v>6</v>
      </c>
      <c r="G40" s="42">
        <f t="shared" ref="G40:G41" si="39">D40-E40-F40</f>
        <v>3</v>
      </c>
      <c r="H40" s="42">
        <v>69</v>
      </c>
      <c r="I40" s="42">
        <v>17</v>
      </c>
      <c r="J40" s="43">
        <f t="shared" ref="J40:J41" si="40">E40*3+F40*1</f>
        <v>69</v>
      </c>
      <c r="L40" s="40">
        <v>2</v>
      </c>
      <c r="M40" s="41" t="s">
        <v>32</v>
      </c>
      <c r="N40" s="42">
        <v>30</v>
      </c>
      <c r="O40" s="42">
        <v>27</v>
      </c>
      <c r="P40" s="42">
        <v>0</v>
      </c>
      <c r="Q40" s="42">
        <f t="shared" ref="Q40:Q41" si="41">N40-O40-P40</f>
        <v>3</v>
      </c>
      <c r="R40" s="42">
        <v>119</v>
      </c>
      <c r="S40" s="42">
        <v>19</v>
      </c>
      <c r="T40" s="43">
        <f t="shared" ref="T40:T41" si="42">O40*3+P40*1</f>
        <v>81</v>
      </c>
      <c r="V40" s="42">
        <v>2</v>
      </c>
      <c r="W40" s="46" t="s">
        <v>112</v>
      </c>
      <c r="X40" s="48">
        <v>30</v>
      </c>
      <c r="Y40" s="48">
        <v>19</v>
      </c>
      <c r="Z40" s="48">
        <v>4</v>
      </c>
      <c r="AA40" s="48">
        <v>7</v>
      </c>
      <c r="AB40" s="48">
        <v>66</v>
      </c>
      <c r="AC40" s="48">
        <v>25</v>
      </c>
      <c r="AD40" s="48">
        <f t="shared" si="38"/>
        <v>61</v>
      </c>
    </row>
    <row r="41" spans="2:40" x14ac:dyDescent="0.2">
      <c r="B41" s="40">
        <v>3</v>
      </c>
      <c r="C41" s="41" t="s">
        <v>18</v>
      </c>
      <c r="D41" s="42">
        <v>30</v>
      </c>
      <c r="E41" s="42">
        <v>21</v>
      </c>
      <c r="F41" s="42">
        <v>4</v>
      </c>
      <c r="G41" s="42">
        <f t="shared" si="39"/>
        <v>5</v>
      </c>
      <c r="H41" s="42">
        <v>92</v>
      </c>
      <c r="I41" s="42">
        <v>32</v>
      </c>
      <c r="J41" s="43">
        <f t="shared" si="40"/>
        <v>67</v>
      </c>
      <c r="L41" s="40">
        <v>3</v>
      </c>
      <c r="M41" s="41" t="s">
        <v>33</v>
      </c>
      <c r="N41" s="42">
        <v>30</v>
      </c>
      <c r="O41" s="42">
        <v>21</v>
      </c>
      <c r="P41" s="42">
        <v>2</v>
      </c>
      <c r="Q41" s="42">
        <f t="shared" si="41"/>
        <v>7</v>
      </c>
      <c r="R41" s="42">
        <v>71</v>
      </c>
      <c r="S41" s="42">
        <v>26</v>
      </c>
      <c r="T41" s="43">
        <f t="shared" si="42"/>
        <v>65</v>
      </c>
      <c r="V41" s="42">
        <v>3</v>
      </c>
      <c r="W41" s="46" t="s">
        <v>32</v>
      </c>
      <c r="X41" s="48">
        <v>30</v>
      </c>
      <c r="Y41" s="48">
        <v>18</v>
      </c>
      <c r="Z41" s="48">
        <v>5</v>
      </c>
      <c r="AA41" s="48">
        <v>7</v>
      </c>
      <c r="AB41" s="48">
        <v>64</v>
      </c>
      <c r="AC41" s="48">
        <v>35</v>
      </c>
      <c r="AD41" s="48">
        <f t="shared" si="38"/>
        <v>59</v>
      </c>
    </row>
    <row r="42" spans="2:40" x14ac:dyDescent="0.2">
      <c r="B42" s="54" t="s">
        <v>44</v>
      </c>
      <c r="C42" s="54"/>
      <c r="D42" s="54"/>
      <c r="E42" s="54"/>
      <c r="F42" s="54"/>
      <c r="G42" s="54"/>
      <c r="H42" s="54"/>
      <c r="I42" s="54"/>
      <c r="J42" s="54"/>
      <c r="L42" s="54" t="s">
        <v>77</v>
      </c>
      <c r="M42" s="54"/>
      <c r="N42" s="54"/>
      <c r="O42" s="54"/>
      <c r="P42" s="54"/>
      <c r="Q42" s="54"/>
      <c r="R42" s="54"/>
      <c r="S42" s="54"/>
      <c r="T42" s="54"/>
      <c r="V42" s="54" t="s">
        <v>155</v>
      </c>
      <c r="W42" s="54"/>
      <c r="X42" s="54"/>
      <c r="Y42" s="54"/>
      <c r="Z42" s="54"/>
      <c r="AA42" s="54"/>
      <c r="AB42" s="54"/>
      <c r="AC42" s="54"/>
      <c r="AD42" s="54"/>
      <c r="AF42" s="54"/>
      <c r="AG42" s="54"/>
      <c r="AH42" s="54"/>
      <c r="AI42" s="54"/>
      <c r="AJ42" s="54"/>
      <c r="AK42" s="54"/>
      <c r="AL42" s="54"/>
      <c r="AM42" s="54"/>
      <c r="AN42" s="54"/>
    </row>
    <row r="43" spans="2:40" x14ac:dyDescent="0.2">
      <c r="B43" s="40">
        <v>1</v>
      </c>
      <c r="C43" s="41" t="s">
        <v>24</v>
      </c>
      <c r="D43" s="42">
        <v>30</v>
      </c>
      <c r="E43" s="42">
        <v>24</v>
      </c>
      <c r="F43" s="42">
        <v>4</v>
      </c>
      <c r="G43" s="42">
        <f>D43-E43-F43</f>
        <v>2</v>
      </c>
      <c r="H43" s="42">
        <v>83</v>
      </c>
      <c r="I43" s="42">
        <v>15</v>
      </c>
      <c r="J43" s="43">
        <f>E43*3+F43*1</f>
        <v>76</v>
      </c>
      <c r="L43" s="40">
        <v>1</v>
      </c>
      <c r="M43" s="41" t="s">
        <v>64</v>
      </c>
      <c r="N43" s="42">
        <v>30</v>
      </c>
      <c r="O43" s="42">
        <v>26</v>
      </c>
      <c r="P43" s="42">
        <v>2</v>
      </c>
      <c r="Q43" s="42">
        <f>N43-O43-P43</f>
        <v>2</v>
      </c>
      <c r="R43" s="42">
        <v>103</v>
      </c>
      <c r="S43" s="42">
        <v>16</v>
      </c>
      <c r="T43" s="43">
        <f>O43*3+P43*1</f>
        <v>80</v>
      </c>
      <c r="V43" s="42">
        <v>1</v>
      </c>
      <c r="W43" s="46" t="s">
        <v>128</v>
      </c>
      <c r="X43" s="48">
        <v>30</v>
      </c>
      <c r="Y43" s="48">
        <v>24</v>
      </c>
      <c r="Z43" s="48">
        <v>4</v>
      </c>
      <c r="AA43" s="48">
        <v>2</v>
      </c>
      <c r="AB43" s="48">
        <v>92</v>
      </c>
      <c r="AC43" s="48">
        <v>27</v>
      </c>
      <c r="AD43" s="48">
        <v>76</v>
      </c>
    </row>
    <row r="44" spans="2:40" x14ac:dyDescent="0.2">
      <c r="B44" s="40">
        <v>2</v>
      </c>
      <c r="C44" s="41" t="s">
        <v>23</v>
      </c>
      <c r="D44" s="42">
        <v>30</v>
      </c>
      <c r="E44" s="42">
        <v>23</v>
      </c>
      <c r="F44" s="42">
        <v>4</v>
      </c>
      <c r="G44" s="42">
        <f t="shared" ref="G44:G45" si="43">D44-E44-F44</f>
        <v>3</v>
      </c>
      <c r="H44" s="42">
        <v>106</v>
      </c>
      <c r="I44" s="42">
        <v>18</v>
      </c>
      <c r="J44" s="43">
        <f t="shared" ref="J44:J45" si="44">E44*3+F44*1</f>
        <v>73</v>
      </c>
      <c r="L44" s="40">
        <v>2</v>
      </c>
      <c r="M44" s="41" t="s">
        <v>18</v>
      </c>
      <c r="N44" s="42">
        <v>30</v>
      </c>
      <c r="O44" s="42">
        <v>25</v>
      </c>
      <c r="P44" s="42">
        <v>3</v>
      </c>
      <c r="Q44" s="42">
        <f t="shared" ref="Q44:Q45" si="45">N44-O44-P44</f>
        <v>2</v>
      </c>
      <c r="R44" s="42">
        <v>106</v>
      </c>
      <c r="S44" s="42">
        <v>19</v>
      </c>
      <c r="T44" s="43">
        <f t="shared" ref="T44:T45" si="46">O44*3+P44*1</f>
        <v>78</v>
      </c>
      <c r="V44" s="42">
        <v>2</v>
      </c>
      <c r="W44" s="46" t="s">
        <v>64</v>
      </c>
      <c r="X44" s="48">
        <v>30</v>
      </c>
      <c r="Y44" s="48">
        <v>22</v>
      </c>
      <c r="Z44" s="48">
        <v>3</v>
      </c>
      <c r="AA44" s="48">
        <v>5</v>
      </c>
      <c r="AB44" s="48">
        <v>90</v>
      </c>
      <c r="AC44" s="48">
        <v>21</v>
      </c>
      <c r="AD44" s="48">
        <v>69</v>
      </c>
    </row>
    <row r="45" spans="2:40" x14ac:dyDescent="0.2">
      <c r="B45" s="40">
        <v>3</v>
      </c>
      <c r="C45" s="41" t="s">
        <v>18</v>
      </c>
      <c r="D45" s="42">
        <v>30</v>
      </c>
      <c r="E45" s="42">
        <v>21</v>
      </c>
      <c r="F45" s="42">
        <v>3</v>
      </c>
      <c r="G45" s="42">
        <f t="shared" si="43"/>
        <v>6</v>
      </c>
      <c r="H45" s="42">
        <v>104</v>
      </c>
      <c r="I45" s="42">
        <v>30</v>
      </c>
      <c r="J45" s="43">
        <f t="shared" si="44"/>
        <v>66</v>
      </c>
      <c r="L45" s="40">
        <v>3</v>
      </c>
      <c r="M45" s="41" t="s">
        <v>32</v>
      </c>
      <c r="N45" s="42">
        <v>30</v>
      </c>
      <c r="O45" s="42">
        <v>25</v>
      </c>
      <c r="P45" s="42">
        <v>2</v>
      </c>
      <c r="Q45" s="42">
        <f t="shared" si="45"/>
        <v>3</v>
      </c>
      <c r="R45" s="42">
        <v>81</v>
      </c>
      <c r="S45" s="42">
        <v>22</v>
      </c>
      <c r="T45" s="43">
        <f t="shared" si="46"/>
        <v>77</v>
      </c>
      <c r="V45" s="42">
        <v>3</v>
      </c>
      <c r="W45" s="46" t="s">
        <v>32</v>
      </c>
      <c r="X45" s="48">
        <v>30</v>
      </c>
      <c r="Y45" s="48">
        <v>21</v>
      </c>
      <c r="Z45" s="48">
        <v>6</v>
      </c>
      <c r="AA45" s="48">
        <v>3</v>
      </c>
      <c r="AB45" s="48">
        <v>73</v>
      </c>
      <c r="AC45" s="48">
        <v>16</v>
      </c>
      <c r="AD45" s="48">
        <v>69</v>
      </c>
    </row>
    <row r="46" spans="2:40" x14ac:dyDescent="0.2">
      <c r="V46" s="39"/>
    </row>
    <row r="47" spans="2:40" x14ac:dyDescent="0.2">
      <c r="V47" s="39"/>
    </row>
    <row r="48" spans="2:40" x14ac:dyDescent="0.2">
      <c r="V48" s="39"/>
    </row>
    <row r="49" spans="22:22" x14ac:dyDescent="0.2">
      <c r="V49" s="39"/>
    </row>
  </sheetData>
  <sortState ref="AP15:AX31">
    <sortCondition descending="1" ref="AQ15:AQ31"/>
    <sortCondition ref="AP15:AP31"/>
  </sortState>
  <mergeCells count="45">
    <mergeCell ref="V38:AD38"/>
    <mergeCell ref="V42:AD42"/>
    <mergeCell ref="B2:J2"/>
    <mergeCell ref="B6:J6"/>
    <mergeCell ref="B38:J38"/>
    <mergeCell ref="B42:J42"/>
    <mergeCell ref="L30:T30"/>
    <mergeCell ref="L34:T34"/>
    <mergeCell ref="L38:T38"/>
    <mergeCell ref="L42:T42"/>
    <mergeCell ref="L6:T6"/>
    <mergeCell ref="L10:T10"/>
    <mergeCell ref="L2:T2"/>
    <mergeCell ref="AF2:AN2"/>
    <mergeCell ref="AF6:AN6"/>
    <mergeCell ref="AF10:AN10"/>
    <mergeCell ref="V6:AD6"/>
    <mergeCell ref="V10:AD10"/>
    <mergeCell ref="V2:AD2"/>
    <mergeCell ref="AO14:AX14"/>
    <mergeCell ref="B10:J10"/>
    <mergeCell ref="B14:J14"/>
    <mergeCell ref="B18:J18"/>
    <mergeCell ref="B22:J22"/>
    <mergeCell ref="AF14:AN14"/>
    <mergeCell ref="AF18:AN18"/>
    <mergeCell ref="AF22:AN22"/>
    <mergeCell ref="L22:T22"/>
    <mergeCell ref="L14:T14"/>
    <mergeCell ref="L18:T18"/>
    <mergeCell ref="V14:AD14"/>
    <mergeCell ref="V30:AD30"/>
    <mergeCell ref="V18:AD18"/>
    <mergeCell ref="V22:AD22"/>
    <mergeCell ref="V26:AD26"/>
    <mergeCell ref="B34:J34"/>
    <mergeCell ref="V34:AD34"/>
    <mergeCell ref="B26:J26"/>
    <mergeCell ref="B30:J30"/>
    <mergeCell ref="L26:T26"/>
    <mergeCell ref="AF26:AN26"/>
    <mergeCell ref="AF30:AN30"/>
    <mergeCell ref="AF34:AN34"/>
    <mergeCell ref="AF38:AN38"/>
    <mergeCell ref="AF42:AN4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J15" sqref="J15"/>
    </sheetView>
  </sheetViews>
  <sheetFormatPr defaultRowHeight="15" x14ac:dyDescent="0.25"/>
  <cols>
    <col min="3" max="3" width="24" bestFit="1" customWidth="1"/>
  </cols>
  <sheetData>
    <row r="2" spans="1:7" x14ac:dyDescent="0.25">
      <c r="C2" t="s">
        <v>185</v>
      </c>
    </row>
    <row r="4" spans="1:7" x14ac:dyDescent="0.25">
      <c r="B4" t="s">
        <v>137</v>
      </c>
      <c r="C4" t="s">
        <v>116</v>
      </c>
      <c r="D4" t="s">
        <v>138</v>
      </c>
      <c r="E4" t="s">
        <v>139</v>
      </c>
      <c r="F4" t="s">
        <v>140</v>
      </c>
      <c r="G4" t="s">
        <v>144</v>
      </c>
    </row>
    <row r="5" spans="1:7" x14ac:dyDescent="0.25">
      <c r="A5">
        <v>1</v>
      </c>
      <c r="B5">
        <v>1</v>
      </c>
      <c r="C5" t="s">
        <v>18</v>
      </c>
      <c r="D5">
        <v>6</v>
      </c>
      <c r="E5">
        <v>5</v>
      </c>
      <c r="F5">
        <v>5</v>
      </c>
      <c r="G5">
        <f t="shared" ref="G5:G26" si="0">B5-A5</f>
        <v>0</v>
      </c>
    </row>
    <row r="6" spans="1:7" x14ac:dyDescent="0.25">
      <c r="A6">
        <v>2</v>
      </c>
      <c r="B6">
        <v>8</v>
      </c>
      <c r="C6" t="s">
        <v>143</v>
      </c>
      <c r="D6">
        <v>6</v>
      </c>
      <c r="E6">
        <v>3</v>
      </c>
      <c r="F6">
        <v>5</v>
      </c>
      <c r="G6">
        <f t="shared" si="0"/>
        <v>6</v>
      </c>
    </row>
    <row r="7" spans="1:7" x14ac:dyDescent="0.25">
      <c r="A7">
        <v>3</v>
      </c>
      <c r="B7">
        <v>2</v>
      </c>
      <c r="C7" t="s">
        <v>70</v>
      </c>
      <c r="D7">
        <v>4</v>
      </c>
      <c r="E7">
        <v>0</v>
      </c>
      <c r="F7">
        <v>2</v>
      </c>
      <c r="G7">
        <f t="shared" si="0"/>
        <v>-1</v>
      </c>
    </row>
    <row r="8" spans="1:7" x14ac:dyDescent="0.25">
      <c r="A8">
        <v>4</v>
      </c>
      <c r="B8">
        <v>6</v>
      </c>
      <c r="C8" t="s">
        <v>141</v>
      </c>
      <c r="D8">
        <v>3</v>
      </c>
      <c r="E8">
        <v>5</v>
      </c>
      <c r="F8">
        <v>9</v>
      </c>
      <c r="G8">
        <f t="shared" si="0"/>
        <v>2</v>
      </c>
    </row>
    <row r="9" spans="1:7" x14ac:dyDescent="0.25">
      <c r="A9">
        <v>5</v>
      </c>
      <c r="B9">
        <v>3</v>
      </c>
      <c r="C9" t="s">
        <v>43</v>
      </c>
      <c r="D9">
        <v>3</v>
      </c>
      <c r="E9">
        <v>3</v>
      </c>
      <c r="F9">
        <v>2</v>
      </c>
      <c r="G9">
        <f t="shared" si="0"/>
        <v>-2</v>
      </c>
    </row>
    <row r="10" spans="1:7" x14ac:dyDescent="0.25">
      <c r="A10">
        <v>6</v>
      </c>
      <c r="B10">
        <v>4</v>
      </c>
      <c r="C10" t="s">
        <v>4</v>
      </c>
      <c r="D10">
        <v>3</v>
      </c>
      <c r="E10">
        <v>0</v>
      </c>
      <c r="F10">
        <v>1</v>
      </c>
      <c r="G10">
        <f t="shared" si="0"/>
        <v>-2</v>
      </c>
    </row>
    <row r="11" spans="1:7" x14ac:dyDescent="0.25">
      <c r="A11">
        <v>7</v>
      </c>
      <c r="B11">
        <v>5</v>
      </c>
      <c r="C11" t="s">
        <v>24</v>
      </c>
      <c r="D11">
        <v>2</v>
      </c>
      <c r="E11">
        <v>5</v>
      </c>
      <c r="F11">
        <v>0</v>
      </c>
      <c r="G11">
        <f t="shared" si="0"/>
        <v>-2</v>
      </c>
    </row>
    <row r="12" spans="1:7" x14ac:dyDescent="0.25">
      <c r="A12">
        <v>8</v>
      </c>
      <c r="B12">
        <v>7</v>
      </c>
      <c r="C12" t="s">
        <v>0</v>
      </c>
      <c r="D12">
        <v>2</v>
      </c>
      <c r="E12">
        <v>4</v>
      </c>
      <c r="F12">
        <v>0</v>
      </c>
      <c r="G12">
        <f t="shared" si="0"/>
        <v>-1</v>
      </c>
    </row>
    <row r="13" spans="1:7" x14ac:dyDescent="0.25">
      <c r="A13">
        <v>9</v>
      </c>
      <c r="B13">
        <v>18</v>
      </c>
      <c r="C13" t="s">
        <v>128</v>
      </c>
      <c r="D13">
        <v>2</v>
      </c>
      <c r="E13">
        <v>3</v>
      </c>
      <c r="F13">
        <v>0</v>
      </c>
      <c r="G13">
        <f t="shared" si="0"/>
        <v>9</v>
      </c>
    </row>
    <row r="14" spans="1:7" x14ac:dyDescent="0.25">
      <c r="A14">
        <v>10</v>
      </c>
      <c r="B14">
        <v>9</v>
      </c>
      <c r="C14" t="s">
        <v>142</v>
      </c>
      <c r="D14">
        <v>1</v>
      </c>
      <c r="E14">
        <v>3</v>
      </c>
      <c r="F14">
        <v>5</v>
      </c>
      <c r="G14">
        <f t="shared" si="0"/>
        <v>-1</v>
      </c>
    </row>
    <row r="15" spans="1:7" x14ac:dyDescent="0.25">
      <c r="A15">
        <v>11</v>
      </c>
      <c r="B15">
        <v>10</v>
      </c>
      <c r="C15" t="s">
        <v>92</v>
      </c>
      <c r="D15">
        <v>1</v>
      </c>
      <c r="E15">
        <v>3</v>
      </c>
      <c r="F15">
        <v>1</v>
      </c>
      <c r="G15">
        <f t="shared" si="0"/>
        <v>-1</v>
      </c>
    </row>
    <row r="16" spans="1:7" x14ac:dyDescent="0.25">
      <c r="A16">
        <v>12</v>
      </c>
      <c r="B16">
        <v>11</v>
      </c>
      <c r="C16" t="s">
        <v>1</v>
      </c>
      <c r="D16">
        <v>1</v>
      </c>
      <c r="E16">
        <v>2</v>
      </c>
      <c r="F16">
        <v>0</v>
      </c>
      <c r="G16">
        <f t="shared" si="0"/>
        <v>-1</v>
      </c>
    </row>
    <row r="17" spans="1:7" x14ac:dyDescent="0.25">
      <c r="A17">
        <v>13</v>
      </c>
      <c r="B17">
        <v>12</v>
      </c>
      <c r="C17" t="s">
        <v>23</v>
      </c>
      <c r="D17">
        <v>1</v>
      </c>
      <c r="E17">
        <v>1</v>
      </c>
      <c r="F17">
        <v>3</v>
      </c>
      <c r="G17">
        <f t="shared" si="0"/>
        <v>-1</v>
      </c>
    </row>
    <row r="18" spans="1:7" x14ac:dyDescent="0.25">
      <c r="A18">
        <v>14</v>
      </c>
      <c r="B18">
        <v>17</v>
      </c>
      <c r="C18" t="s">
        <v>112</v>
      </c>
      <c r="D18">
        <v>1</v>
      </c>
      <c r="E18">
        <v>1</v>
      </c>
      <c r="F18">
        <v>0</v>
      </c>
      <c r="G18">
        <f t="shared" si="0"/>
        <v>3</v>
      </c>
    </row>
    <row r="19" spans="1:7" x14ac:dyDescent="0.25">
      <c r="A19">
        <v>15</v>
      </c>
      <c r="B19">
        <v>21</v>
      </c>
      <c r="C19" t="s">
        <v>58</v>
      </c>
      <c r="D19">
        <v>1</v>
      </c>
      <c r="E19">
        <v>0</v>
      </c>
      <c r="F19">
        <v>1</v>
      </c>
      <c r="G19">
        <f t="shared" si="0"/>
        <v>6</v>
      </c>
    </row>
    <row r="20" spans="1:7" x14ac:dyDescent="0.25">
      <c r="A20">
        <v>16</v>
      </c>
      <c r="B20">
        <v>13</v>
      </c>
      <c r="C20" t="s">
        <v>3</v>
      </c>
      <c r="D20">
        <v>1</v>
      </c>
      <c r="E20">
        <v>0</v>
      </c>
      <c r="F20">
        <v>1</v>
      </c>
      <c r="G20">
        <f t="shared" si="0"/>
        <v>-3</v>
      </c>
    </row>
    <row r="21" spans="1:7" x14ac:dyDescent="0.25">
      <c r="A21">
        <v>17</v>
      </c>
      <c r="B21">
        <v>14</v>
      </c>
      <c r="C21" t="s">
        <v>6</v>
      </c>
      <c r="D21">
        <v>1</v>
      </c>
      <c r="E21">
        <v>0</v>
      </c>
      <c r="F21">
        <v>0</v>
      </c>
      <c r="G21">
        <f t="shared" si="0"/>
        <v>-3</v>
      </c>
    </row>
    <row r="22" spans="1:7" x14ac:dyDescent="0.25">
      <c r="A22">
        <v>18</v>
      </c>
      <c r="B22">
        <v>22</v>
      </c>
      <c r="C22" t="s">
        <v>131</v>
      </c>
      <c r="D22">
        <v>0</v>
      </c>
      <c r="E22">
        <v>1</v>
      </c>
      <c r="F22">
        <v>0</v>
      </c>
      <c r="G22">
        <f t="shared" si="0"/>
        <v>4</v>
      </c>
    </row>
    <row r="23" spans="1:7" x14ac:dyDescent="0.25">
      <c r="A23">
        <v>19</v>
      </c>
      <c r="B23">
        <v>19</v>
      </c>
      <c r="C23" t="s">
        <v>184</v>
      </c>
      <c r="D23">
        <v>0</v>
      </c>
      <c r="E23">
        <v>0</v>
      </c>
      <c r="F23">
        <v>1</v>
      </c>
      <c r="G23">
        <f t="shared" si="0"/>
        <v>0</v>
      </c>
    </row>
    <row r="24" spans="1:7" x14ac:dyDescent="0.25">
      <c r="A24">
        <v>20</v>
      </c>
      <c r="B24">
        <v>15</v>
      </c>
      <c r="C24" t="s">
        <v>51</v>
      </c>
      <c r="D24">
        <v>0</v>
      </c>
      <c r="E24">
        <v>0</v>
      </c>
      <c r="F24">
        <v>1</v>
      </c>
      <c r="G24">
        <f t="shared" si="0"/>
        <v>-5</v>
      </c>
    </row>
    <row r="25" spans="1:7" x14ac:dyDescent="0.25">
      <c r="A25">
        <v>21</v>
      </c>
      <c r="B25">
        <v>20</v>
      </c>
      <c r="C25" t="s">
        <v>130</v>
      </c>
      <c r="D25">
        <v>0</v>
      </c>
      <c r="E25">
        <v>0</v>
      </c>
      <c r="F25">
        <v>1</v>
      </c>
      <c r="G25">
        <f t="shared" si="0"/>
        <v>-1</v>
      </c>
    </row>
    <row r="26" spans="1:7" x14ac:dyDescent="0.25">
      <c r="A26">
        <v>22</v>
      </c>
      <c r="B26">
        <v>16</v>
      </c>
      <c r="C26" t="s">
        <v>2</v>
      </c>
      <c r="D26">
        <v>0</v>
      </c>
      <c r="E26">
        <v>0</v>
      </c>
      <c r="F26">
        <v>1</v>
      </c>
      <c r="G26">
        <f t="shared" si="0"/>
        <v>-6</v>
      </c>
    </row>
  </sheetData>
  <sortState ref="B5:F26">
    <sortCondition descending="1" ref="D5:D26"/>
    <sortCondition descending="1" ref="E5:E26"/>
    <sortCondition descending="1" ref="F5:F26"/>
    <sortCondition ref="C5:C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7"/>
  <sheetViews>
    <sheetView topLeftCell="A2" workbookViewId="0">
      <selection activeCell="N18" sqref="N18"/>
    </sheetView>
  </sheetViews>
  <sheetFormatPr defaultRowHeight="15" x14ac:dyDescent="0.25"/>
  <cols>
    <col min="2" max="2" width="30.7109375" bestFit="1" customWidth="1"/>
  </cols>
  <sheetData>
    <row r="3" spans="1:10" x14ac:dyDescent="0.25">
      <c r="B3" t="s">
        <v>116</v>
      </c>
      <c r="C3" t="s">
        <v>188</v>
      </c>
      <c r="D3" t="s">
        <v>105</v>
      </c>
      <c r="E3" t="s">
        <v>189</v>
      </c>
      <c r="F3" t="s">
        <v>190</v>
      </c>
      <c r="G3" t="s">
        <v>191</v>
      </c>
      <c r="H3" t="s">
        <v>192</v>
      </c>
      <c r="I3" t="s">
        <v>193</v>
      </c>
      <c r="J3" t="s">
        <v>194</v>
      </c>
    </row>
    <row r="4" spans="1:10" x14ac:dyDescent="0.25">
      <c r="A4">
        <v>1</v>
      </c>
      <c r="B4" t="s">
        <v>32</v>
      </c>
      <c r="C4">
        <v>1020</v>
      </c>
      <c r="D4">
        <v>674</v>
      </c>
      <c r="E4">
        <v>131</v>
      </c>
      <c r="F4">
        <v>215</v>
      </c>
      <c r="G4">
        <v>2813</v>
      </c>
      <c r="H4">
        <v>978</v>
      </c>
      <c r="I4">
        <v>2152</v>
      </c>
      <c r="J4" s="24">
        <v>0.70326797385620921</v>
      </c>
    </row>
    <row r="5" spans="1:10" x14ac:dyDescent="0.25">
      <c r="A5">
        <v>2</v>
      </c>
      <c r="B5" t="s">
        <v>33</v>
      </c>
      <c r="C5">
        <v>892</v>
      </c>
      <c r="D5">
        <v>580</v>
      </c>
      <c r="E5">
        <v>109</v>
      </c>
      <c r="F5">
        <v>203</v>
      </c>
      <c r="G5">
        <v>2599</v>
      </c>
      <c r="H5">
        <v>904</v>
      </c>
      <c r="I5">
        <v>1845</v>
      </c>
      <c r="J5" s="24">
        <v>0.6894618834080718</v>
      </c>
    </row>
    <row r="6" spans="1:10" x14ac:dyDescent="0.25">
      <c r="A6">
        <v>3</v>
      </c>
      <c r="B6" t="s">
        <v>43</v>
      </c>
      <c r="C6">
        <v>750</v>
      </c>
      <c r="D6">
        <v>470</v>
      </c>
      <c r="E6">
        <v>101</v>
      </c>
      <c r="F6">
        <v>179</v>
      </c>
      <c r="G6">
        <v>1968</v>
      </c>
      <c r="H6">
        <v>711</v>
      </c>
      <c r="I6">
        <v>1518</v>
      </c>
      <c r="J6" s="24">
        <v>0.67466666666666664</v>
      </c>
    </row>
    <row r="7" spans="1:10" x14ac:dyDescent="0.25">
      <c r="A7">
        <v>4</v>
      </c>
      <c r="B7" t="s">
        <v>64</v>
      </c>
      <c r="C7">
        <v>690</v>
      </c>
      <c r="D7">
        <v>476</v>
      </c>
      <c r="E7">
        <v>74</v>
      </c>
      <c r="F7">
        <v>140</v>
      </c>
      <c r="G7">
        <v>2092</v>
      </c>
      <c r="H7">
        <v>582</v>
      </c>
      <c r="I7">
        <v>1508</v>
      </c>
      <c r="J7" s="24">
        <v>0.72850241545893724</v>
      </c>
    </row>
    <row r="8" spans="1:10" x14ac:dyDescent="0.25">
      <c r="A8">
        <v>5</v>
      </c>
      <c r="B8" t="s">
        <v>18</v>
      </c>
      <c r="C8">
        <v>690</v>
      </c>
      <c r="D8">
        <v>468</v>
      </c>
      <c r="E8">
        <v>94</v>
      </c>
      <c r="F8">
        <v>128</v>
      </c>
      <c r="G8">
        <v>2157</v>
      </c>
      <c r="H8">
        <v>622</v>
      </c>
      <c r="I8">
        <v>1498</v>
      </c>
      <c r="J8" s="24">
        <v>0.72367149758454108</v>
      </c>
    </row>
    <row r="9" spans="1:10" x14ac:dyDescent="0.25">
      <c r="A9">
        <v>6</v>
      </c>
      <c r="B9" t="s">
        <v>58</v>
      </c>
      <c r="C9">
        <v>750</v>
      </c>
      <c r="D9">
        <v>363</v>
      </c>
      <c r="E9">
        <v>118</v>
      </c>
      <c r="F9">
        <v>269</v>
      </c>
      <c r="G9">
        <v>1351</v>
      </c>
      <c r="H9">
        <v>1072</v>
      </c>
      <c r="I9">
        <v>1203</v>
      </c>
      <c r="J9" s="24">
        <v>0.53466666666666662</v>
      </c>
    </row>
    <row r="10" spans="1:10" x14ac:dyDescent="0.25">
      <c r="A10">
        <v>7</v>
      </c>
      <c r="B10" t="s">
        <v>71</v>
      </c>
      <c r="C10">
        <v>630</v>
      </c>
      <c r="D10">
        <v>303</v>
      </c>
      <c r="E10">
        <v>90</v>
      </c>
      <c r="F10">
        <v>237</v>
      </c>
      <c r="G10">
        <v>1273</v>
      </c>
      <c r="H10">
        <v>922</v>
      </c>
      <c r="I10">
        <v>993</v>
      </c>
      <c r="J10" s="24">
        <v>0.52539682539682542</v>
      </c>
    </row>
    <row r="11" spans="1:10" x14ac:dyDescent="0.25">
      <c r="A11">
        <v>8</v>
      </c>
      <c r="B11" t="s">
        <v>70</v>
      </c>
      <c r="C11">
        <v>360</v>
      </c>
      <c r="D11">
        <v>253</v>
      </c>
      <c r="E11">
        <v>33</v>
      </c>
      <c r="F11">
        <v>74</v>
      </c>
      <c r="G11">
        <v>1047</v>
      </c>
      <c r="H11">
        <v>376</v>
      </c>
      <c r="I11">
        <v>792</v>
      </c>
      <c r="J11" s="24">
        <v>0.73333333333333328</v>
      </c>
    </row>
    <row r="12" spans="1:10" x14ac:dyDescent="0.25">
      <c r="A12">
        <v>9</v>
      </c>
      <c r="B12" t="s">
        <v>24</v>
      </c>
      <c r="C12">
        <v>420</v>
      </c>
      <c r="D12">
        <v>239</v>
      </c>
      <c r="E12">
        <v>69</v>
      </c>
      <c r="F12">
        <v>112</v>
      </c>
      <c r="G12">
        <v>952</v>
      </c>
      <c r="H12">
        <v>569</v>
      </c>
      <c r="I12">
        <v>786</v>
      </c>
      <c r="J12" s="24">
        <v>0.62380952380952381</v>
      </c>
    </row>
    <row r="13" spans="1:10" x14ac:dyDescent="0.25">
      <c r="A13">
        <v>10</v>
      </c>
      <c r="B13" t="s">
        <v>92</v>
      </c>
      <c r="C13">
        <v>420</v>
      </c>
      <c r="D13">
        <v>218</v>
      </c>
      <c r="E13">
        <v>50</v>
      </c>
      <c r="F13">
        <v>152</v>
      </c>
      <c r="G13">
        <v>836</v>
      </c>
      <c r="H13">
        <v>563</v>
      </c>
      <c r="I13">
        <v>720</v>
      </c>
      <c r="J13" s="24">
        <v>0.5714285714285714</v>
      </c>
    </row>
    <row r="14" spans="1:10" x14ac:dyDescent="0.25">
      <c r="A14">
        <v>11</v>
      </c>
      <c r="B14" t="s">
        <v>128</v>
      </c>
      <c r="C14">
        <v>390</v>
      </c>
      <c r="D14">
        <v>218</v>
      </c>
      <c r="E14">
        <v>60</v>
      </c>
      <c r="F14">
        <v>112</v>
      </c>
      <c r="G14">
        <v>894</v>
      </c>
      <c r="H14">
        <v>468</v>
      </c>
      <c r="I14">
        <v>701</v>
      </c>
      <c r="J14" s="24">
        <v>0.59914529914529913</v>
      </c>
    </row>
    <row r="15" spans="1:10" x14ac:dyDescent="0.25">
      <c r="A15">
        <v>12</v>
      </c>
      <c r="B15" t="s">
        <v>27</v>
      </c>
      <c r="C15">
        <v>390</v>
      </c>
      <c r="D15">
        <v>177</v>
      </c>
      <c r="E15">
        <v>78</v>
      </c>
      <c r="F15">
        <v>135</v>
      </c>
      <c r="G15">
        <v>761</v>
      </c>
      <c r="H15">
        <v>525</v>
      </c>
      <c r="I15">
        <v>609</v>
      </c>
      <c r="J15" s="24">
        <v>0.52051282051282055</v>
      </c>
    </row>
    <row r="16" spans="1:10" x14ac:dyDescent="0.25">
      <c r="A16">
        <v>13</v>
      </c>
      <c r="B16" t="s">
        <v>4</v>
      </c>
      <c r="C16">
        <v>360</v>
      </c>
      <c r="D16">
        <v>178</v>
      </c>
      <c r="E16">
        <v>69</v>
      </c>
      <c r="F16">
        <v>113</v>
      </c>
      <c r="G16">
        <v>647</v>
      </c>
      <c r="H16">
        <v>438</v>
      </c>
      <c r="I16">
        <v>603</v>
      </c>
      <c r="J16" s="24">
        <v>0.55833333333333335</v>
      </c>
    </row>
    <row r="17" spans="1:10" x14ac:dyDescent="0.25">
      <c r="A17">
        <v>14</v>
      </c>
      <c r="B17" t="s">
        <v>23</v>
      </c>
      <c r="C17">
        <v>300</v>
      </c>
      <c r="D17">
        <v>174</v>
      </c>
      <c r="E17">
        <v>61</v>
      </c>
      <c r="F17">
        <v>65</v>
      </c>
      <c r="G17">
        <v>650</v>
      </c>
      <c r="H17">
        <v>287</v>
      </c>
      <c r="I17">
        <v>583</v>
      </c>
      <c r="J17" s="24">
        <v>0.64777777777777779</v>
      </c>
    </row>
    <row r="18" spans="1:10" x14ac:dyDescent="0.25">
      <c r="A18">
        <v>15</v>
      </c>
      <c r="B18" t="s">
        <v>0</v>
      </c>
      <c r="C18">
        <v>300</v>
      </c>
      <c r="D18">
        <v>166</v>
      </c>
      <c r="E18">
        <v>62</v>
      </c>
      <c r="F18">
        <v>72</v>
      </c>
      <c r="G18">
        <v>605</v>
      </c>
      <c r="H18">
        <v>320</v>
      </c>
      <c r="I18">
        <v>560</v>
      </c>
      <c r="J18" s="24">
        <v>0.62222222222222223</v>
      </c>
    </row>
    <row r="19" spans="1:10" x14ac:dyDescent="0.25">
      <c r="A19">
        <v>16</v>
      </c>
      <c r="B19" t="s">
        <v>130</v>
      </c>
      <c r="C19">
        <v>360</v>
      </c>
      <c r="D19">
        <v>170</v>
      </c>
      <c r="E19">
        <v>51</v>
      </c>
      <c r="F19">
        <v>139</v>
      </c>
      <c r="G19">
        <v>783</v>
      </c>
      <c r="H19">
        <v>546</v>
      </c>
      <c r="I19">
        <v>552</v>
      </c>
      <c r="J19" s="24">
        <v>0.51111111111111107</v>
      </c>
    </row>
    <row r="20" spans="1:10" x14ac:dyDescent="0.25">
      <c r="A20">
        <v>17</v>
      </c>
      <c r="B20" t="s">
        <v>51</v>
      </c>
      <c r="C20">
        <v>270</v>
      </c>
      <c r="D20">
        <v>160</v>
      </c>
      <c r="E20">
        <v>32</v>
      </c>
      <c r="F20">
        <v>78</v>
      </c>
      <c r="G20">
        <v>649</v>
      </c>
      <c r="H20">
        <v>301</v>
      </c>
      <c r="I20">
        <v>512</v>
      </c>
      <c r="J20" s="24">
        <v>0.63209876543209875</v>
      </c>
    </row>
    <row r="21" spans="1:10" x14ac:dyDescent="0.25">
      <c r="A21">
        <v>18</v>
      </c>
      <c r="B21" t="s">
        <v>3</v>
      </c>
      <c r="C21">
        <v>330</v>
      </c>
      <c r="D21">
        <v>141</v>
      </c>
      <c r="E21">
        <v>76</v>
      </c>
      <c r="F21">
        <v>113</v>
      </c>
      <c r="G21">
        <v>523</v>
      </c>
      <c r="H21">
        <v>443</v>
      </c>
      <c r="I21">
        <v>499</v>
      </c>
      <c r="J21" s="24">
        <v>0.50404040404040407</v>
      </c>
    </row>
    <row r="22" spans="1:10" x14ac:dyDescent="0.25">
      <c r="A22">
        <v>19</v>
      </c>
      <c r="B22" t="s">
        <v>131</v>
      </c>
      <c r="C22">
        <v>270</v>
      </c>
      <c r="D22">
        <v>152</v>
      </c>
      <c r="E22">
        <v>35</v>
      </c>
      <c r="F22">
        <v>83</v>
      </c>
      <c r="G22">
        <v>664</v>
      </c>
      <c r="H22">
        <v>366</v>
      </c>
      <c r="I22">
        <v>491</v>
      </c>
      <c r="J22" s="24">
        <v>0.60617283950617284</v>
      </c>
    </row>
    <row r="23" spans="1:10" x14ac:dyDescent="0.25">
      <c r="A23">
        <v>20</v>
      </c>
      <c r="B23" t="s">
        <v>50</v>
      </c>
      <c r="C23">
        <v>360</v>
      </c>
      <c r="D23">
        <v>143</v>
      </c>
      <c r="E23">
        <v>45</v>
      </c>
      <c r="F23">
        <v>172</v>
      </c>
      <c r="G23">
        <v>549</v>
      </c>
      <c r="H23">
        <v>594</v>
      </c>
      <c r="I23">
        <v>474</v>
      </c>
      <c r="J23" s="24">
        <v>0.43888888888888888</v>
      </c>
    </row>
    <row r="24" spans="1:10" x14ac:dyDescent="0.25">
      <c r="A24">
        <v>21</v>
      </c>
      <c r="B24" t="s">
        <v>6</v>
      </c>
      <c r="C24">
        <v>270</v>
      </c>
      <c r="D24">
        <v>111</v>
      </c>
      <c r="E24">
        <v>69</v>
      </c>
      <c r="F24">
        <v>90</v>
      </c>
      <c r="G24">
        <v>413</v>
      </c>
      <c r="H24">
        <v>354</v>
      </c>
      <c r="I24">
        <v>402</v>
      </c>
      <c r="J24" s="24">
        <v>0.49629629629629629</v>
      </c>
    </row>
    <row r="25" spans="1:10" x14ac:dyDescent="0.25">
      <c r="A25">
        <v>22</v>
      </c>
      <c r="B25" t="s">
        <v>112</v>
      </c>
      <c r="C25">
        <v>270</v>
      </c>
      <c r="D25">
        <v>115</v>
      </c>
      <c r="E25">
        <v>36</v>
      </c>
      <c r="F25">
        <v>119</v>
      </c>
      <c r="G25">
        <v>410</v>
      </c>
      <c r="H25">
        <v>414</v>
      </c>
      <c r="I25">
        <v>395</v>
      </c>
      <c r="J25" s="24">
        <v>0.48765432098765432</v>
      </c>
    </row>
    <row r="26" spans="1:10" x14ac:dyDescent="0.25">
      <c r="A26">
        <v>23</v>
      </c>
      <c r="B26" t="s">
        <v>146</v>
      </c>
      <c r="C26">
        <v>240</v>
      </c>
      <c r="D26">
        <v>110</v>
      </c>
      <c r="E26">
        <v>37</v>
      </c>
      <c r="F26">
        <v>93</v>
      </c>
      <c r="G26">
        <v>478</v>
      </c>
      <c r="H26">
        <v>372</v>
      </c>
      <c r="I26">
        <v>367</v>
      </c>
      <c r="J26" s="24">
        <v>0.50972222222222219</v>
      </c>
    </row>
    <row r="27" spans="1:10" x14ac:dyDescent="0.25">
      <c r="A27">
        <v>24</v>
      </c>
      <c r="B27" t="s">
        <v>1</v>
      </c>
      <c r="C27">
        <v>240</v>
      </c>
      <c r="D27">
        <v>100</v>
      </c>
      <c r="E27">
        <v>63</v>
      </c>
      <c r="F27">
        <v>77</v>
      </c>
      <c r="G27">
        <v>373</v>
      </c>
      <c r="H27">
        <v>316</v>
      </c>
      <c r="I27">
        <v>363</v>
      </c>
      <c r="J27" s="24">
        <v>0.50416666666666665</v>
      </c>
    </row>
    <row r="28" spans="1:10" x14ac:dyDescent="0.25">
      <c r="A28">
        <v>25</v>
      </c>
      <c r="B28" t="s">
        <v>56</v>
      </c>
      <c r="C28">
        <v>480</v>
      </c>
      <c r="D28">
        <v>96</v>
      </c>
      <c r="E28">
        <v>56</v>
      </c>
      <c r="F28">
        <v>328</v>
      </c>
      <c r="G28">
        <v>418</v>
      </c>
      <c r="H28">
        <v>1315</v>
      </c>
      <c r="I28">
        <v>344</v>
      </c>
      <c r="J28" s="24">
        <v>0.2388888888888889</v>
      </c>
    </row>
    <row r="29" spans="1:10" x14ac:dyDescent="0.25">
      <c r="A29">
        <v>26</v>
      </c>
      <c r="B29" t="s">
        <v>76</v>
      </c>
      <c r="C29">
        <v>360</v>
      </c>
      <c r="D29">
        <v>100</v>
      </c>
      <c r="E29">
        <v>43</v>
      </c>
      <c r="F29">
        <v>217</v>
      </c>
      <c r="G29">
        <v>466</v>
      </c>
      <c r="H29">
        <v>823</v>
      </c>
      <c r="I29">
        <v>343</v>
      </c>
      <c r="J29" s="24">
        <v>0.31759259259259259</v>
      </c>
    </row>
    <row r="30" spans="1:10" x14ac:dyDescent="0.25">
      <c r="A30">
        <v>27</v>
      </c>
      <c r="B30" t="s">
        <v>52</v>
      </c>
      <c r="C30">
        <v>420</v>
      </c>
      <c r="D30">
        <v>95</v>
      </c>
      <c r="E30">
        <v>52</v>
      </c>
      <c r="F30">
        <v>273</v>
      </c>
      <c r="G30">
        <v>447</v>
      </c>
      <c r="H30">
        <v>1210</v>
      </c>
      <c r="I30">
        <v>337</v>
      </c>
      <c r="J30" s="24">
        <v>0.26746031746031745</v>
      </c>
    </row>
    <row r="31" spans="1:10" x14ac:dyDescent="0.25">
      <c r="A31">
        <v>28</v>
      </c>
      <c r="B31" t="s">
        <v>9</v>
      </c>
      <c r="C31">
        <v>300</v>
      </c>
      <c r="D31">
        <v>89</v>
      </c>
      <c r="E31">
        <v>67</v>
      </c>
      <c r="F31">
        <v>144</v>
      </c>
      <c r="G31">
        <v>417</v>
      </c>
      <c r="H31">
        <v>458</v>
      </c>
      <c r="I31">
        <v>334</v>
      </c>
      <c r="J31" s="24">
        <v>0.37111111111111111</v>
      </c>
    </row>
    <row r="32" spans="1:10" x14ac:dyDescent="0.25">
      <c r="A32">
        <v>29</v>
      </c>
      <c r="B32" t="s">
        <v>68</v>
      </c>
      <c r="C32">
        <v>420</v>
      </c>
      <c r="D32">
        <v>86</v>
      </c>
      <c r="E32">
        <v>43</v>
      </c>
      <c r="F32">
        <v>291</v>
      </c>
      <c r="G32">
        <v>455</v>
      </c>
      <c r="H32">
        <v>1173</v>
      </c>
      <c r="I32">
        <v>296</v>
      </c>
      <c r="J32" s="24">
        <v>0.23492063492063492</v>
      </c>
    </row>
    <row r="33" spans="1:10" x14ac:dyDescent="0.25">
      <c r="A33">
        <v>30</v>
      </c>
      <c r="B33" t="s">
        <v>25</v>
      </c>
      <c r="C33">
        <v>240</v>
      </c>
      <c r="D33">
        <v>77</v>
      </c>
      <c r="E33">
        <v>58</v>
      </c>
      <c r="F33">
        <v>105</v>
      </c>
      <c r="G33">
        <v>371</v>
      </c>
      <c r="H33">
        <v>387</v>
      </c>
      <c r="I33">
        <v>289</v>
      </c>
      <c r="J33" s="24">
        <v>0.40138888888888891</v>
      </c>
    </row>
    <row r="34" spans="1:10" x14ac:dyDescent="0.25">
      <c r="A34">
        <v>31</v>
      </c>
      <c r="B34" t="s">
        <v>115</v>
      </c>
      <c r="C34">
        <v>300</v>
      </c>
      <c r="D34">
        <v>86</v>
      </c>
      <c r="E34">
        <v>41</v>
      </c>
      <c r="F34">
        <v>173</v>
      </c>
      <c r="G34">
        <v>346</v>
      </c>
      <c r="H34">
        <v>629</v>
      </c>
      <c r="I34">
        <v>285</v>
      </c>
      <c r="J34" s="24">
        <v>0.31666666666666665</v>
      </c>
    </row>
    <row r="35" spans="1:10" x14ac:dyDescent="0.25">
      <c r="A35">
        <v>32</v>
      </c>
      <c r="B35" t="s">
        <v>53</v>
      </c>
      <c r="C35">
        <v>270</v>
      </c>
      <c r="D35">
        <v>70</v>
      </c>
      <c r="E35">
        <v>45</v>
      </c>
      <c r="F35">
        <v>155</v>
      </c>
      <c r="G35">
        <v>295</v>
      </c>
      <c r="H35">
        <v>528</v>
      </c>
      <c r="I35">
        <v>255</v>
      </c>
      <c r="J35" s="24">
        <v>0.31481481481481483</v>
      </c>
    </row>
    <row r="36" spans="1:10" x14ac:dyDescent="0.25">
      <c r="A36">
        <v>33</v>
      </c>
      <c r="B36" t="s">
        <v>147</v>
      </c>
      <c r="C36">
        <v>270</v>
      </c>
      <c r="D36">
        <v>69</v>
      </c>
      <c r="E36">
        <v>32</v>
      </c>
      <c r="F36">
        <v>169</v>
      </c>
      <c r="G36">
        <v>381</v>
      </c>
      <c r="H36">
        <v>621</v>
      </c>
      <c r="I36">
        <v>244</v>
      </c>
      <c r="J36" s="24">
        <v>0.3012345679012346</v>
      </c>
    </row>
    <row r="37" spans="1:10" x14ac:dyDescent="0.25">
      <c r="A37">
        <v>34</v>
      </c>
      <c r="B37" t="s">
        <v>28</v>
      </c>
      <c r="C37">
        <v>180</v>
      </c>
      <c r="D37">
        <v>64</v>
      </c>
      <c r="E37">
        <v>37</v>
      </c>
      <c r="F37">
        <v>79</v>
      </c>
      <c r="G37">
        <v>222</v>
      </c>
      <c r="H37">
        <v>254</v>
      </c>
      <c r="I37">
        <v>229</v>
      </c>
      <c r="J37" s="24">
        <v>0.42407407407407405</v>
      </c>
    </row>
    <row r="38" spans="1:10" x14ac:dyDescent="0.25">
      <c r="A38">
        <v>35</v>
      </c>
      <c r="B38" t="s">
        <v>114</v>
      </c>
      <c r="C38">
        <v>210</v>
      </c>
      <c r="D38">
        <v>67</v>
      </c>
      <c r="E38">
        <v>25</v>
      </c>
      <c r="F38">
        <v>118</v>
      </c>
      <c r="G38">
        <v>313</v>
      </c>
      <c r="H38">
        <v>514</v>
      </c>
      <c r="I38">
        <v>226</v>
      </c>
      <c r="J38" s="24">
        <v>0.35873015873015873</v>
      </c>
    </row>
    <row r="39" spans="1:10" x14ac:dyDescent="0.25">
      <c r="A39">
        <v>36</v>
      </c>
      <c r="B39" t="s">
        <v>73</v>
      </c>
      <c r="C39">
        <v>270</v>
      </c>
      <c r="D39">
        <v>60</v>
      </c>
      <c r="E39">
        <v>31</v>
      </c>
      <c r="F39">
        <v>179</v>
      </c>
      <c r="G39">
        <v>237</v>
      </c>
      <c r="H39">
        <v>748</v>
      </c>
      <c r="I39">
        <v>223</v>
      </c>
      <c r="J39" s="24">
        <v>0.27530864197530863</v>
      </c>
    </row>
    <row r="40" spans="1:10" x14ac:dyDescent="0.25">
      <c r="A40">
        <v>37</v>
      </c>
      <c r="B40" t="s">
        <v>55</v>
      </c>
      <c r="C40">
        <v>150</v>
      </c>
      <c r="D40">
        <v>64</v>
      </c>
      <c r="E40">
        <v>25</v>
      </c>
      <c r="F40">
        <v>61</v>
      </c>
      <c r="G40">
        <v>277</v>
      </c>
      <c r="H40">
        <v>231</v>
      </c>
      <c r="I40">
        <v>217</v>
      </c>
      <c r="J40" s="24">
        <v>0.48222222222222222</v>
      </c>
    </row>
    <row r="41" spans="1:10" x14ac:dyDescent="0.25">
      <c r="A41">
        <v>38</v>
      </c>
      <c r="B41" t="s">
        <v>7</v>
      </c>
      <c r="C41">
        <v>150</v>
      </c>
      <c r="D41">
        <v>59</v>
      </c>
      <c r="E41">
        <v>32</v>
      </c>
      <c r="F41">
        <v>59</v>
      </c>
      <c r="G41">
        <v>206</v>
      </c>
      <c r="H41">
        <v>185</v>
      </c>
      <c r="I41">
        <v>209</v>
      </c>
      <c r="J41" s="24">
        <v>0.46444444444444444</v>
      </c>
    </row>
    <row r="42" spans="1:10" x14ac:dyDescent="0.25">
      <c r="A42">
        <v>39</v>
      </c>
      <c r="B42" t="s">
        <v>2</v>
      </c>
      <c r="C42">
        <v>180</v>
      </c>
      <c r="D42">
        <v>49</v>
      </c>
      <c r="E42">
        <v>46</v>
      </c>
      <c r="F42">
        <v>85</v>
      </c>
      <c r="G42">
        <v>250</v>
      </c>
      <c r="H42">
        <v>286</v>
      </c>
      <c r="I42">
        <v>193</v>
      </c>
      <c r="J42" s="24">
        <v>0.3574074074074074</v>
      </c>
    </row>
    <row r="43" spans="1:10" x14ac:dyDescent="0.25">
      <c r="A43">
        <v>40</v>
      </c>
      <c r="B43" t="s">
        <v>41</v>
      </c>
      <c r="C43">
        <v>180</v>
      </c>
      <c r="D43">
        <v>50</v>
      </c>
      <c r="E43">
        <v>28</v>
      </c>
      <c r="F43">
        <v>102</v>
      </c>
      <c r="G43">
        <v>295</v>
      </c>
      <c r="H43">
        <v>372</v>
      </c>
      <c r="I43">
        <v>178</v>
      </c>
      <c r="J43" s="24">
        <v>0.32962962962962961</v>
      </c>
    </row>
    <row r="44" spans="1:10" x14ac:dyDescent="0.25">
      <c r="A44">
        <v>41</v>
      </c>
      <c r="B44" t="s">
        <v>61</v>
      </c>
      <c r="C44">
        <v>150</v>
      </c>
      <c r="D44">
        <v>43</v>
      </c>
      <c r="E44">
        <v>21</v>
      </c>
      <c r="F44">
        <v>86</v>
      </c>
      <c r="G44">
        <v>161</v>
      </c>
      <c r="H44">
        <v>390</v>
      </c>
      <c r="I44">
        <v>150</v>
      </c>
      <c r="J44" s="24">
        <v>0.33333333333333331</v>
      </c>
    </row>
    <row r="45" spans="1:10" x14ac:dyDescent="0.25">
      <c r="A45">
        <v>42</v>
      </c>
      <c r="B45" t="s">
        <v>5</v>
      </c>
      <c r="C45">
        <v>120</v>
      </c>
      <c r="D45">
        <v>39</v>
      </c>
      <c r="E45">
        <v>27</v>
      </c>
      <c r="F45">
        <v>54</v>
      </c>
      <c r="G45">
        <v>136</v>
      </c>
      <c r="H45">
        <v>168</v>
      </c>
      <c r="I45">
        <v>144</v>
      </c>
      <c r="J45" s="24">
        <v>0.4</v>
      </c>
    </row>
    <row r="46" spans="1:10" x14ac:dyDescent="0.25">
      <c r="A46">
        <v>43</v>
      </c>
      <c r="B46" t="s">
        <v>17</v>
      </c>
      <c r="C46">
        <v>120</v>
      </c>
      <c r="D46">
        <v>35</v>
      </c>
      <c r="E46">
        <v>34</v>
      </c>
      <c r="F46">
        <v>51</v>
      </c>
      <c r="G46">
        <v>123</v>
      </c>
      <c r="H46">
        <v>169</v>
      </c>
      <c r="I46">
        <v>139</v>
      </c>
      <c r="J46" s="24">
        <v>0.38611111111111113</v>
      </c>
    </row>
    <row r="47" spans="1:10" x14ac:dyDescent="0.25">
      <c r="A47">
        <v>44</v>
      </c>
      <c r="B47" t="s">
        <v>47</v>
      </c>
      <c r="C47">
        <v>90</v>
      </c>
      <c r="D47">
        <v>35</v>
      </c>
      <c r="E47">
        <v>12</v>
      </c>
      <c r="F47">
        <v>43</v>
      </c>
      <c r="G47">
        <v>212</v>
      </c>
      <c r="H47">
        <v>153</v>
      </c>
      <c r="I47">
        <v>117</v>
      </c>
      <c r="J47" s="24">
        <v>0.43333333333333335</v>
      </c>
    </row>
    <row r="48" spans="1:10" x14ac:dyDescent="0.25">
      <c r="A48">
        <v>45</v>
      </c>
      <c r="B48" t="s">
        <v>13</v>
      </c>
      <c r="C48">
        <v>120</v>
      </c>
      <c r="D48">
        <v>24</v>
      </c>
      <c r="E48">
        <v>30</v>
      </c>
      <c r="F48">
        <v>66</v>
      </c>
      <c r="G48">
        <v>118</v>
      </c>
      <c r="H48">
        <v>190</v>
      </c>
      <c r="I48">
        <v>102</v>
      </c>
      <c r="J48" s="24">
        <v>0.28333333333333333</v>
      </c>
    </row>
    <row r="49" spans="1:10" x14ac:dyDescent="0.25">
      <c r="A49">
        <v>46</v>
      </c>
      <c r="B49" t="s">
        <v>38</v>
      </c>
      <c r="C49">
        <v>120</v>
      </c>
      <c r="D49">
        <v>29</v>
      </c>
      <c r="E49">
        <v>11</v>
      </c>
      <c r="F49">
        <v>80</v>
      </c>
      <c r="G49">
        <v>138</v>
      </c>
      <c r="H49">
        <v>322</v>
      </c>
      <c r="I49">
        <v>98</v>
      </c>
      <c r="J49" s="24">
        <v>0.2722222222222222</v>
      </c>
    </row>
    <row r="50" spans="1:10" x14ac:dyDescent="0.25">
      <c r="A50">
        <v>47</v>
      </c>
      <c r="B50" t="s">
        <v>10</v>
      </c>
      <c r="C50">
        <v>90</v>
      </c>
      <c r="D50">
        <v>23</v>
      </c>
      <c r="E50">
        <v>22</v>
      </c>
      <c r="F50">
        <v>45</v>
      </c>
      <c r="G50">
        <v>98</v>
      </c>
      <c r="H50">
        <v>143</v>
      </c>
      <c r="I50">
        <v>91</v>
      </c>
      <c r="J50" s="24">
        <v>0.33703703703703702</v>
      </c>
    </row>
    <row r="51" spans="1:10" x14ac:dyDescent="0.25">
      <c r="A51">
        <v>48</v>
      </c>
      <c r="B51" t="s">
        <v>158</v>
      </c>
      <c r="C51">
        <v>120</v>
      </c>
      <c r="D51">
        <v>25</v>
      </c>
      <c r="E51">
        <v>11</v>
      </c>
      <c r="F51">
        <v>84</v>
      </c>
      <c r="G51">
        <v>154</v>
      </c>
      <c r="H51">
        <v>329</v>
      </c>
      <c r="I51">
        <v>86</v>
      </c>
      <c r="J51" s="24">
        <v>0.2388888888888889</v>
      </c>
    </row>
    <row r="52" spans="1:10" x14ac:dyDescent="0.25">
      <c r="A52">
        <v>49</v>
      </c>
      <c r="B52" t="s">
        <v>95</v>
      </c>
      <c r="C52">
        <v>90</v>
      </c>
      <c r="D52">
        <v>26</v>
      </c>
      <c r="E52">
        <v>6</v>
      </c>
      <c r="F52">
        <v>58</v>
      </c>
      <c r="G52">
        <v>119</v>
      </c>
      <c r="H52">
        <v>263</v>
      </c>
      <c r="I52">
        <v>84</v>
      </c>
      <c r="J52" s="24">
        <v>0.31111111111111112</v>
      </c>
    </row>
    <row r="53" spans="1:10" x14ac:dyDescent="0.25">
      <c r="A53">
        <v>50</v>
      </c>
      <c r="B53" t="s">
        <v>30</v>
      </c>
      <c r="C53">
        <v>90</v>
      </c>
      <c r="D53">
        <v>21</v>
      </c>
      <c r="E53">
        <v>21</v>
      </c>
      <c r="F53">
        <v>48</v>
      </c>
      <c r="G53">
        <v>87</v>
      </c>
      <c r="H53">
        <v>133</v>
      </c>
      <c r="I53">
        <v>84</v>
      </c>
      <c r="J53" s="24">
        <v>0.31111111111111112</v>
      </c>
    </row>
    <row r="54" spans="1:10" x14ac:dyDescent="0.25">
      <c r="A54">
        <v>51</v>
      </c>
      <c r="B54" t="s">
        <v>156</v>
      </c>
      <c r="C54">
        <v>95</v>
      </c>
      <c r="D54">
        <v>23</v>
      </c>
      <c r="E54">
        <v>15</v>
      </c>
      <c r="F54">
        <v>57</v>
      </c>
      <c r="G54">
        <v>115</v>
      </c>
      <c r="H54">
        <v>221</v>
      </c>
      <c r="I54">
        <v>84</v>
      </c>
      <c r="J54" s="24">
        <v>0.29473684210526313</v>
      </c>
    </row>
    <row r="55" spans="1:10" x14ac:dyDescent="0.25">
      <c r="A55">
        <v>52</v>
      </c>
      <c r="B55" t="s">
        <v>166</v>
      </c>
      <c r="C55">
        <v>60</v>
      </c>
      <c r="D55">
        <v>21</v>
      </c>
      <c r="E55">
        <v>5</v>
      </c>
      <c r="F55">
        <v>34</v>
      </c>
      <c r="G55">
        <v>105</v>
      </c>
      <c r="H55">
        <v>161</v>
      </c>
      <c r="I55">
        <v>68</v>
      </c>
      <c r="J55" s="24">
        <v>0.37777777777777777</v>
      </c>
    </row>
    <row r="56" spans="1:10" x14ac:dyDescent="0.25">
      <c r="A56">
        <v>53</v>
      </c>
      <c r="B56" t="s">
        <v>48</v>
      </c>
      <c r="C56">
        <v>60</v>
      </c>
      <c r="D56">
        <v>18</v>
      </c>
      <c r="E56">
        <v>13</v>
      </c>
      <c r="F56">
        <v>29</v>
      </c>
      <c r="G56">
        <v>116</v>
      </c>
      <c r="H56">
        <v>114</v>
      </c>
      <c r="I56">
        <v>67</v>
      </c>
      <c r="J56" s="24">
        <v>0.37222222222222223</v>
      </c>
    </row>
    <row r="57" spans="1:10" x14ac:dyDescent="0.25">
      <c r="A57">
        <v>54</v>
      </c>
      <c r="B57" t="s">
        <v>161</v>
      </c>
      <c r="C57">
        <v>90</v>
      </c>
      <c r="D57">
        <v>15</v>
      </c>
      <c r="E57">
        <v>12</v>
      </c>
      <c r="F57">
        <v>63</v>
      </c>
      <c r="G57">
        <v>70</v>
      </c>
      <c r="H57">
        <v>199</v>
      </c>
      <c r="I57">
        <v>57</v>
      </c>
      <c r="J57" s="24">
        <v>0.21111111111111111</v>
      </c>
    </row>
    <row r="58" spans="1:10" x14ac:dyDescent="0.25">
      <c r="A58">
        <v>55</v>
      </c>
      <c r="B58" t="s">
        <v>67</v>
      </c>
      <c r="C58">
        <v>60</v>
      </c>
      <c r="D58">
        <v>14</v>
      </c>
      <c r="E58">
        <v>12</v>
      </c>
      <c r="F58">
        <v>34</v>
      </c>
      <c r="G58">
        <v>48</v>
      </c>
      <c r="H58">
        <v>126</v>
      </c>
      <c r="I58">
        <v>54</v>
      </c>
      <c r="J58" s="24">
        <v>0.3</v>
      </c>
    </row>
    <row r="59" spans="1:10" x14ac:dyDescent="0.25">
      <c r="A59">
        <v>56</v>
      </c>
      <c r="B59" t="s">
        <v>36</v>
      </c>
      <c r="C59">
        <v>60</v>
      </c>
      <c r="D59">
        <v>13</v>
      </c>
      <c r="E59">
        <v>14</v>
      </c>
      <c r="F59">
        <v>33</v>
      </c>
      <c r="G59">
        <v>78</v>
      </c>
      <c r="H59">
        <v>109</v>
      </c>
      <c r="I59">
        <v>53</v>
      </c>
      <c r="J59" s="24">
        <v>0.29444444444444445</v>
      </c>
    </row>
    <row r="60" spans="1:10" x14ac:dyDescent="0.25">
      <c r="A60">
        <v>57</v>
      </c>
      <c r="B60" t="s">
        <v>150</v>
      </c>
      <c r="C60">
        <v>120</v>
      </c>
      <c r="D60">
        <v>15</v>
      </c>
      <c r="E60">
        <v>8</v>
      </c>
      <c r="F60">
        <v>97</v>
      </c>
      <c r="G60">
        <v>98</v>
      </c>
      <c r="H60">
        <v>521</v>
      </c>
      <c r="I60">
        <v>53</v>
      </c>
      <c r="J60" s="24">
        <v>0.14722222222222223</v>
      </c>
    </row>
    <row r="61" spans="1:10" x14ac:dyDescent="0.25">
      <c r="A61">
        <v>58</v>
      </c>
      <c r="B61" t="s">
        <v>65</v>
      </c>
      <c r="C61">
        <v>60</v>
      </c>
      <c r="D61">
        <v>12</v>
      </c>
      <c r="E61">
        <v>7</v>
      </c>
      <c r="F61">
        <v>41</v>
      </c>
      <c r="G61">
        <v>69</v>
      </c>
      <c r="H61">
        <v>145</v>
      </c>
      <c r="I61">
        <v>43</v>
      </c>
      <c r="J61" s="24">
        <v>0.2388888888888889</v>
      </c>
    </row>
    <row r="62" spans="1:10" x14ac:dyDescent="0.25">
      <c r="A62">
        <v>59</v>
      </c>
      <c r="B62" t="s">
        <v>165</v>
      </c>
      <c r="C62">
        <v>60</v>
      </c>
      <c r="D62">
        <v>11</v>
      </c>
      <c r="E62">
        <v>8</v>
      </c>
      <c r="F62">
        <v>41</v>
      </c>
      <c r="G62">
        <v>51</v>
      </c>
      <c r="H62">
        <v>148</v>
      </c>
      <c r="I62">
        <v>41</v>
      </c>
      <c r="J62" s="24">
        <v>0.22777777777777777</v>
      </c>
    </row>
    <row r="63" spans="1:10" x14ac:dyDescent="0.25">
      <c r="A63">
        <v>60</v>
      </c>
      <c r="B63" t="s">
        <v>8</v>
      </c>
      <c r="C63">
        <v>30</v>
      </c>
      <c r="D63">
        <v>12</v>
      </c>
      <c r="E63">
        <v>3</v>
      </c>
      <c r="F63">
        <v>15</v>
      </c>
      <c r="G63">
        <v>45</v>
      </c>
      <c r="H63">
        <v>43</v>
      </c>
      <c r="I63">
        <v>39</v>
      </c>
      <c r="J63" s="24">
        <v>0.43333333333333335</v>
      </c>
    </row>
    <row r="64" spans="1:10" x14ac:dyDescent="0.25">
      <c r="A64">
        <v>61</v>
      </c>
      <c r="B64" t="s">
        <v>59</v>
      </c>
      <c r="C64">
        <v>60</v>
      </c>
      <c r="D64">
        <v>10</v>
      </c>
      <c r="E64">
        <v>8</v>
      </c>
      <c r="F64">
        <v>42</v>
      </c>
      <c r="G64">
        <v>43</v>
      </c>
      <c r="H64">
        <v>152</v>
      </c>
      <c r="I64">
        <v>38</v>
      </c>
      <c r="J64" s="24">
        <v>0.21111111111111111</v>
      </c>
    </row>
    <row r="65" spans="1:10" x14ac:dyDescent="0.25">
      <c r="A65">
        <v>62</v>
      </c>
      <c r="B65" t="s">
        <v>163</v>
      </c>
      <c r="C65">
        <v>35</v>
      </c>
      <c r="D65">
        <v>10</v>
      </c>
      <c r="E65">
        <v>7</v>
      </c>
      <c r="F65">
        <v>18</v>
      </c>
      <c r="G65">
        <v>40</v>
      </c>
      <c r="H65">
        <v>70</v>
      </c>
      <c r="I65">
        <v>37</v>
      </c>
      <c r="J65" s="24">
        <v>0.35238095238095241</v>
      </c>
    </row>
    <row r="66" spans="1:10" x14ac:dyDescent="0.25">
      <c r="A66">
        <v>63</v>
      </c>
      <c r="B66" t="s">
        <v>11</v>
      </c>
      <c r="C66">
        <v>30</v>
      </c>
      <c r="D66">
        <v>10</v>
      </c>
      <c r="E66">
        <v>5</v>
      </c>
      <c r="F66">
        <v>15</v>
      </c>
      <c r="G66">
        <v>53</v>
      </c>
      <c r="H66">
        <v>57</v>
      </c>
      <c r="I66">
        <v>35</v>
      </c>
      <c r="J66" s="24">
        <v>0.3888888888888889</v>
      </c>
    </row>
    <row r="67" spans="1:10" x14ac:dyDescent="0.25">
      <c r="A67">
        <v>64</v>
      </c>
      <c r="B67" t="s">
        <v>12</v>
      </c>
      <c r="C67">
        <v>30</v>
      </c>
      <c r="D67">
        <v>10</v>
      </c>
      <c r="E67">
        <v>5</v>
      </c>
      <c r="F67">
        <v>15</v>
      </c>
      <c r="G67">
        <v>27</v>
      </c>
      <c r="H67">
        <v>50</v>
      </c>
      <c r="I67">
        <v>35</v>
      </c>
      <c r="J67" s="24">
        <v>0.3888888888888889</v>
      </c>
    </row>
    <row r="68" spans="1:10" x14ac:dyDescent="0.25">
      <c r="A68">
        <v>65</v>
      </c>
      <c r="B68" t="s">
        <v>45</v>
      </c>
      <c r="C68">
        <v>30</v>
      </c>
      <c r="D68">
        <v>9</v>
      </c>
      <c r="E68">
        <v>4</v>
      </c>
      <c r="F68">
        <v>17</v>
      </c>
      <c r="G68">
        <v>45</v>
      </c>
      <c r="H68">
        <v>57</v>
      </c>
      <c r="I68">
        <v>31</v>
      </c>
      <c r="J68" s="24">
        <v>0.34444444444444444</v>
      </c>
    </row>
    <row r="69" spans="1:10" x14ac:dyDescent="0.25">
      <c r="A69">
        <v>66</v>
      </c>
      <c r="B69" t="s">
        <v>39</v>
      </c>
      <c r="C69">
        <v>30</v>
      </c>
      <c r="D69">
        <v>8</v>
      </c>
      <c r="E69">
        <v>7</v>
      </c>
      <c r="F69">
        <v>15</v>
      </c>
      <c r="G69">
        <v>44</v>
      </c>
      <c r="H69">
        <v>55</v>
      </c>
      <c r="I69">
        <v>31</v>
      </c>
      <c r="J69" s="24">
        <v>0.34444444444444444</v>
      </c>
    </row>
    <row r="70" spans="1:10" x14ac:dyDescent="0.25">
      <c r="A70">
        <v>67</v>
      </c>
      <c r="B70" t="s">
        <v>168</v>
      </c>
      <c r="C70">
        <v>30</v>
      </c>
      <c r="D70">
        <v>5</v>
      </c>
      <c r="E70">
        <v>4</v>
      </c>
      <c r="F70">
        <v>21</v>
      </c>
      <c r="G70">
        <v>25</v>
      </c>
      <c r="H70">
        <v>81</v>
      </c>
      <c r="I70">
        <v>19</v>
      </c>
      <c r="J70" s="24">
        <v>0.21111111111111111</v>
      </c>
    </row>
    <row r="71" spans="1:10" x14ac:dyDescent="0.25">
      <c r="A71">
        <v>68</v>
      </c>
      <c r="B71" t="s">
        <v>93</v>
      </c>
      <c r="C71">
        <v>30</v>
      </c>
      <c r="D71">
        <v>4</v>
      </c>
      <c r="E71">
        <v>5</v>
      </c>
      <c r="F71">
        <v>21</v>
      </c>
      <c r="G71">
        <v>13</v>
      </c>
      <c r="H71">
        <v>71</v>
      </c>
      <c r="I71">
        <v>17</v>
      </c>
      <c r="J71" s="24">
        <v>0.18888888888888888</v>
      </c>
    </row>
    <row r="72" spans="1:10" x14ac:dyDescent="0.25">
      <c r="A72">
        <v>69</v>
      </c>
      <c r="B72" t="s">
        <v>19</v>
      </c>
      <c r="C72">
        <v>24</v>
      </c>
      <c r="D72">
        <v>4</v>
      </c>
      <c r="E72">
        <v>1</v>
      </c>
      <c r="F72">
        <v>19</v>
      </c>
      <c r="G72">
        <v>23</v>
      </c>
      <c r="H72">
        <v>73</v>
      </c>
      <c r="I72">
        <v>13</v>
      </c>
      <c r="J72" s="24">
        <v>0.18055555555555555</v>
      </c>
    </row>
    <row r="73" spans="1:10" x14ac:dyDescent="0.25">
      <c r="A73">
        <v>70</v>
      </c>
      <c r="B73" t="s">
        <v>20</v>
      </c>
      <c r="C73">
        <v>14</v>
      </c>
      <c r="D73">
        <v>2</v>
      </c>
      <c r="E73">
        <v>1</v>
      </c>
      <c r="F73">
        <v>11</v>
      </c>
      <c r="G73">
        <v>13</v>
      </c>
      <c r="H73">
        <v>48</v>
      </c>
      <c r="I73">
        <v>7</v>
      </c>
      <c r="J73" s="24">
        <v>0.16666666666666666</v>
      </c>
    </row>
    <row r="74" spans="1:10" x14ac:dyDescent="0.25">
      <c r="A74">
        <v>71</v>
      </c>
      <c r="B74" t="s">
        <v>21</v>
      </c>
      <c r="C74">
        <v>27</v>
      </c>
      <c r="D74">
        <v>2</v>
      </c>
      <c r="E74">
        <v>1</v>
      </c>
      <c r="F74">
        <v>24</v>
      </c>
      <c r="G74">
        <v>14</v>
      </c>
      <c r="H74">
        <v>82</v>
      </c>
      <c r="I74">
        <v>7</v>
      </c>
      <c r="J74" s="24">
        <v>8.6419753086419748E-2</v>
      </c>
    </row>
    <row r="75" spans="1:10" x14ac:dyDescent="0.25">
      <c r="A75">
        <v>72</v>
      </c>
      <c r="B75" t="s">
        <v>151</v>
      </c>
      <c r="C75">
        <v>30</v>
      </c>
      <c r="D75">
        <v>0</v>
      </c>
      <c r="E75">
        <v>0</v>
      </c>
      <c r="F75">
        <v>30</v>
      </c>
      <c r="G75">
        <v>6</v>
      </c>
      <c r="H75">
        <v>163</v>
      </c>
      <c r="I75">
        <v>0</v>
      </c>
      <c r="J75" s="24">
        <v>0</v>
      </c>
    </row>
    <row r="76" spans="1:10" x14ac:dyDescent="0.25">
      <c r="A76">
        <v>73</v>
      </c>
      <c r="B76" t="s">
        <v>154</v>
      </c>
      <c r="C76">
        <v>30</v>
      </c>
      <c r="D76">
        <v>0</v>
      </c>
      <c r="E76">
        <v>0</v>
      </c>
      <c r="F76">
        <v>30</v>
      </c>
      <c r="G76">
        <v>6</v>
      </c>
      <c r="H76">
        <v>193</v>
      </c>
      <c r="I76">
        <v>0</v>
      </c>
      <c r="J76" s="24">
        <v>0</v>
      </c>
    </row>
    <row r="77" spans="1:10" x14ac:dyDescent="0.25">
      <c r="A77">
        <v>74</v>
      </c>
      <c r="B77" t="s">
        <v>148</v>
      </c>
      <c r="C77">
        <v>30</v>
      </c>
      <c r="D77">
        <v>0</v>
      </c>
      <c r="E77">
        <v>0</v>
      </c>
      <c r="F77">
        <v>30</v>
      </c>
      <c r="G77">
        <v>5</v>
      </c>
      <c r="H77">
        <v>189</v>
      </c>
      <c r="I77">
        <v>0</v>
      </c>
      <c r="J77" s="24">
        <v>0</v>
      </c>
    </row>
  </sheetData>
  <pageMargins left="0.7" right="0.7" top="0.75" bottom="0.75" header="0.3" footer="0.3"/>
  <pageSetup paperSize="9" orientation="portrait" r:id="rId1"/>
  <webPublishItems count="1">
    <webPublishItem id="7827" divId="brejk41_7827" sourceType="range" sourceRef="A3:J77" destinationFile="E:\data\brejk\clanky\clanek07\brejk41.htm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10" workbookViewId="0">
      <selection activeCell="G21" sqref="G21"/>
    </sheetView>
  </sheetViews>
  <sheetFormatPr defaultRowHeight="15" x14ac:dyDescent="0.25"/>
  <cols>
    <col min="2" max="2" width="39.140625" bestFit="1" customWidth="1"/>
    <col min="3" max="5" width="9.140625" style="10"/>
  </cols>
  <sheetData>
    <row r="1" spans="1:5" x14ac:dyDescent="0.25">
      <c r="B1" t="s">
        <v>202</v>
      </c>
    </row>
    <row r="3" spans="1:5" x14ac:dyDescent="0.25">
      <c r="B3" t="s">
        <v>116</v>
      </c>
      <c r="C3" s="10" t="s">
        <v>195</v>
      </c>
      <c r="D3" s="10" t="s">
        <v>196</v>
      </c>
      <c r="E3" s="10" t="s">
        <v>197</v>
      </c>
    </row>
    <row r="4" spans="1:5" x14ac:dyDescent="0.25">
      <c r="A4">
        <v>1</v>
      </c>
      <c r="B4" t="s">
        <v>64</v>
      </c>
      <c r="C4" s="10">
        <v>7</v>
      </c>
      <c r="D4" s="10">
        <v>1</v>
      </c>
      <c r="E4" s="10">
        <f>C4+D4</f>
        <v>8</v>
      </c>
    </row>
    <row r="5" spans="1:5" x14ac:dyDescent="0.25">
      <c r="A5">
        <v>2</v>
      </c>
      <c r="B5" t="s">
        <v>32</v>
      </c>
      <c r="C5" s="10">
        <v>7</v>
      </c>
      <c r="D5" s="10">
        <v>2</v>
      </c>
      <c r="E5" s="10">
        <f>C5+D5</f>
        <v>9</v>
      </c>
    </row>
    <row r="6" spans="1:5" x14ac:dyDescent="0.25">
      <c r="A6">
        <v>3</v>
      </c>
      <c r="B6" t="s">
        <v>33</v>
      </c>
      <c r="C6" s="10">
        <v>6</v>
      </c>
      <c r="D6" s="10">
        <v>4</v>
      </c>
      <c r="E6" s="10">
        <f>C6+D6</f>
        <v>10</v>
      </c>
    </row>
    <row r="7" spans="1:5" x14ac:dyDescent="0.25">
      <c r="A7">
        <v>4</v>
      </c>
      <c r="B7" t="s">
        <v>43</v>
      </c>
      <c r="C7" s="10">
        <v>4</v>
      </c>
      <c r="D7" s="10">
        <v>6</v>
      </c>
      <c r="E7" s="10">
        <f>C7+D7</f>
        <v>10</v>
      </c>
    </row>
    <row r="8" spans="1:5" x14ac:dyDescent="0.25">
      <c r="A8">
        <v>5</v>
      </c>
      <c r="B8" t="s">
        <v>23</v>
      </c>
      <c r="C8" s="10">
        <v>3</v>
      </c>
      <c r="D8" s="10">
        <v>1</v>
      </c>
      <c r="E8" s="10">
        <f>C8+D8</f>
        <v>4</v>
      </c>
    </row>
    <row r="9" spans="1:5" x14ac:dyDescent="0.25">
      <c r="A9">
        <v>6</v>
      </c>
      <c r="B9" t="s">
        <v>24</v>
      </c>
      <c r="C9" s="10">
        <v>3</v>
      </c>
      <c r="D9" s="10">
        <v>2</v>
      </c>
      <c r="E9" s="10">
        <f>C9+D9</f>
        <v>5</v>
      </c>
    </row>
    <row r="10" spans="1:5" x14ac:dyDescent="0.25">
      <c r="A10">
        <v>7</v>
      </c>
      <c r="B10" t="s">
        <v>198</v>
      </c>
      <c r="C10" s="10">
        <v>2</v>
      </c>
      <c r="D10" s="10">
        <v>0</v>
      </c>
      <c r="E10" s="10">
        <f>C10+D10</f>
        <v>2</v>
      </c>
    </row>
    <row r="11" spans="1:5" x14ac:dyDescent="0.25">
      <c r="A11">
        <v>8</v>
      </c>
      <c r="B11" t="s">
        <v>25</v>
      </c>
      <c r="C11" s="10">
        <v>2</v>
      </c>
      <c r="E11" s="10">
        <f>C11+D11</f>
        <v>2</v>
      </c>
    </row>
    <row r="12" spans="1:5" x14ac:dyDescent="0.25">
      <c r="A12">
        <v>9</v>
      </c>
      <c r="B12" t="s">
        <v>92</v>
      </c>
      <c r="C12" s="10">
        <v>2</v>
      </c>
      <c r="D12" s="10">
        <v>1</v>
      </c>
      <c r="E12" s="10">
        <f>C12+D12</f>
        <v>3</v>
      </c>
    </row>
    <row r="13" spans="1:5" x14ac:dyDescent="0.25">
      <c r="A13">
        <v>10</v>
      </c>
      <c r="B13" t="s">
        <v>199</v>
      </c>
      <c r="C13" s="10">
        <v>1</v>
      </c>
      <c r="E13" s="10">
        <f>C13+D13</f>
        <v>1</v>
      </c>
    </row>
    <row r="14" spans="1:5" x14ac:dyDescent="0.25">
      <c r="A14">
        <v>11</v>
      </c>
      <c r="B14" t="s">
        <v>71</v>
      </c>
      <c r="C14" s="10">
        <v>1</v>
      </c>
      <c r="D14" s="10">
        <v>1</v>
      </c>
      <c r="E14" s="10">
        <f>C14+D14</f>
        <v>2</v>
      </c>
    </row>
    <row r="15" spans="1:5" x14ac:dyDescent="0.25">
      <c r="A15">
        <v>12</v>
      </c>
      <c r="B15" t="s">
        <v>70</v>
      </c>
      <c r="C15" s="10">
        <v>1</v>
      </c>
      <c r="D15" s="10">
        <v>2</v>
      </c>
      <c r="E15" s="10">
        <f>C15+D15</f>
        <v>3</v>
      </c>
    </row>
    <row r="16" spans="1:5" x14ac:dyDescent="0.25">
      <c r="A16">
        <v>13</v>
      </c>
      <c r="B16" t="s">
        <v>18</v>
      </c>
      <c r="C16" s="10">
        <v>1</v>
      </c>
      <c r="D16" s="10">
        <v>3</v>
      </c>
      <c r="E16" s="10">
        <f>C16+D16</f>
        <v>4</v>
      </c>
    </row>
    <row r="17" spans="1:5" x14ac:dyDescent="0.25">
      <c r="A17">
        <v>14</v>
      </c>
      <c r="B17" t="s">
        <v>6</v>
      </c>
      <c r="C17" s="10">
        <v>0</v>
      </c>
      <c r="D17" s="10">
        <v>1</v>
      </c>
      <c r="E17" s="10">
        <f>C17+D17</f>
        <v>1</v>
      </c>
    </row>
    <row r="18" spans="1:5" x14ac:dyDescent="0.25">
      <c r="A18">
        <v>15</v>
      </c>
      <c r="B18" t="s">
        <v>128</v>
      </c>
      <c r="C18" s="10">
        <v>0</v>
      </c>
      <c r="D18" s="10">
        <v>1</v>
      </c>
      <c r="E18" s="10">
        <f>C18+D18</f>
        <v>1</v>
      </c>
    </row>
    <row r="19" spans="1:5" x14ac:dyDescent="0.25">
      <c r="A19">
        <v>16</v>
      </c>
      <c r="B19" t="s">
        <v>58</v>
      </c>
      <c r="C19" s="10">
        <v>0</v>
      </c>
      <c r="D19" s="10">
        <v>1</v>
      </c>
      <c r="E19" s="10">
        <f>C19+D19</f>
        <v>1</v>
      </c>
    </row>
    <row r="20" spans="1:5" x14ac:dyDescent="0.25">
      <c r="A20">
        <v>17</v>
      </c>
      <c r="B20" t="s">
        <v>200</v>
      </c>
      <c r="C20" s="10">
        <v>0</v>
      </c>
      <c r="D20" s="10">
        <v>1</v>
      </c>
      <c r="E20" s="10">
        <f>C20+D20</f>
        <v>1</v>
      </c>
    </row>
    <row r="21" spans="1:5" x14ac:dyDescent="0.25">
      <c r="A21">
        <v>18</v>
      </c>
      <c r="B21" t="s">
        <v>146</v>
      </c>
      <c r="C21" s="10">
        <v>0</v>
      </c>
      <c r="D21" s="10">
        <v>1</v>
      </c>
      <c r="E21" s="10">
        <f>C21+D21</f>
        <v>1</v>
      </c>
    </row>
    <row r="22" spans="1:5" x14ac:dyDescent="0.25">
      <c r="A22">
        <v>19</v>
      </c>
      <c r="B22" t="s">
        <v>76</v>
      </c>
      <c r="C22" s="10">
        <v>0</v>
      </c>
      <c r="D22" s="10">
        <v>1</v>
      </c>
      <c r="E22" s="10">
        <f>C22+D22</f>
        <v>1</v>
      </c>
    </row>
    <row r="23" spans="1:5" x14ac:dyDescent="0.25">
      <c r="A23">
        <v>20</v>
      </c>
      <c r="B23" t="s">
        <v>201</v>
      </c>
      <c r="C23" s="10">
        <v>0</v>
      </c>
      <c r="D23" s="10">
        <v>1</v>
      </c>
      <c r="E23" s="10">
        <f>C23+D23</f>
        <v>1</v>
      </c>
    </row>
    <row r="24" spans="1:5" x14ac:dyDescent="0.25">
      <c r="A24">
        <v>21</v>
      </c>
      <c r="B24" t="s">
        <v>27</v>
      </c>
      <c r="C24" s="10">
        <v>0</v>
      </c>
      <c r="D24" s="10">
        <v>2</v>
      </c>
      <c r="E24" s="10">
        <f>C24+D24</f>
        <v>2</v>
      </c>
    </row>
    <row r="25" spans="1:5" x14ac:dyDescent="0.25">
      <c r="A25">
        <v>22</v>
      </c>
      <c r="B25" t="s">
        <v>115</v>
      </c>
      <c r="C25" s="10">
        <v>0</v>
      </c>
      <c r="D25" s="10">
        <v>2</v>
      </c>
      <c r="E25" s="10">
        <f>C25+D25</f>
        <v>2</v>
      </c>
    </row>
    <row r="26" spans="1:5" x14ac:dyDescent="0.25">
      <c r="A26">
        <v>23</v>
      </c>
      <c r="B26" t="s">
        <v>5</v>
      </c>
      <c r="C26" s="10">
        <v>0</v>
      </c>
      <c r="D26" s="10">
        <v>2</v>
      </c>
      <c r="E26" s="10">
        <f>C26+D26</f>
        <v>2</v>
      </c>
    </row>
    <row r="27" spans="1:5" x14ac:dyDescent="0.25">
      <c r="A27">
        <v>24</v>
      </c>
      <c r="B27" t="s">
        <v>130</v>
      </c>
      <c r="C27" s="10">
        <v>0</v>
      </c>
      <c r="D27" s="10">
        <v>2</v>
      </c>
      <c r="E27" s="10">
        <f>C27+D27</f>
        <v>2</v>
      </c>
    </row>
    <row r="28" spans="1:5" x14ac:dyDescent="0.25">
      <c r="A28">
        <v>25</v>
      </c>
      <c r="B28" t="s">
        <v>3</v>
      </c>
      <c r="C28" s="10">
        <v>0</v>
      </c>
      <c r="D28" s="10">
        <v>2</v>
      </c>
      <c r="E28" s="10">
        <f>C28+D28</f>
        <v>2</v>
      </c>
    </row>
  </sheetData>
  <sortState ref="B4:E28">
    <sortCondition descending="1" ref="C4:C28"/>
    <sortCondition ref="E4:E28"/>
    <sortCondition ref="B4:B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tabulky sezon</vt:lpstr>
      <vt:lpstr>31</vt:lpstr>
      <vt:lpstr>mistři</vt:lpstr>
      <vt:lpstr>medaile</vt:lpstr>
      <vt:lpstr>Sheet2</vt:lpstr>
      <vt:lpstr>NP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</cp:lastModifiedBy>
  <dcterms:created xsi:type="dcterms:W3CDTF">2011-06-15T10:16:55Z</dcterms:created>
  <dcterms:modified xsi:type="dcterms:W3CDTF">2016-01-16T21:13:19Z</dcterms:modified>
</cp:coreProperties>
</file>